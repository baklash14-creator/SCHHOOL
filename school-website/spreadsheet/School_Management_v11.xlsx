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Dashboard" sheetId="2" state="visible" r:id="rId4"/>
    <sheet name="Report Card" sheetId="3" state="visible" r:id="rId5"/>
    <sheet name="Results" sheetId="4" state="visible" r:id="rId6"/>
    <sheet name="Class List" sheetId="5" state="visible" r:id="rId7"/>
    <sheet name="Class Attendance" sheetId="6" state="visible" r:id="rId8"/>
    <sheet name="Class Grades" sheetId="7" state="visible" r:id="rId9"/>
    <sheet name="ID Cards" sheetId="8" state="visible" r:id="rId10"/>
    <sheet name="Timetable View" sheetId="9" state="visible" r:id="rId11"/>
    <sheet name="Settings" sheetId="10" state="visible" r:id="rId12"/>
    <sheet name="Schools" sheetId="11" state="visible" r:id="rId13"/>
    <sheet name="Classes" sheetId="12" state="visible" r:id="rId14"/>
    <sheet name="Teachers" sheetId="13" state="visible" r:id="rId15"/>
    <sheet name="Students" sheetId="14" state="visible" r:id="rId16"/>
    <sheet name="Attendance" sheetId="15" state="visible" r:id="rId17"/>
    <sheet name="Grades" sheetId="16" state="visible" r:id="rId18"/>
    <sheet name="Fees" sheetId="17" state="visible" r:id="rId19"/>
    <sheet name="Timetable" sheetId="18" state="visible" r:id="rId20"/>
    <sheet name="Staff Attendance" sheetId="19" state="visible" r:id="rId21"/>
    <sheet name="Payroll" sheetId="20" state="visible" r:id="rId22"/>
    <sheet name="Email Log" sheetId="21" state="visible" r:id="rId23"/>
    <sheet name="Report Files" sheetId="22" state="visible" r:id="rId24"/>
  </sheets>
  <definedNames>
    <definedName function="false" hidden="false" localSheetId="14" name="_xlnm.Print_Titles" vbProcedure="false">Attendance!$4:$4</definedName>
    <definedName function="false" hidden="false" localSheetId="5" name="_xlnm.Print_Area" vbProcedure="false">'Class Attendance'!$A$1:$AC$49</definedName>
    <definedName function="false" hidden="false" localSheetId="5" name="_xlnm.Print_Titles" vbProcedure="false">'Class Attendance'!$9:$9</definedName>
    <definedName function="false" hidden="false" localSheetId="6" name="_xlnm.Print_Area" vbProcedure="false">'Class Grades'!$A$1:$J$49</definedName>
    <definedName function="false" hidden="false" localSheetId="6" name="_xlnm.Print_Titles" vbProcedure="false">'Class Grades'!$9:$9</definedName>
    <definedName function="false" hidden="false" localSheetId="4" name="_xlnm.Print_Area" vbProcedure="false">'Class List'!$A$1:$H$49</definedName>
    <definedName function="false" hidden="false" localSheetId="4" name="_xlnm.Print_Titles" vbProcedure="false">'Class List'!$9:$9</definedName>
    <definedName function="false" hidden="false" localSheetId="11" name="_xlnm.Print_Titles" vbProcedure="false">Classes!$4:$4</definedName>
    <definedName function="false" hidden="false" localSheetId="20" name="_xlnm.Print_Titles" vbProcedure="false">'Email Log'!$4:$4</definedName>
    <definedName function="false" hidden="false" localSheetId="16" name="_xlnm.Print_Titles" vbProcedure="false">Fees!$4:$4</definedName>
    <definedName function="false" hidden="false" localSheetId="15" name="_xlnm.Print_Titles" vbProcedure="false">Grades!$4:$4</definedName>
    <definedName function="false" hidden="false" localSheetId="7" name="_xlnm.Print_Area" vbProcedure="false">'ID Cards'!$A$1:$I$106</definedName>
    <definedName function="false" hidden="false" localSheetId="19" name="_xlnm.Print_Titles" vbProcedure="false">Payroll!$4:$4</definedName>
    <definedName function="false" hidden="false" localSheetId="2" name="_xlnm.Print_Area" vbProcedure="false">'Report Card'!$A$1:$G$38</definedName>
    <definedName function="false" hidden="false" localSheetId="21" name="_xlnm.Print_Titles" vbProcedure="false">'Report Files'!$4:$4</definedName>
    <definedName function="false" hidden="false" localSheetId="3" name="_xlnm.Print_Area" vbProcedure="false">Results!$A$1:$S$49</definedName>
    <definedName function="false" hidden="false" localSheetId="3" name="_xlnm.Print_Titles" vbProcedure="false">Results!$9:$9</definedName>
    <definedName function="false" hidden="false" localSheetId="10" name="_xlnm.Print_Titles" vbProcedure="false">Schools!$4:$4</definedName>
    <definedName function="false" hidden="false" localSheetId="18" name="_xlnm.Print_Titles" vbProcedure="false">'Staff Attendance'!$4:$4</definedName>
    <definedName function="false" hidden="false" localSheetId="13" name="_xlnm.Print_Titles" vbProcedure="false">Students!$4:$4</definedName>
    <definedName function="false" hidden="false" localSheetId="12" name="_xlnm.Print_Titles" vbProcedure="false">Teachers!$4:$4</definedName>
    <definedName function="false" hidden="false" localSheetId="17" name="_xlnm.Print_Titles" vbProcedure="false">Timetable!$4:$4</definedName>
    <definedName function="false" hidden="false" localSheetId="8" name="_xlnm.Print_Area" vbProcedure="false">'Timetable View'!$A$1:$G$16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<sst xmlns="http://schemas.openxmlformats.org/spreadsheetml/2006/main" count="563" uniqueCount="401">
  <si>
    <t xml:space="preserve">  School Management System</t>
  </si>
  <si>
    <t xml:space="preserve">  Start here. Work through the tabs from left to right.</t>
  </si>
  <si>
    <t xml:space="preserve">TAB MAP</t>
  </si>
  <si>
    <t xml:space="preserve">Tab</t>
  </si>
  <si>
    <t xml:space="preserve">What it is for</t>
  </si>
  <si>
    <t xml:space="preserve">You type here?</t>
  </si>
  <si>
    <t xml:space="preserve">Dashboard</t>
  </si>
  <si>
    <t xml:space="preserve">Live totals per school, with charts</t>
  </si>
  <si>
    <t xml:space="preserve">No, automatic</t>
  </si>
  <si>
    <t xml:space="preserve">Report Card</t>
  </si>
  <si>
    <t xml:space="preserve">Printable report card for one student</t>
  </si>
  <si>
    <t xml:space="preserve">Only the Student ID</t>
  </si>
  <si>
    <t xml:space="preserve">Results</t>
  </si>
  <si>
    <t xml:space="preserve">Ranked results for a whole class and term, printable</t>
  </si>
  <si>
    <t xml:space="preserve">School, class and term</t>
  </si>
  <si>
    <t xml:space="preserve">Class List</t>
  </si>
  <si>
    <t xml:space="preserve">Register of up to 40 students per class, printable</t>
  </si>
  <si>
    <t xml:space="preserve">School and class</t>
  </si>
  <si>
    <t xml:space="preserve">ID Cards</t>
  </si>
  <si>
    <t xml:space="preserve">Printable student ID cards for a class</t>
  </si>
  <si>
    <t xml:space="preserve">Timetable View</t>
  </si>
  <si>
    <t xml:space="preserve">Weekly timetable for a class, printable</t>
  </si>
  <si>
    <t xml:space="preserve">Settings</t>
  </si>
  <si>
    <t xml:space="preserve">Academic year, currency, classes, subjects, grade bands</t>
  </si>
  <si>
    <t xml:space="preserve">Yes, once</t>
  </si>
  <si>
    <t xml:space="preserve">Schools</t>
  </si>
  <si>
    <t xml:space="preserve">One row per school</t>
  </si>
  <si>
    <t xml:space="preserve">Yes</t>
  </si>
  <si>
    <t xml:space="preserve">Classes</t>
  </si>
  <si>
    <t xml:space="preserve">Classes in each school and their class teacher</t>
  </si>
  <si>
    <t xml:space="preserve">Teachers</t>
  </si>
  <si>
    <t xml:space="preserve">Staff list</t>
  </si>
  <si>
    <t xml:space="preserve">Students</t>
  </si>
  <si>
    <t xml:space="preserve">Student list (the master list)</t>
  </si>
  <si>
    <t xml:space="preserve">Attendance</t>
  </si>
  <si>
    <t xml:space="preserve">Daily register</t>
  </si>
  <si>
    <t xml:space="preserve">Grades</t>
  </si>
  <si>
    <t xml:space="preserve">Scores per subject and term</t>
  </si>
  <si>
    <t xml:space="preserve">Fees</t>
  </si>
  <si>
    <t xml:space="preserve">Fees due and paid per term</t>
  </si>
  <si>
    <t xml:space="preserve">Timetable</t>
  </si>
  <si>
    <t xml:space="preserve">Lessons by class, day, period and teacher; flags clashes</t>
  </si>
  <si>
    <t xml:space="preserve">Staff Attendance</t>
  </si>
  <si>
    <t xml:space="preserve">Daily register for teachers</t>
  </si>
  <si>
    <t xml:space="preserve">Payroll</t>
  </si>
  <si>
    <t xml:space="preserve">Monthly pay with absence deductions</t>
  </si>
  <si>
    <t xml:space="preserve">Email Log</t>
  </si>
  <si>
    <t xml:space="preserve">Record of every registration email sent</t>
  </si>
  <si>
    <t xml:space="preserve">SET UP (ONCE)</t>
  </si>
  <si>
    <t xml:space="preserve">1. Settings: enter the academic year, currency, your classes, subjects and grade bands.</t>
  </si>
  <si>
    <t xml:space="preserve">2. Schools: add each school. IDs (SCH01, SCH02...) appear automatically.</t>
  </si>
  <si>
    <t xml:space="preserve">3. Teachers, then Classes, then Students: add people. IDs (T001, S0001...) appear automatically. Pick School ID and Class from the dropdowns.</t>
  </si>
  <si>
    <t xml:space="preserve">EVERY DAY / EVERY TERM</t>
  </si>
  <si>
    <t xml:space="preserve">Daily: Attendance. Pick the Student ID and mark P, A or L.</t>
  </si>
  <si>
    <t xml:space="preserve">Each term: Grades (scores per subject) and Fees (amount due and paid).</t>
  </si>
  <si>
    <t xml:space="preserve">Reports: open Report Card, pick a Student ID, then print.</t>
  </si>
  <si>
    <t xml:space="preserve">REGISTRATION EMAILS (GOOGLE SHEETS ONLY)</t>
  </si>
  <si>
    <t xml:space="preserve">When you register a school, teacher or student (name, school, class and email filled in), a welcome email is sent automatically. Students' emails go to the guardian.</t>
  </si>
  <si>
    <t xml:space="preserve">1. Upload this file to Google Drive, open it, then File &gt; Save as Google Sheets.</t>
  </si>
  <si>
    <t xml:space="preserve">2. In the Google Sheet: Extensions &gt; Apps Script. Delete any code, paste the contents of Code.gs, click Save.</t>
  </si>
  <si>
    <t xml:space="preserve">3. Go back to the sheet and reload. Use the new menu School System &gt; Enable email notifications and approve the permissions.</t>
  </si>
  <si>
    <t xml:space="preserve">4. On Settings, set Send welcome emails to Yes, add your organisation name and admin email, and edit the message if you wish.</t>
  </si>
  <si>
    <t xml:space="preserve">5. Test with School System &gt; Send test email to me. Sent emails are recorded on the Email Log tab and stamped in each row.</t>
  </si>
  <si>
    <t xml:space="preserve">Limits: free Gmail accounts can send about 100 emails a day, Google Workspace accounts about 1,500. Emails only send when the required cells are filled; a row is never emailed twice.</t>
  </si>
  <si>
    <t xml:space="preserve">PRINT BUTTONS</t>
  </si>
  <si>
    <t xml:space="preserve">Report Card: pick the Student ID, then click the Print Report Card button (or School System &gt; Print report card). A window opens with the PDF; click it to print or save.</t>
  </si>
  <si>
    <t xml:space="preserve">Results: pick School ID, Class and Term, then click Print Class Results (or School System &gt; Print class results).</t>
  </si>
  <si>
    <t xml:space="preserve">Class List: pick School ID and Class, then click Print Class List (or School System &gt; Print class list).</t>
  </si>
  <si>
    <t xml:space="preserve">ID Cards and Timetable View: pick School ID and Class, then use the button beside the page (or the School System &gt; Print menu).</t>
  </si>
  <si>
    <t xml:space="preserve">The three print buttons sit in a row on the Dashboard; Report Card, Class List, ID Cards and Timetable View also have one beside the page. Add them once with School System &gt; Add print buttons. Without the script, use File &gt; Print on each tab.</t>
  </si>
  <si>
    <t xml:space="preserve">AUTOMATIONS (SCHOOL SYSTEM MENU, GOOGLE SHEETS ONLY)</t>
  </si>
  <si>
    <t xml:space="preserve">Absence alerts: mark a student A in Attendance and the guardian is emailed straight away. Settings J8 turns this on or off.</t>
  </si>
  <si>
    <t xml:space="preserve">Fee reminders: Email &gt; Send fee reminders emails the guardian of every student with a balance, listing what is owed. A student is not reminded again until the number of days in Settings (default 14) has passed.</t>
  </si>
  <si>
    <t xml:space="preserve">Report cards by email: pick School ID and Class on the Class List tab, then Email &gt; Email report cards for this class. Each guardian gets the PDF report card.</t>
  </si>
  <si>
    <t xml:space="preserve">Year end: Year end &gt; Promote students saves a backup copy, moves every student up one class (in the order of the Classes list in Settings), marks the last class Graduated, and can clear Attendance, Grades and Fees for the new year.</t>
  </si>
  <si>
    <t xml:space="preserve">Marks: Grades has Class Work and Exam columns. The final score uses the weights in Settings (default 30% class work, 70% exam). If only one score is entered, it is used as it is.</t>
  </si>
  <si>
    <t xml:space="preserve">Timetable: enter lessons on the Timetable tab; the Check column flags a teacher or class booked twice. Staff Attendance feeds Payroll: each day marked A is deducted from pay.</t>
  </si>
  <si>
    <t xml:space="preserve">Locking: add admin and teacher emails in Settings (N9:O10), then Setup &gt; Lock formulas and set roles. Everyone gets edit access to the file, formula cells are locked, and teachers can only change Attendance and Grades.</t>
  </si>
  <si>
    <t xml:space="preserve">RULES THAT KEEP IT WORKING</t>
  </si>
  <si>
    <t xml:space="preserve">Blue text = type here. Grey cells = formulas, do not overwrite. Italic row 1 of each list is an example: replace it.</t>
  </si>
  <si>
    <t xml:space="preserve">IDs follow the row number. Do NOT sort or delete rows in Schools, Classes, Teachers or Students. Add new records at the bottom and mark leavers as Left.</t>
  </si>
  <si>
    <t xml:space="preserve">Assumptions: classes follow Nursery to SSS 3 and grade bands are A 80+, B 70-79, C 60-69, D 50-59, F below 50. Change both in Settings.</t>
  </si>
  <si>
    <t xml:space="preserve">CLASS LIMIT: each class holds up to 40 active students (change in Settings, Max students per class). The Classes tab shows places left and Open/Full, and Students has a Class Check column. With the script on, a student cannot be placed in a full class: the Class cell is cleared with a message. Each list holds 300 rows. The Dashboard shows 15 schools and the Report Card shows 15 subjects.</t>
  </si>
  <si>
    <t xml:space="preserve">To use in Google Sheets: Drive &gt; New &gt; File upload, then open the file with Google Sheets.</t>
  </si>
  <si>
    <t xml:space="preserve">NEW: CLASS ATTENDANCE, CLASS GRADES AND EMAIL BUTTONS</t>
  </si>
  <si>
    <t xml:space="preserve">New tabs: Class Attendance and Class Grades (after Class List) and Report Files (after Email Log). Each class has its own attendance register and its own marks sheet; nothing is mixed between classes.</t>
  </si>
  <si>
    <t xml:space="preserve">Class Attendance: pick School ID, Class, Term and the register date. Type P, A or L for each student in the Mark column, then click Save Attendance. The grid shows the last 20 school days for that class only. Saved marks go into the Attendance tab, so the Dashboard and Report Card keep working.</t>
  </si>
  <si>
    <t xml:space="preserve">Attendance emails: on Class Attendance click Email Attendance to Guardians (each guardian receives only their own child's record for the chosen term) or Email Register to Class Teacher.</t>
  </si>
  <si>
    <t xml:space="preserve">Class Grades: pick School ID, Class, Term and Subject. Type Class Work and Exam scores, then click Save Grades. Scores go into the Grades tab; the Saved columns show what is already stored.</t>
  </si>
  <si>
    <t xml:space="preserve">Term report cards: on Report Card pick the Student ID and a Term (Term 1, Term 2, Term 3 or All terms). Every student gets a separate PDF for each term. Use Email Report Card or Save PDF to Drive. On Results or Class Grades, Email Report Cards sends every guardian their own child's PDF for that class and term.</t>
  </si>
  <si>
    <t xml:space="preserve">Report Files lists each term PDF with its Drive link and who it was emailed to. A student already emailed for a term is skipped next time; clear the Status cell to send again.</t>
  </si>
  <si>
    <t xml:space="preserve">Term dates: enter start and end dates on Settings (A35:C38) so each term report counts only that term's attendance. Leave blank to count every date.</t>
  </si>
  <si>
    <t xml:space="preserve">Set up the buttons once: Extensions &gt; Apps Script &gt; add a new file, paste EmailReports.gs, Save. Reload the sheet, then Email Reports &gt; Run setup and approve the permissions. If you use Lock formulas and set roles, unlock the yellow input cells on Class Attendance and Class Grades for teachers.</t>
  </si>
  <si>
    <t xml:space="preserve">  School Dashboard</t>
  </si>
  <si>
    <t xml:space="preserve">  TOTAL STUDENTS</t>
  </si>
  <si>
    <t xml:space="preserve">  TOTAL TEACHERS</t>
  </si>
  <si>
    <t xml:space="preserve">  ATTENDANCE RATE</t>
  </si>
  <si>
    <t xml:space="preserve">  FEES COLLECTED</t>
  </si>
  <si>
    <t xml:space="preserve">BY SCHOOL</t>
  </si>
  <si>
    <t xml:space="preserve">School ID</t>
  </si>
  <si>
    <t xml:space="preserve">School Name</t>
  </si>
  <si>
    <t xml:space="preserve">Student : Teacher</t>
  </si>
  <si>
    <t xml:space="preserve">Attendance Rate</t>
  </si>
  <si>
    <t xml:space="preserve">Avg Score</t>
  </si>
  <si>
    <t xml:space="preserve">Fees Due</t>
  </si>
  <si>
    <t xml:space="preserve">Fees Paid</t>
  </si>
  <si>
    <t xml:space="preserve">Fees Balance</t>
  </si>
  <si>
    <t xml:space="preserve">Collection Rate</t>
  </si>
  <si>
    <t xml:space="preserve">Red attendance = below 85%, green = 95%+. Red collection = below 60%, green = 90%+. Attendance counts Present and Late as attended.</t>
  </si>
  <si>
    <t xml:space="preserve">CHARTS (first 8 schools)</t>
  </si>
  <si>
    <t xml:space="preserve">  Student Report Card</t>
  </si>
  <si>
    <t xml:space="preserve">  Pick a Student ID and a Term in the yellow cells. Everything else fills in. Print or email this page for the parent.</t>
  </si>
  <si>
    <t xml:space="preserve">Print button (set up via School System menu)</t>
  </si>
  <si>
    <t xml:space="preserve">STUDENT ID</t>
  </si>
  <si>
    <t xml:space="preserve">S0001</t>
  </si>
  <si>
    <t xml:space="preserve">OVERALL AVERAGE</t>
  </si>
  <si>
    <t xml:space="preserve">Term start (auto)</t>
  </si>
  <si>
    <t xml:space="preserve">NAME</t>
  </si>
  <si>
    <t xml:space="preserve">OVERALL GRADE</t>
  </si>
  <si>
    <t xml:space="preserve">EMAIL REPORT CARD</t>
  </si>
  <si>
    <t xml:space="preserve">Term end (auto)</t>
  </si>
  <si>
    <t xml:space="preserve">CLASS</t>
  </si>
  <si>
    <t xml:space="preserve">ATTENDANCE RATE</t>
  </si>
  <si>
    <t xml:space="preserve">SAVE PDF TO DRIVE</t>
  </si>
  <si>
    <t xml:space="preserve">SCHOOL</t>
  </si>
  <si>
    <t xml:space="preserve">PRESENT / ABSENT / LATE</t>
  </si>
  <si>
    <t xml:space="preserve">Buttons: School System &gt; Email Reports &gt; Run setup</t>
  </si>
  <si>
    <t xml:space="preserve">ACADEMIC YEAR</t>
  </si>
  <si>
    <t xml:space="preserve">FEES BALANCE</t>
  </si>
  <si>
    <t xml:space="preserve">REPORT TERM</t>
  </si>
  <si>
    <t xml:space="preserve">Term 1</t>
  </si>
  <si>
    <t xml:space="preserve">GUARDIAN EMAIL</t>
  </si>
  <si>
    <t xml:space="preserve">Subject</t>
  </si>
  <si>
    <t xml:space="preserve">Grade</t>
  </si>
  <si>
    <t xml:space="preserve">Remark</t>
  </si>
  <si>
    <t xml:space="preserve">Overall average</t>
  </si>
  <si>
    <t xml:space="preserve">Class teacher: ____________________________</t>
  </si>
  <si>
    <t xml:space="preserve">Date: ____________</t>
  </si>
  <si>
    <t xml:space="preserve">Head teacher: ____________________________</t>
  </si>
  <si>
    <t xml:space="preserve">Parent / guardian: ____________________________</t>
  </si>
  <si>
    <t xml:space="preserve">  Class Results</t>
  </si>
  <si>
    <t xml:space="preserve">  Pick a School ID, Class and Term. Students are listed, ranked by average, ready to print.</t>
  </si>
  <si>
    <t xml:space="preserve">SCHOOL ID</t>
  </si>
  <si>
    <t xml:space="preserve">SCH01</t>
  </si>
  <si>
    <t xml:space="preserve">EMAIL REPORT CARDS (THIS CLASS &amp; TERM)</t>
  </si>
  <si>
    <t xml:space="preserve">Class 4</t>
  </si>
  <si>
    <t xml:space="preserve">EMAIL RESULTS TO CLASS TEACHER</t>
  </si>
  <si>
    <t xml:space="preserve">TERM</t>
  </si>
  <si>
    <t xml:space="preserve">Shows the first 12 subjects in Settings. Position is by average score; equal averages share a position. Each student has a separate report card per term: use Email Report Cards for this class and term.</t>
  </si>
  <si>
    <t xml:space="preserve">No.</t>
  </si>
  <si>
    <t xml:space="preserve">Student ID</t>
  </si>
  <si>
    <t xml:space="preserve">Student Name</t>
  </si>
  <si>
    <t xml:space="preserve">Total</t>
  </si>
  <si>
    <t xml:space="preserve">Average</t>
  </si>
  <si>
    <t xml:space="preserve">Position</t>
  </si>
  <si>
    <t xml:space="preserve">  Class List</t>
  </si>
  <si>
    <t xml:space="preserve">  Pick a School ID and Class. Each class holds up to the limit set in Settings (40). Ready to print as a register.</t>
  </si>
  <si>
    <t xml:space="preserve">Print with the Print Class List button on the Dashboard or on the right of this page. Remarks is a free column for the register.</t>
  </si>
  <si>
    <t xml:space="preserve">Full Name</t>
  </si>
  <si>
    <t xml:space="preserve">Gender</t>
  </si>
  <si>
    <t xml:space="preserve">Date of Birth</t>
  </si>
  <si>
    <t xml:space="preserve">Guardian</t>
  </si>
  <si>
    <t xml:space="preserve">Guardian Phone</t>
  </si>
  <si>
    <t xml:space="preserve">Remarks</t>
  </si>
  <si>
    <t xml:space="preserve">  Class Attendance</t>
  </si>
  <si>
    <t xml:space="preserve">  Pick School ID, Class, Term and the register date. Type P, A or L in the Mark column, then Save Attendance. The grid shows the last 20 school days for this class only.</t>
  </si>
  <si>
    <t xml:space="preserve">SAVE ATTENDANCE</t>
  </si>
  <si>
    <t xml:space="preserve">Term start</t>
  </si>
  <si>
    <t xml:space="preserve">EMAIL ATTENDANCE TO GUARDIANS</t>
  </si>
  <si>
    <t xml:space="preserve">Term end</t>
  </si>
  <si>
    <t xml:space="preserve">EMAIL REGISTER TO CLASS TEACHER</t>
  </si>
  <si>
    <t xml:space="preserve">REGISTER DATE</t>
  </si>
  <si>
    <t xml:space="preserve">Present</t>
  </si>
  <si>
    <t xml:space="preserve">Absent</t>
  </si>
  <si>
    <t xml:space="preserve">Late</t>
  </si>
  <si>
    <t xml:space="preserve">Days</t>
  </si>
  <si>
    <t xml:space="preserve">Rate</t>
  </si>
  <si>
    <t xml:space="preserve">  Class Grades</t>
  </si>
  <si>
    <t xml:space="preserve">  Pick School ID, Class, Term and Subject. Type Class Work and Exam scores (0-100), then Save Grades. Leave a box empty to keep the saved score.</t>
  </si>
  <si>
    <t xml:space="preserve">SAVE GRADES</t>
  </si>
  <si>
    <t xml:space="preserve">SUBJECT</t>
  </si>
  <si>
    <t xml:space="preserve">Mathematics</t>
  </si>
  <si>
    <t xml:space="preserve">Class Work (new)</t>
  </si>
  <si>
    <t xml:space="preserve">Exam (new)</t>
  </si>
  <si>
    <t xml:space="preserve">Saved Class Work</t>
  </si>
  <si>
    <t xml:space="preserve">Saved Exam</t>
  </si>
  <si>
    <t xml:space="preserve">Final Score</t>
  </si>
  <si>
    <t xml:space="preserve">  Student ID Cards</t>
  </si>
  <si>
    <t xml:space="preserve">  Pick a School ID and Class. One card per active student (up to 40), two per row. Print on card stock and cut.</t>
  </si>
  <si>
    <t xml:space="preserve">  Class Timetable</t>
  </si>
  <si>
    <t xml:space="preserve">  Pick a School ID and Class. Lessons come from the Timetable tab; period times come from Settings.</t>
  </si>
  <si>
    <t xml:space="preserve">Period</t>
  </si>
  <si>
    <t xml:space="preserve">Time</t>
  </si>
  <si>
    <t xml:space="preserve">Mon</t>
  </si>
  <si>
    <t xml:space="preserve">Tue</t>
  </si>
  <si>
    <t xml:space="preserve">Wed</t>
  </si>
  <si>
    <t xml:space="preserve">Thu</t>
  </si>
  <si>
    <t xml:space="preserve">Fri</t>
  </si>
  <si>
    <t xml:space="preserve">  Settings</t>
  </si>
  <si>
    <t xml:space="preserve">  Edit the blue cells. Dropdowns across the workbook read from these lists.</t>
  </si>
  <si>
    <t xml:space="preserve">GENERAL</t>
  </si>
  <si>
    <t xml:space="preserve">EMAIL NOTIFICATIONS (Google Sheets)</t>
  </si>
  <si>
    <t xml:space="preserve">PAYROLL AND REMINDERS</t>
  </si>
  <si>
    <t xml:space="preserve">Academic year</t>
  </si>
  <si>
    <t xml:space="preserve">2026/2027</t>
  </si>
  <si>
    <t xml:space="preserve">Send welcome emails (Yes/No)</t>
  </si>
  <si>
    <t xml:space="preserve">Working days per month</t>
  </si>
  <si>
    <t xml:space="preserve">Currency</t>
  </si>
  <si>
    <t xml:space="preserve">SLE</t>
  </si>
  <si>
    <t xml:space="preserve">Organisation name</t>
  </si>
  <si>
    <t xml:space="preserve">Your School Group</t>
  </si>
  <si>
    <t xml:space="preserve">Days between fee reminders</t>
  </si>
  <si>
    <t xml:space="preserve">Max students per class</t>
  </si>
  <si>
    <t xml:space="preserve">Admin email (gets a hidden copy)</t>
  </si>
  <si>
    <t xml:space="preserve">Class work weight</t>
  </si>
  <si>
    <t xml:space="preserve">Exam weight = 100% minus this</t>
  </si>
  <si>
    <t xml:space="preserve">Send absence alerts (Yes/No)</t>
  </si>
  <si>
    <t xml:space="preserve">ROLES (used by Lock formulas and set roles)</t>
  </si>
  <si>
    <t xml:space="preserve">LISTS</t>
  </si>
  <si>
    <t xml:space="preserve">MESSAGE TEMPLATE</t>
  </si>
  <si>
    <t xml:space="preserve">Admin emails (comma separated)</t>
  </si>
  <si>
    <t xml:space="preserve">Terms</t>
  </si>
  <si>
    <t xml:space="preserve">Subjects</t>
  </si>
  <si>
    <t xml:space="preserve">Min score</t>
  </si>
  <si>
    <t xml:space="preserve">Welcome to {org}: your {type} registration ({id})</t>
  </si>
  <si>
    <t xml:space="preserve">Teacher emails (comma separated)</t>
  </si>
  <si>
    <t xml:space="preserve">Nursery</t>
  </si>
  <si>
    <t xml:space="preserve">English Language</t>
  </si>
  <si>
    <t xml:space="preserve">A</t>
  </si>
  <si>
    <t xml:space="preserve">Excellent</t>
  </si>
  <si>
    <t xml:space="preserve">Message</t>
  </si>
  <si>
    <t xml:space="preserve">Dear {recipient},
Thank you for registering with {org}. This confirms that the {type} below has been registered for the {year} academic year.
{details}
Please keep this ID for all future communication.
Kind regards,
{org}</t>
  </si>
  <si>
    <t xml:space="preserve">Term 2</t>
  </si>
  <si>
    <t xml:space="preserve">Class 1</t>
  </si>
  <si>
    <t xml:space="preserve">B</t>
  </si>
  <si>
    <t xml:space="preserve">Very Good</t>
  </si>
  <si>
    <t xml:space="preserve">LESSON PERIODS</t>
  </si>
  <si>
    <t xml:space="preserve">Term 3</t>
  </si>
  <si>
    <t xml:space="preserve">Class 2</t>
  </si>
  <si>
    <t xml:space="preserve">Integrated Science</t>
  </si>
  <si>
    <t xml:space="preserve">C</t>
  </si>
  <si>
    <t xml:space="preserve">Good</t>
  </si>
  <si>
    <t xml:space="preserve">Class 3</t>
  </si>
  <si>
    <t xml:space="preserve">Social Studies</t>
  </si>
  <si>
    <t xml:space="preserve">D</t>
  </si>
  <si>
    <t xml:space="preserve">Pass</t>
  </si>
  <si>
    <t xml:space="preserve">08:00-08:40</t>
  </si>
  <si>
    <t xml:space="preserve">Religious &amp; Moral Education</t>
  </si>
  <si>
    <t xml:space="preserve">F</t>
  </si>
  <si>
    <t xml:space="preserve">Fail</t>
  </si>
  <si>
    <t xml:space="preserve">08:40-09:20</t>
  </si>
  <si>
    <t xml:space="preserve">Class 5</t>
  </si>
  <si>
    <t xml:space="preserve">Physical Education</t>
  </si>
  <si>
    <t xml:space="preserve">09:20-10:00</t>
  </si>
  <si>
    <t xml:space="preserve">Class 6</t>
  </si>
  <si>
    <t xml:space="preserve">Creative Arts</t>
  </si>
  <si>
    <t xml:space="preserve">10:20-11:00</t>
  </si>
  <si>
    <t xml:space="preserve">JSS 1</t>
  </si>
  <si>
    <t xml:space="preserve">Computer Studies</t>
  </si>
  <si>
    <t xml:space="preserve">11:00-11:40</t>
  </si>
  <si>
    <t xml:space="preserve">JSS 2</t>
  </si>
  <si>
    <t xml:space="preserve">French</t>
  </si>
  <si>
    <t xml:space="preserve">11:40-12:20</t>
  </si>
  <si>
    <t xml:space="preserve">JSS 3</t>
  </si>
  <si>
    <t xml:space="preserve">Agriculture</t>
  </si>
  <si>
    <t xml:space="preserve">13:00-13:40</t>
  </si>
  <si>
    <t xml:space="preserve">SSS 1</t>
  </si>
  <si>
    <t xml:space="preserve">Placeholders: {recipient} {name} {type} {id} {school} {class} {year} {org} {details}</t>
  </si>
  <si>
    <t xml:space="preserve">13:40-14:20</t>
  </si>
  <si>
    <t xml:space="preserve">SSS 2</t>
  </si>
  <si>
    <t xml:space="preserve">SSS 3</t>
  </si>
  <si>
    <t xml:space="preserve">ABSENCE ALERT EMAIL</t>
  </si>
  <si>
    <t xml:space="preserve">Absence notice: {student} was absent on {date}</t>
  </si>
  <si>
    <t xml:space="preserve">Dear {recipient},
Our records show that {student} ({id}, {class}) was marked absent from school on {date}.
If this is a mistake, or you would like to explain the absence, please contact the school.
Kind regards,
{org}</t>
  </si>
  <si>
    <t xml:space="preserve">Placeholders: {recipient} {student} {id} {class} {school} {date} {org} {year}</t>
  </si>
  <si>
    <t xml:space="preserve">Classes: up to 20 (B11:B30). Subjects: up to 15 (C11:C25) and all 15 appear on the Report Card. Grade bands must stay highest to lowest.</t>
  </si>
  <si>
    <t xml:space="preserve">TERM DATES (optional)</t>
  </si>
  <si>
    <t xml:space="preserve">FEE REMINDER EMAIL</t>
  </si>
  <si>
    <t xml:space="preserve">Term</t>
  </si>
  <si>
    <t xml:space="preserve">Start date</t>
  </si>
  <si>
    <t xml:space="preserve">End date</t>
  </si>
  <si>
    <t xml:space="preserve">Fee reminder for {student}: {currency} {total} outstanding</t>
  </si>
  <si>
    <t xml:space="preserve">Dear {recipient},
This is a friendly reminder that school fees are outstanding for {student} ({id}, {class}).
{details}
Total outstanding: {currency} {total}
Please make payment at your earliest convenience. If you have already paid, kindly disregard this message.
Kind regards,
{org}</t>
  </si>
  <si>
    <t xml:space="preserve">All terms</t>
  </si>
  <si>
    <t xml:space="preserve">Used for the attendance on each term report card.</t>
  </si>
  <si>
    <t xml:space="preserve">Leave blank to count every date. Row 39 feeds the term pickers.</t>
  </si>
  <si>
    <t xml:space="preserve">Placeholders: {recipient} {student} {id} {class} {school} {details} {total} {currency} {org} {year}</t>
  </si>
  <si>
    <t xml:space="preserve">REPORT CARD EMAIL (PDF attached)</t>
  </si>
  <si>
    <t xml:space="preserve">{student}: {term} report card ({year})</t>
  </si>
  <si>
    <t xml:space="preserve">Dear {recipient},
Please find attached the {term} report card for {student} ({id}, {class}) for the {year} academic year.
Kind regards,
{org}</t>
  </si>
  <si>
    <t xml:space="preserve">Placeholders: {recipient} {student} {id} {class} {school} {term} {org} {year}</t>
  </si>
  <si>
    <t xml:space="preserve">CLASS ATTENDANCE EMAIL (to each guardian)</t>
  </si>
  <si>
    <t xml:space="preserve">Attendance report: {student} ({term})</t>
  </si>
  <si>
    <t xml:space="preserve">Dear {recipient},
Here is the attendance record for {student} ({id}, {class}) for {term}, {year}.
Present: {present}
Absent: {absent}
Late: {late}
Attendance rate: {rate}
Most recent days:
{details}
Kind regards,
{org}</t>
  </si>
  <si>
    <t xml:space="preserve">Placeholders: {recipient} {student} {id} {class} {school} {term} {year} {org} {present} {absent} {late} {rate} {details}</t>
  </si>
  <si>
    <t xml:space="preserve">REPORT FILES (Google Drive)</t>
  </si>
  <si>
    <t xml:space="preserve">Save a PDF copy in Drive (Yes/No)</t>
  </si>
  <si>
    <t xml:space="preserve">Drive folder name</t>
  </si>
  <si>
    <t xml:space="preserve">Report Cards</t>
  </si>
  <si>
    <t xml:space="preserve">  Schools</t>
  </si>
  <si>
    <t xml:space="preserve">  Type the school name and details. The School ID is generated automatically.</t>
  </si>
  <si>
    <t xml:space="preserve">School ID (auto)</t>
  </si>
  <si>
    <t xml:space="preserve">Location / District</t>
  </si>
  <si>
    <t xml:space="preserve">Head Teacher</t>
  </si>
  <si>
    <t xml:space="preserve">Phone</t>
  </si>
  <si>
    <t xml:space="preserve">Email</t>
  </si>
  <si>
    <t xml:space="preserve">Students (active)</t>
  </si>
  <si>
    <t xml:space="preserve">Teachers (active)</t>
  </si>
  <si>
    <t xml:space="preserve">Welcome Email Sent</t>
  </si>
  <si>
    <t xml:space="preserve">Example Primary School</t>
  </si>
  <si>
    <t xml:space="preserve">Freetown</t>
  </si>
  <si>
    <t xml:space="preserve">Mary Kamara</t>
  </si>
  <si>
    <t xml:space="preserve">+232 76 000000</t>
  </si>
  <si>
    <t xml:space="preserve">info@example.edu</t>
  </si>
  <si>
    <t xml:space="preserve">Example row</t>
  </si>
  <si>
    <t xml:space="preserve">  Classes</t>
  </si>
  <si>
    <t xml:space="preserve">  Pick the school, class name and class teacher from the dropdowns.</t>
  </si>
  <si>
    <t xml:space="preserve">Class ID (auto)</t>
  </si>
  <si>
    <t xml:space="preserve">Class Name</t>
  </si>
  <si>
    <t xml:space="preserve">Class Teacher ID</t>
  </si>
  <si>
    <t xml:space="preserve">Class Teacher</t>
  </si>
  <si>
    <t xml:space="preserve">Room</t>
  </si>
  <si>
    <t xml:space="preserve">Places Left (auto)</t>
  </si>
  <si>
    <t xml:space="preserve">Status (auto)</t>
  </si>
  <si>
    <t xml:space="preserve">T001</t>
  </si>
  <si>
    <t xml:space="preserve">Room 4</t>
  </si>
  <si>
    <t xml:space="preserve">  Teachers</t>
  </si>
  <si>
    <t xml:space="preserve">  Type the name and details. The Teacher ID is generated automatically. Mark leavers as Left; do not delete rows.</t>
  </si>
  <si>
    <t xml:space="preserve">Teacher ID (auto)</t>
  </si>
  <si>
    <t xml:space="preserve">Main Subject</t>
  </si>
  <si>
    <t xml:space="preserve">Date Joined</t>
  </si>
  <si>
    <t xml:space="preserve">Status</t>
  </si>
  <si>
    <t xml:space="preserve">John Sesay</t>
  </si>
  <si>
    <t xml:space="preserve">M</t>
  </si>
  <si>
    <t xml:space="preserve">+232 77 000000</t>
  </si>
  <si>
    <t xml:space="preserve">john@example.edu</t>
  </si>
  <si>
    <t xml:space="preserve">Active</t>
  </si>
  <si>
    <t xml:space="preserve">  Students</t>
  </si>
  <si>
    <t xml:space="preserve">  Type the name and details. The Student ID is generated automatically. Mark leavers as Left; do not delete rows.</t>
  </si>
  <si>
    <t xml:space="preserve">Student ID (auto)</t>
  </si>
  <si>
    <t xml:space="preserve">Class</t>
  </si>
  <si>
    <t xml:space="preserve">Address</t>
  </si>
  <si>
    <t xml:space="preserve">Date Admitted</t>
  </si>
  <si>
    <t xml:space="preserve">Guardian Email</t>
  </si>
  <si>
    <t xml:space="preserve">Class Seq (auto)</t>
  </si>
  <si>
    <t xml:space="preserve">Class Key (auto)</t>
  </si>
  <si>
    <t xml:space="preserve">Class Check (auto)</t>
  </si>
  <si>
    <t xml:space="preserve">Aminata Conteh</t>
  </si>
  <si>
    <t xml:space="preserve">Fatmata Conteh</t>
  </si>
  <si>
    <t xml:space="preserve">+232 78 000000</t>
  </si>
  <si>
    <t xml:space="preserve">  Attendance</t>
  </si>
  <si>
    <t xml:space="preserve">  One row per student per day. Pick the Student ID, then P (Present), A (Absent) or L (Late).</t>
  </si>
  <si>
    <t xml:space="preserve">Date</t>
  </si>
  <si>
    <t xml:space="preserve">Status (P/A/L)</t>
  </si>
  <si>
    <t xml:space="preserve">Absence Alert Sent</t>
  </si>
  <si>
    <t xml:space="preserve">P</t>
  </si>
  <si>
    <t xml:space="preserve">  Grades</t>
  </si>
  <si>
    <t xml:space="preserve">  One row per student, subject and term. Final score = class work and exam combined using the weights in Settings.</t>
  </si>
  <si>
    <t xml:space="preserve">Class Work (0-100)</t>
  </si>
  <si>
    <t xml:space="preserve">Exam (0-100)</t>
  </si>
  <si>
    <t xml:space="preserve">Final Score (auto)</t>
  </si>
  <si>
    <t xml:space="preserve">  Fees</t>
  </si>
  <si>
    <t xml:space="preserve">  One row per student per term. Enter amount due and amount paid; balance and status are automatic.</t>
  </si>
  <si>
    <t xml:space="preserve">Amount Due</t>
  </si>
  <si>
    <t xml:space="preserve">Amount Paid</t>
  </si>
  <si>
    <t xml:space="preserve">Date Last Paid</t>
  </si>
  <si>
    <t xml:space="preserve">Balance</t>
  </si>
  <si>
    <t xml:space="preserve">Last Reminder</t>
  </si>
  <si>
    <t xml:space="preserve">  Timetable</t>
  </si>
  <si>
    <t xml:space="preserve">  One row per lesson. The Check column flags a teacher or a class booked twice in the same period.</t>
  </si>
  <si>
    <t xml:space="preserve">Day</t>
  </si>
  <si>
    <t xml:space="preserve">Teacher ID</t>
  </si>
  <si>
    <t xml:space="preserve">Teacher</t>
  </si>
  <si>
    <t xml:space="preserve">Key (auto)</t>
  </si>
  <si>
    <t xml:space="preserve">Check (auto)</t>
  </si>
  <si>
    <t xml:space="preserve">  Staff Attendance</t>
  </si>
  <si>
    <t xml:space="preserve">  One row per teacher per day. P = present, A = absent (deducted in Payroll), L = late, V = approved leave (not deducted).</t>
  </si>
  <si>
    <t xml:space="preserve">Teacher Name</t>
  </si>
  <si>
    <t xml:space="preserve">Status (P/A/L/V)</t>
  </si>
  <si>
    <t xml:space="preserve">  Payroll</t>
  </si>
  <si>
    <t xml:space="preserve">  One row per teacher per month. Absence deduction = basic salary / working days (Settings) x days marked A in Staff Attendance.</t>
  </si>
  <si>
    <t xml:space="preserve">Month (1st day)</t>
  </si>
  <si>
    <t xml:space="preserve">Basic Salary</t>
  </si>
  <si>
    <t xml:space="preserve">Allowances</t>
  </si>
  <si>
    <t xml:space="preserve">Days Absent (auto)</t>
  </si>
  <si>
    <t xml:space="preserve">Absence Deduction (auto)</t>
  </si>
  <si>
    <t xml:space="preserve">Other Deductions</t>
  </si>
  <si>
    <t xml:space="preserve">Net Pay (auto)</t>
  </si>
  <si>
    <t xml:space="preserve">Unpaid</t>
  </si>
  <si>
    <t xml:space="preserve">  Email Log</t>
  </si>
  <si>
    <t xml:space="preserve">  Written automatically by the email script every time a registration email is sent. Do not edit.</t>
  </si>
  <si>
    <t xml:space="preserve">Type</t>
  </si>
  <si>
    <t xml:space="preserve">ID</t>
  </si>
  <si>
    <t xml:space="preserve">Name</t>
  </si>
  <si>
    <t xml:space="preserve">Recipient</t>
  </si>
  <si>
    <t xml:space="preserve">  Report Files</t>
  </si>
  <si>
    <t xml:space="preserve">  One row per student per term: the PDF report card, its Drive link, and who it was emailed to. Written by the email buttons. Clear a Status cell to send that student again.</t>
  </si>
  <si>
    <t xml:space="preserve">Academic Year</t>
  </si>
  <si>
    <t xml:space="preserve">File name</t>
  </si>
  <si>
    <t xml:space="preserve">Drive link</t>
  </si>
  <si>
    <t xml:space="preserve">Emailed to</t>
  </si>
</sst>
</file>

<file path=xl/styles.xml><?xml version="1.0" encoding="utf-8"?>
<styleSheet xmlns="http://schemas.openxmlformats.org/spreadsheetml/2006/main">
  <numFmts count="16">
    <numFmt numFmtId="164" formatCode="General"/>
    <numFmt numFmtId="165" formatCode="#,##0"/>
    <numFmt numFmtId="166" formatCode="0.0%"/>
    <numFmt numFmtId="167" formatCode="General"/>
    <numFmt numFmtId="168" formatCode="0.0"/>
    <numFmt numFmtId="169" formatCode="#,##0;\(#,##0\);\-"/>
    <numFmt numFmtId="170" formatCode="[=0]&quot;all dates&quot;;[&gt;=99999]&quot;all dates&quot;;dd/mm/yyyy"/>
    <numFmt numFmtId="171" formatCode="@"/>
    <numFmt numFmtId="172" formatCode="yyyy\-mm\-dd"/>
    <numFmt numFmtId="173" formatCode="0"/>
    <numFmt numFmtId="174" formatCode="dd/mm/yyyy"/>
    <numFmt numFmtId="175" formatCode="dd/mm"/>
    <numFmt numFmtId="176" formatCode="0%"/>
    <numFmt numFmtId="177" formatCode="mmm\ yyyy"/>
    <numFmt numFmtId="178" formatCode="yyyy\-mm\-dd\ hh:mm"/>
    <numFmt numFmtId="179" formatCode="dd/mm/yyyy\ hh:mm"/>
  </numFmts>
  <fonts count="31">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9"/>
      <color rgb="FF6B7B8C"/>
      <name val="Arial"/>
      <family val="0"/>
      <charset val="1"/>
    </font>
    <font>
      <b val="true"/>
      <sz val="10"/>
      <color rgb="FF1B998B"/>
      <name val="Arial"/>
      <family val="0"/>
      <charset val="1"/>
    </font>
    <font>
      <b val="true"/>
      <sz val="10"/>
      <color rgb="FFFFFFFF"/>
      <name val="Arial"/>
      <family val="0"/>
      <charset val="1"/>
    </font>
    <font>
      <b val="true"/>
      <sz val="10"/>
      <color rgb="FF12355B"/>
      <name val="Arial"/>
      <family val="0"/>
      <charset val="1"/>
    </font>
    <font>
      <sz val="10"/>
      <color rgb="FF000000"/>
      <name val="Arial"/>
      <family val="0"/>
      <charset val="1"/>
    </font>
    <font>
      <sz val="10"/>
      <name val="Arial"/>
      <family val="0"/>
      <charset val="1"/>
    </font>
    <font>
      <b val="true"/>
      <sz val="9"/>
      <color rgb="FF6B7B8C"/>
      <name val="Arial"/>
      <family val="0"/>
      <charset val="1"/>
    </font>
    <font>
      <b val="true"/>
      <sz val="24"/>
      <color rgb="FF12355B"/>
      <name val="Arial"/>
      <family val="0"/>
      <charset val="1"/>
    </font>
    <font>
      <b val="true"/>
      <sz val="18"/>
      <color rgb="FF000000"/>
      <name val="Calibri"/>
      <family val="2"/>
    </font>
    <font>
      <sz val="10"/>
      <color rgb="FF000000"/>
      <name val="Calibri"/>
      <family val="2"/>
    </font>
    <font>
      <b val="true"/>
      <sz val="11"/>
      <color rgb="FF0000FF"/>
      <name val="Arial"/>
      <family val="0"/>
      <charset val="1"/>
    </font>
    <font>
      <b val="true"/>
      <sz val="11"/>
      <color rgb="FF12355B"/>
      <name val="Arial"/>
      <family val="0"/>
      <charset val="1"/>
    </font>
    <font>
      <b val="true"/>
      <sz val="8"/>
      <color rgb="FF12355B"/>
      <name val="Arial"/>
      <family val="0"/>
      <charset val="1"/>
    </font>
    <font>
      <sz val="10"/>
      <color rgb="FF6B7B8C"/>
      <name val="Arial"/>
      <family val="0"/>
      <charset val="1"/>
    </font>
    <font>
      <b val="true"/>
      <sz val="12"/>
      <color rgb="FF12355B"/>
      <name val="Arial"/>
      <family val="0"/>
      <charset val="1"/>
    </font>
    <font>
      <sz val="8"/>
      <color rgb="FF6B7B8C"/>
      <name val="Arial"/>
      <family val="0"/>
      <charset val="1"/>
    </font>
    <font>
      <b val="true"/>
      <sz val="9"/>
      <color rgb="FFFFFFFF"/>
      <name val="Arial"/>
      <family val="0"/>
      <charset val="1"/>
    </font>
    <font>
      <sz val="10"/>
      <color rgb="FF0000FF"/>
      <name val="Arial"/>
      <family val="0"/>
      <charset val="1"/>
    </font>
    <font>
      <b val="true"/>
      <sz val="8"/>
      <color rgb="FFFFFFFF"/>
      <name val="Arial"/>
      <family val="0"/>
      <charset val="1"/>
    </font>
    <font>
      <b val="true"/>
      <sz val="10"/>
      <color rgb="FF0000FF"/>
      <name val="Arial"/>
      <family val="0"/>
      <charset val="1"/>
    </font>
    <font>
      <sz val="9"/>
      <name val="Arial"/>
      <family val="0"/>
      <charset val="1"/>
    </font>
    <font>
      <b val="true"/>
      <sz val="10"/>
      <name val="Arial"/>
      <family val="0"/>
      <charset val="1"/>
    </font>
    <font>
      <sz val="8"/>
      <color rgb="FF9AA5B1"/>
      <name val="Arial"/>
      <family val="0"/>
      <charset val="1"/>
    </font>
    <font>
      <sz val="9"/>
      <color rgb="FF6B7B8C"/>
      <name val="Arial"/>
      <family val="0"/>
      <charset val="1"/>
    </font>
    <font>
      <i val="true"/>
      <sz val="10"/>
      <name val="Arial"/>
      <family val="0"/>
      <charset val="1"/>
    </font>
    <font>
      <i val="true"/>
      <sz val="10"/>
      <color rgb="FF0000FF"/>
      <name val="Arial"/>
      <family val="0"/>
      <charset val="1"/>
    </font>
  </fonts>
  <fills count="7">
    <fill>
      <patternFill patternType="none"/>
    </fill>
    <fill>
      <patternFill patternType="gray125"/>
    </fill>
    <fill>
      <patternFill patternType="solid">
        <fgColor rgb="FF12355B"/>
        <bgColor rgb="FF333333"/>
      </patternFill>
    </fill>
    <fill>
      <patternFill patternType="solid">
        <fgColor rgb="FF1B998B"/>
        <bgColor rgb="FF2E7D32"/>
      </patternFill>
    </fill>
    <fill>
      <patternFill patternType="solid">
        <fgColor rgb="FFF4F7FA"/>
        <bgColor rgb="FFF9F9F9"/>
      </patternFill>
    </fill>
    <fill>
      <patternFill patternType="solid">
        <fgColor rgb="FFFFF9E5"/>
        <bgColor rgb="FFF9F9F9"/>
      </patternFill>
    </fill>
    <fill>
      <patternFill patternType="solid">
        <fgColor rgb="FFE3EAF1"/>
        <bgColor rgb="FFDCE9F7"/>
      </patternFill>
    </fill>
  </fills>
  <borders count="6">
    <border diagonalUp="false" diagonalDown="false">
      <left/>
      <right/>
      <top/>
      <bottom/>
      <diagonal/>
    </border>
    <border diagonalUp="false" diagonalDown="false">
      <left style="thin">
        <color rgb="FFD5DEE8"/>
      </left>
      <right style="thin">
        <color rgb="FFD5DEE8"/>
      </right>
      <top style="thin">
        <color rgb="FFD5DEE8"/>
      </top>
      <bottom style="thin">
        <color rgb="FFD5DEE8"/>
      </bottom>
      <diagonal/>
    </border>
    <border diagonalUp="false" diagonalDown="false">
      <left style="thick">
        <color rgb="FF1B998B"/>
      </left>
      <right/>
      <top/>
      <bottom/>
      <diagonal/>
    </border>
    <border diagonalUp="false" diagonalDown="false">
      <left/>
      <right/>
      <top/>
      <bottom style="medium">
        <color rgb="FF1B998B"/>
      </bottom>
      <diagonal/>
    </border>
    <border diagonalUp="false" diagonalDown="false">
      <left/>
      <right/>
      <top style="medium">
        <color rgb="FF12355B"/>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0" fillId="3" borderId="0"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1" fillId="4" borderId="2" xfId="0" applyFont="true" applyBorder="true" applyAlignment="true" applyProtection="false">
      <alignment horizontal="general" vertical="bottom" textRotation="0" wrapText="false" indent="0" shrinkToFit="false"/>
      <protection locked="true" hidden="false"/>
    </xf>
    <xf numFmtId="165" fontId="12" fillId="4" borderId="2" xfId="0" applyFont="true" applyBorder="true" applyAlignment="true" applyProtection="false">
      <alignment horizontal="left" vertical="center" textRotation="0" wrapText="false" indent="1" shrinkToFit="false"/>
      <protection locked="true" hidden="false"/>
    </xf>
    <xf numFmtId="166" fontId="12" fillId="4" borderId="2" xfId="0" applyFont="true" applyBorder="true" applyAlignment="true" applyProtection="false">
      <alignment horizontal="left" vertical="center" textRotation="0" wrapText="false" indent="1" shrinkToFit="false"/>
      <protection locked="true" hidden="false"/>
    </xf>
    <xf numFmtId="164" fontId="7" fillId="2" borderId="3"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8" fontId="10" fillId="0" borderId="1" xfId="0" applyFont="true" applyBorder="true" applyAlignment="true" applyProtection="false">
      <alignment horizontal="center" vertical="center" textRotation="0" wrapText="fals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8" fontId="16" fillId="4" borderId="0" xfId="0" applyFont="true" applyBorder="false" applyAlignment="true" applyProtection="false">
      <alignment horizontal="center"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left" vertical="bottom" textRotation="0" wrapText="false" indent="0" shrinkToFit="false"/>
      <protection locked="true" hidden="false"/>
    </xf>
    <xf numFmtId="171" fontId="16" fillId="4"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6" fontId="16" fillId="4"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9" fontId="16" fillId="4" borderId="0" xfId="0" applyFont="true" applyBorder="false" applyAlignment="true" applyProtection="false">
      <alignment horizontal="center" vertical="bottom" textRotation="0" wrapText="false" indent="0" shrinkToFit="false"/>
      <protection locked="true" hidden="false"/>
    </xf>
    <xf numFmtId="164" fontId="17" fillId="4" borderId="0" xfId="0" applyFont="true" applyBorder="false" applyAlignment="true" applyProtection="false">
      <alignment horizontal="center" vertical="center" textRotation="0" wrapText="false" indent="0" shrinkToFit="true"/>
      <protection locked="true" hidden="false"/>
    </xf>
    <xf numFmtId="164" fontId="7" fillId="2" borderId="3"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8" fontId="10"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8" fillId="6" borderId="4" xfId="0" applyFont="true" applyBorder="true" applyAlignment="true" applyProtection="false">
      <alignment horizontal="left" vertical="bottom" textRotation="0" wrapText="false" indent="0" shrinkToFit="false"/>
      <protection locked="true" hidden="false"/>
    </xf>
    <xf numFmtId="168" fontId="8" fillId="6" borderId="4" xfId="0" applyFont="true" applyBorder="true" applyAlignment="true" applyProtection="false">
      <alignment horizontal="center" vertical="bottom" textRotation="0" wrapText="false" indent="0" shrinkToFit="false"/>
      <protection locked="true" hidden="false"/>
    </xf>
    <xf numFmtId="164" fontId="8" fillId="6" borderId="4"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72" fontId="10" fillId="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73" fontId="20" fillId="0" borderId="0" xfId="0" applyFont="true" applyBorder="false" applyAlignment="false" applyProtection="false">
      <alignment horizontal="general" vertical="bottom" textRotation="0" wrapText="false" indent="0" shrinkToFit="false"/>
      <protection locked="true" hidden="false"/>
    </xf>
    <xf numFmtId="174" fontId="15" fillId="5" borderId="1"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75" fontId="23" fillId="2" borderId="3" xfId="0" applyFont="true" applyBorder="true" applyAlignment="true" applyProtection="false">
      <alignment horizontal="center" vertical="center" textRotation="0" wrapText="true" indent="0" shrinkToFit="false"/>
      <protection locked="true" hidden="false"/>
    </xf>
    <xf numFmtId="167" fontId="10" fillId="0" borderId="5" xfId="0" applyFont="true" applyBorder="true" applyAlignment="true" applyProtection="false">
      <alignment horizontal="center" vertical="center" textRotation="0" wrapText="false" indent="0" shrinkToFit="false"/>
      <protection locked="true" hidden="false"/>
    </xf>
    <xf numFmtId="164" fontId="10" fillId="0" borderId="5" xfId="0" applyFont="true" applyBorder="true" applyAlignment="true" applyProtection="false">
      <alignment horizontal="left" vertical="center" textRotation="0" wrapText="false" indent="0" shrinkToFit="false"/>
      <protection locked="true" hidden="false"/>
    </xf>
    <xf numFmtId="164" fontId="24" fillId="5" borderId="5" xfId="0" applyFont="true" applyBorder="true" applyAlignment="true" applyProtection="false">
      <alignment horizontal="center" vertical="center" textRotation="0" wrapText="false" indent="0" shrinkToFit="false"/>
      <protection locked="true" hidden="false"/>
    </xf>
    <xf numFmtId="164" fontId="25" fillId="0" borderId="5" xfId="0" applyFont="true" applyBorder="true" applyAlignment="true" applyProtection="false">
      <alignment horizontal="center" vertical="center" textRotation="0" wrapText="false" indent="0" shrinkToFit="false"/>
      <protection locked="true" hidden="false"/>
    </xf>
    <xf numFmtId="176" fontId="10" fillId="0" borderId="5" xfId="0" applyFont="true" applyBorder="true" applyAlignment="true" applyProtection="false">
      <alignment horizontal="center" vertical="center" textRotation="0" wrapText="false" indent="0" shrinkToFit="false"/>
      <protection locked="true" hidden="false"/>
    </xf>
    <xf numFmtId="168" fontId="26" fillId="0" borderId="5" xfId="0" applyFont="true" applyBorder="true" applyAlignment="true" applyProtection="false">
      <alignment horizontal="center" vertical="center" textRotation="0" wrapText="false" indent="0" shrinkToFit="false"/>
      <protection locked="true" hidden="false"/>
    </xf>
    <xf numFmtId="164" fontId="10" fillId="0" borderId="5"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27" fillId="0" borderId="0"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left" vertical="center" textRotation="0" wrapText="false" indent="1" shrinkToFit="false"/>
      <protection locked="true" hidden="false"/>
    </xf>
    <xf numFmtId="164" fontId="28" fillId="0" borderId="0" xfId="0" applyFont="true" applyBorder="true" applyAlignment="true" applyProtection="false">
      <alignment horizontal="left" vertical="center" textRotation="0" wrapText="false" indent="1"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22" fillId="5" borderId="1" xfId="0" applyFont="true" applyBorder="true" applyAlignment="true" applyProtection="false">
      <alignment horizontal="general" vertical="bottom" textRotation="0" wrapText="false" indent="0" shrinkToFit="false"/>
      <protection locked="true" hidden="false"/>
    </xf>
    <xf numFmtId="176" fontId="22" fillId="5" borderId="1"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22" fillId="0" borderId="1" xfId="0" applyFont="true" applyBorder="true" applyAlignment="tru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22" fillId="5"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74" fontId="22" fillId="5" borderId="1" xfId="0" applyFont="true" applyBorder="true" applyAlignment="true" applyProtection="false">
      <alignment horizontal="general" vertical="bottom" textRotation="0" wrapText="false" indent="0" shrinkToFit="false"/>
      <protection locked="true" hidden="false"/>
    </xf>
    <xf numFmtId="164" fontId="29" fillId="6" borderId="1" xfId="0" applyFont="true" applyBorder="true" applyAlignment="true" applyProtection="false">
      <alignment horizontal="center" vertical="center" textRotation="0" wrapText="false" indent="0" shrinkToFit="false"/>
      <protection locked="true" hidden="false"/>
    </xf>
    <xf numFmtId="164" fontId="30" fillId="0" borderId="1" xfId="0" applyFont="true" applyBorder="true" applyAlignment="true" applyProtection="false">
      <alignment horizontal="general"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general" vertical="center" textRotation="0" wrapText="false" indent="0" shrinkToFit="false"/>
      <protection locked="true" hidden="false"/>
    </xf>
    <xf numFmtId="164" fontId="30" fillId="0" borderId="1" xfId="0" applyFont="true" applyBorder="true" applyAlignment="true" applyProtection="false">
      <alignment horizontal="center" vertical="center" textRotation="0" wrapText="false" indent="0" shrinkToFit="false"/>
      <protection locked="true" hidden="false"/>
    </xf>
    <xf numFmtId="164" fontId="29" fillId="6" borderId="1" xfId="0" applyFont="true" applyBorder="true" applyAlignment="true" applyProtection="false">
      <alignment horizontal="general" vertical="center" textRotation="0" wrapText="false" indent="0" shrinkToFit="false"/>
      <protection locked="true" hidden="false"/>
    </xf>
    <xf numFmtId="164" fontId="10" fillId="6" borderId="1" xfId="0" applyFont="true" applyBorder="true" applyAlignment="true" applyProtection="false">
      <alignment horizontal="general" vertical="center" textRotation="0" wrapText="false" indent="0" shrinkToFit="false"/>
      <protection locked="true" hidden="false"/>
    </xf>
    <xf numFmtId="172" fontId="30" fillId="0" borderId="1" xfId="0" applyFont="true" applyBorder="true" applyAlignment="true" applyProtection="false">
      <alignment horizontal="center" vertical="center" textRotation="0" wrapText="false" indent="0" shrinkToFit="false"/>
      <protection locked="true" hidden="false"/>
    </xf>
    <xf numFmtId="172" fontId="22" fillId="0" borderId="1" xfId="0" applyFont="true" applyBorder="true" applyAlignment="true" applyProtection="false">
      <alignment horizontal="center" vertical="center" textRotation="0" wrapText="false" indent="0" shrinkToFit="false"/>
      <protection locked="true" hidden="false"/>
    </xf>
    <xf numFmtId="168" fontId="29" fillId="6" borderId="1" xfId="0" applyFont="true" applyBorder="true" applyAlignment="true" applyProtection="false">
      <alignment horizontal="center" vertical="center" textRotation="0" wrapText="false" indent="0" shrinkToFit="false"/>
      <protection locked="true" hidden="false"/>
    </xf>
    <xf numFmtId="168" fontId="10" fillId="6" borderId="1" xfId="0" applyFont="true" applyBorder="true" applyAlignment="true" applyProtection="false">
      <alignment horizontal="center" vertical="center" textRotation="0" wrapText="false" indent="0" shrinkToFit="false"/>
      <protection locked="true" hidden="false"/>
    </xf>
    <xf numFmtId="169" fontId="30" fillId="0" borderId="1" xfId="0" applyFont="true" applyBorder="true" applyAlignment="true" applyProtection="false">
      <alignment horizontal="general" vertical="center" textRotation="0" wrapText="false" indent="0" shrinkToFit="false"/>
      <protection locked="true" hidden="false"/>
    </xf>
    <xf numFmtId="169" fontId="29" fillId="6" borderId="1" xfId="0" applyFont="true" applyBorder="true" applyAlignment="true" applyProtection="false">
      <alignment horizontal="general" vertical="center" textRotation="0" wrapText="false" indent="0" shrinkToFit="false"/>
      <protection locked="true" hidden="false"/>
    </xf>
    <xf numFmtId="172" fontId="29" fillId="6" borderId="1" xfId="0" applyFont="true" applyBorder="true" applyAlignment="true" applyProtection="false">
      <alignment horizontal="general" vertical="center" textRotation="0" wrapText="false" indent="0" shrinkToFit="false"/>
      <protection locked="true" hidden="false"/>
    </xf>
    <xf numFmtId="169" fontId="22" fillId="0" borderId="1" xfId="0" applyFont="true" applyBorder="true" applyAlignment="true" applyProtection="false">
      <alignment horizontal="general" vertical="center" textRotation="0" wrapText="false" indent="0" shrinkToFit="false"/>
      <protection locked="true" hidden="false"/>
    </xf>
    <xf numFmtId="169" fontId="10" fillId="6" borderId="1" xfId="0" applyFont="true" applyBorder="true" applyAlignment="true" applyProtection="false">
      <alignment horizontal="general" vertical="center" textRotation="0" wrapText="false" indent="0" shrinkToFit="false"/>
      <protection locked="true" hidden="false"/>
    </xf>
    <xf numFmtId="172" fontId="10" fillId="6" borderId="1" xfId="0" applyFont="true" applyBorder="true" applyAlignment="true" applyProtection="false">
      <alignment horizontal="general" vertical="center" textRotation="0" wrapText="false" indent="0" shrinkToFit="false"/>
      <protection locked="true" hidden="false"/>
    </xf>
    <xf numFmtId="177" fontId="30" fillId="0" borderId="1" xfId="0" applyFont="true" applyBorder="true" applyAlignment="true" applyProtection="false">
      <alignment horizontal="center" vertical="center" textRotation="0" wrapText="false" indent="0" shrinkToFit="false"/>
      <protection locked="true" hidden="false"/>
    </xf>
    <xf numFmtId="177" fontId="22" fillId="0" borderId="1" xfId="0" applyFont="true" applyBorder="true" applyAlignment="true" applyProtection="false">
      <alignment horizontal="center" vertical="center" textRotation="0" wrapText="false" indent="0" shrinkToFit="false"/>
      <protection locked="true" hidden="false"/>
    </xf>
    <xf numFmtId="178" fontId="22" fillId="0" borderId="1" xfId="0" applyFont="true" applyBorder="true" applyAlignment="true" applyProtection="false">
      <alignment horizontal="general" vertical="center" textRotation="0" wrapText="false" indent="0" shrinkToFit="false"/>
      <protection locked="true" hidden="false"/>
    </xf>
    <xf numFmtId="179" fontId="22" fillId="0"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bgColor rgb="FFEEF4F9"/>
        </patternFill>
      </fill>
    </dxf>
    <dxf>
      <font>
        <name val="Arial"/>
        <charset val="1"/>
        <family val="0"/>
        <b val="1"/>
        <color rgb="FF9B1C1C"/>
      </font>
    </dxf>
    <dxf>
      <font>
        <name val="Arial"/>
        <charset val="1"/>
        <family val="0"/>
        <b val="1"/>
        <color rgb="FF1E6B34"/>
      </font>
    </dxf>
    <dxf>
      <border diagonalUp="false" diagonalDown="false">
        <left/>
        <right/>
        <top/>
        <bottom style="thin">
          <color rgb="FFD5DEE8"/>
        </bottom>
        <diagonal/>
      </border>
    </dxf>
    <dxf>
      <fill>
        <patternFill>
          <bgColor rgb="FF12355B"/>
        </patternFill>
      </fill>
    </dxf>
    <dxf>
      <font>
        <name val="Arial"/>
        <charset val="1"/>
        <family val="0"/>
        <b val="1"/>
        <color rgb="FF8A6100"/>
      </font>
      <fill>
        <patternFill>
          <bgColor rgb="FFFFF3CD"/>
        </patternFill>
      </fill>
    </dxf>
    <dxf>
      <font>
        <name val="Arial"/>
        <charset val="1"/>
        <family val="0"/>
        <b val="1"/>
        <color rgb="FF1E6B34"/>
      </font>
      <fill>
        <patternFill>
          <bgColor rgb="FFD4EDDA"/>
        </patternFill>
      </fill>
    </dxf>
    <dxf>
      <font>
        <name val="Arial"/>
        <charset val="1"/>
        <family val="0"/>
        <b val="1"/>
        <color rgb="FF9B1C1C"/>
      </font>
      <fill>
        <patternFill>
          <bgColor rgb="FFF8D7DA"/>
        </patternFill>
      </fill>
    </dxf>
    <dxf>
      <font>
        <name val="Arial"/>
        <charset val="1"/>
        <family val="0"/>
        <color rgb="FF9B1C1C"/>
      </font>
    </dxf>
    <dxf>
      <font>
        <b val="1"/>
        <color rgb="FF006100"/>
      </font>
      <fill>
        <patternFill>
          <bgColor rgb="FFC6EFCE"/>
        </patternFill>
      </fill>
    </dxf>
    <dxf>
      <font>
        <b val="1"/>
        <color rgb="FF9C0006"/>
      </font>
      <fill>
        <patternFill>
          <bgColor rgb="FFFFC7CE"/>
        </patternFill>
      </fill>
    </dxf>
    <dxf>
      <font>
        <b val="1"/>
        <color rgb="FF9C5700"/>
      </font>
      <fill>
        <patternFill>
          <bgColor rgb="FFFFEB9C"/>
        </patternFill>
      </fill>
    </dxf>
    <dxf>
      <font>
        <b val="1"/>
        <color rgb="FFC00000"/>
      </font>
    </dxf>
    <dxf>
      <font>
        <b val="1"/>
        <color rgb="FF2E7D32"/>
      </font>
    </dxf>
    <dxf>
      <fill>
        <patternFill>
          <bgColor rgb="FFF4F7FA"/>
        </patternFill>
      </fill>
    </dxf>
    <dxf>
      <fill>
        <patternFill>
          <bgColor rgb="FF12355B"/>
        </patternFill>
      </fill>
      <border diagonalUp="false" diagonalDown="false">
        <left style="thin">
          <color rgb="FFD5DEE8"/>
        </left>
        <right style="thin">
          <color rgb="FFD5DEE8"/>
        </right>
        <top style="thin">
          <color rgb="FFD5DEE8"/>
        </top>
        <bottom style="thin">
          <color rgb="FFD5DEE8"/>
        </bottom>
        <diagonal/>
      </border>
    </dxf>
    <dxf>
      <border diagonalUp="false" diagonalDown="false">
        <left style="thin">
          <color rgb="FFD5DEE8"/>
        </left>
        <right style="thin">
          <color rgb="FFD5DEE8"/>
        </right>
        <top style="thin">
          <color rgb="FFD5DEE8"/>
        </top>
        <bottom style="thin">
          <color rgb="FFD5DEE8"/>
        </bottom>
        <diagonal/>
      </border>
    </dxf>
    <dxf>
      <fill>
        <patternFill>
          <bgColor rgb="FFE6F4F2"/>
        </patternFill>
      </fill>
    </dxf>
    <dxf>
      <font>
        <name val="Arial"/>
        <charset val="1"/>
        <family val="0"/>
        <b val="1"/>
        <color rgb="FF1F4E79"/>
      </font>
      <fill>
        <patternFill>
          <bgColor rgb="FFDCE9F7"/>
        </patternFill>
      </fill>
    </dxf>
    <dxf>
      <fill>
        <patternFill>
          <bgColor rgb="FFEEF4F9"/>
        </patternFill>
      </fill>
    </dxf>
    <dxf>
      <fill>
        <patternFill>
          <bgColor rgb="FFD4EDDA"/>
        </patternFill>
      </fill>
    </dxf>
    <dxf>
      <fill>
        <patternFill>
          <bgColor rgb="FFFFF3CD"/>
        </patternFill>
      </fill>
    </dxf>
    <dxf>
      <fill>
        <patternFill>
          <bgColor rgb="FFF8D7DA"/>
        </patternFill>
      </fill>
    </dxf>
  </dxfs>
  <colors>
    <indexedColors>
      <rgbColor rgb="FF000000"/>
      <rgbColor rgb="FFFFFFFF"/>
      <rgbColor rgb="FFC00000"/>
      <rgbColor rgb="FF00FF00"/>
      <rgbColor rgb="FF0000FF"/>
      <rgbColor rgb="FFFFF9E5"/>
      <rgbColor rgb="FFFF00FF"/>
      <rgbColor rgb="FF00FFFF"/>
      <rgbColor rgb="FF9C0006"/>
      <rgbColor rgb="FF006100"/>
      <rgbColor rgb="FF000080"/>
      <rgbColor rgb="FF8A6100"/>
      <rgbColor rgb="FF800080"/>
      <rgbColor rgb="FF1E6B34"/>
      <rgbColor rgb="FFD0D7DE"/>
      <rgbColor rgb="FF878787"/>
      <rgbColor rgb="FF7F8C9A"/>
      <rgbColor rgb="FF9C5700"/>
      <rgbColor rgb="FFFFF3CD"/>
      <rgbColor rgb="FFE6F4F2"/>
      <rgbColor rgb="FF660066"/>
      <rgbColor rgb="FFDCE9F7"/>
      <rgbColor rgb="FF0066CC"/>
      <rgbColor rgb="FFC9D3DD"/>
      <rgbColor rgb="FF000080"/>
      <rgbColor rgb="FFFF00FF"/>
      <rgbColor rgb="FFF9F9F9"/>
      <rgbColor rgb="FF00FFFF"/>
      <rgbColor rgb="FF800080"/>
      <rgbColor rgb="FF9B1C1C"/>
      <rgbColor rgb="FF2E7D32"/>
      <rgbColor rgb="FF0000FF"/>
      <rgbColor rgb="FF00CCFF"/>
      <rgbColor rgb="FFD4EDDA"/>
      <rgbColor rgb="FFC6EFCE"/>
      <rgbColor rgb="FFFFEB9C"/>
      <rgbColor rgb="FFD5DEE8"/>
      <rgbColor rgb="FFF8D7DA"/>
      <rgbColor rgb="FFD9D9D9"/>
      <rgbColor rgb="FFFFC7CE"/>
      <rgbColor rgb="FF3366FF"/>
      <rgbColor rgb="FFF4F7FA"/>
      <rgbColor rgb="FFEEF4F9"/>
      <rgbColor rgb="FFE3EAF1"/>
      <rgbColor rgb="FFE09F3E"/>
      <rgbColor rgb="FFFF6600"/>
      <rgbColor rgb="FF6B7B8C"/>
      <rgbColor rgb="FF9AA5B1"/>
      <rgbColor rgb="FF12355B"/>
      <rgbColor rgb="FF1B998B"/>
      <rgbColor rgb="FF003300"/>
      <rgbColor rgb="FF333300"/>
      <rgbColor rgb="FF9E2A2B"/>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Students per school</a:t>
            </a:r>
          </a:p>
        </c:rich>
      </c:tx>
      <c:overlay val="0"/>
      <c:spPr>
        <a:noFill/>
        <a:ln w="0">
          <a:noFill/>
        </a:ln>
      </c:spPr>
    </c:title>
    <c:autoTitleDeleted val="0"/>
    <c:plotArea>
      <c:barChart>
        <c:barDir val="col"/>
        <c:grouping val="clustered"/>
        <c:varyColors val="0"/>
        <c:ser>
          <c:idx val="0"/>
          <c:order val="0"/>
          <c:tx>
            <c:strRef>
              <c:f>Dashboard!C9</c:f>
              <c:strCache>
                <c:ptCount val="1"/>
                <c:pt idx="0">
                  <c:v>Students</c:v>
                </c:pt>
              </c:strCache>
            </c:strRef>
          </c:tx>
          <c:spPr>
            <a:solidFill>
              <a:srgbClr val="12355b"/>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Dashboard!$B$10:$B$17</c:f>
              <c:strCache>
                <c:ptCount val="8"/>
                <c:pt idx="0">
                  <c:v>Example Primary School</c:v>
                </c:pt>
                <c:pt idx="1">
                  <c:v/>
                </c:pt>
                <c:pt idx="2">
                  <c:v/>
                </c:pt>
                <c:pt idx="3">
                  <c:v/>
                </c:pt>
                <c:pt idx="4">
                  <c:v/>
                </c:pt>
                <c:pt idx="5">
                  <c:v/>
                </c:pt>
                <c:pt idx="6">
                  <c:v/>
                </c:pt>
                <c:pt idx="7">
                  <c:v/>
                </c:pt>
              </c:strCache>
            </c:strRef>
          </c:cat>
          <c:val>
            <c:numRef>
              <c:f>Dashboard!$C$10:$C$17</c:f>
              <c:numCache>
                <c:formatCode>General</c:formatCode>
                <c:ptCount val="8"/>
                <c:pt idx="0">
                  <c:v>1</c:v>
                </c:pt>
              </c:numCache>
            </c:numRef>
          </c:val>
        </c:ser>
        <c:gapWidth val="150"/>
        <c:overlap val="0"/>
        <c:axId val="16856371"/>
        <c:axId val="21636568"/>
      </c:barChart>
      <c:catAx>
        <c:axId val="1685637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636568"/>
        <c:crosses val="autoZero"/>
        <c:auto val="1"/>
        <c:lblAlgn val="ctr"/>
        <c:lblOffset val="100"/>
        <c:noMultiLvlLbl val="0"/>
      </c:catAx>
      <c:valAx>
        <c:axId val="21636568"/>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85637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Fees due vs paid</a:t>
            </a:r>
          </a:p>
        </c:rich>
      </c:tx>
      <c:overlay val="0"/>
      <c:spPr>
        <a:noFill/>
        <a:ln w="0">
          <a:noFill/>
        </a:ln>
      </c:spPr>
    </c:title>
    <c:autoTitleDeleted val="0"/>
    <c:plotArea>
      <c:barChart>
        <c:barDir val="col"/>
        <c:grouping val="clustered"/>
        <c:varyColors val="0"/>
        <c:ser>
          <c:idx val="0"/>
          <c:order val="0"/>
          <c:tx>
            <c:strRef>
              <c:f>Dashboard!H9</c:f>
              <c:strCache>
                <c:ptCount val="1"/>
                <c:pt idx="0">
                  <c:v>Fees Due</c:v>
                </c:pt>
              </c:strCache>
            </c:strRef>
          </c:tx>
          <c:spPr>
            <a:solidFill>
              <a:srgbClr val="c9d3d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Dashboard!$B$10:$B$17</c:f>
              <c:strCache>
                <c:ptCount val="8"/>
                <c:pt idx="0">
                  <c:v>Example Primary School</c:v>
                </c:pt>
                <c:pt idx="1">
                  <c:v/>
                </c:pt>
                <c:pt idx="2">
                  <c:v/>
                </c:pt>
                <c:pt idx="3">
                  <c:v/>
                </c:pt>
                <c:pt idx="4">
                  <c:v/>
                </c:pt>
                <c:pt idx="5">
                  <c:v/>
                </c:pt>
                <c:pt idx="6">
                  <c:v/>
                </c:pt>
                <c:pt idx="7">
                  <c:v/>
                </c:pt>
              </c:strCache>
            </c:strRef>
          </c:cat>
          <c:val>
            <c:numRef>
              <c:f>Dashboard!$H$10:$H$17</c:f>
              <c:numCache>
                <c:formatCode>#,##0;\(#,##0\);\-</c:formatCode>
                <c:ptCount val="8"/>
                <c:pt idx="0">
                  <c:v>500</c:v>
                </c:pt>
              </c:numCache>
            </c:numRef>
          </c:val>
        </c:ser>
        <c:ser>
          <c:idx val="1"/>
          <c:order val="1"/>
          <c:tx>
            <c:strRef>
              <c:f>Dashboard!I9</c:f>
              <c:strCache>
                <c:ptCount val="1"/>
                <c:pt idx="0">
                  <c:v>Fees Paid</c:v>
                </c:pt>
              </c:strCache>
            </c:strRef>
          </c:tx>
          <c:spPr>
            <a:solidFill>
              <a:srgbClr val="1b998b"/>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Dashboard!$B$10:$B$17</c:f>
              <c:strCache>
                <c:ptCount val="8"/>
                <c:pt idx="0">
                  <c:v>Example Primary School</c:v>
                </c:pt>
                <c:pt idx="1">
                  <c:v/>
                </c:pt>
                <c:pt idx="2">
                  <c:v/>
                </c:pt>
                <c:pt idx="3">
                  <c:v/>
                </c:pt>
                <c:pt idx="4">
                  <c:v/>
                </c:pt>
                <c:pt idx="5">
                  <c:v/>
                </c:pt>
                <c:pt idx="6">
                  <c:v/>
                </c:pt>
                <c:pt idx="7">
                  <c:v/>
                </c:pt>
              </c:strCache>
            </c:strRef>
          </c:cat>
          <c:val>
            <c:numRef>
              <c:f>Dashboard!$I$10:$I$17</c:f>
              <c:numCache>
                <c:formatCode>#,##0;\(#,##0\);\-</c:formatCode>
                <c:ptCount val="8"/>
                <c:pt idx="0">
                  <c:v>300</c:v>
                </c:pt>
              </c:numCache>
            </c:numRef>
          </c:val>
        </c:ser>
        <c:gapWidth val="150"/>
        <c:overlap val="0"/>
        <c:axId val="53250603"/>
        <c:axId val="42789073"/>
      </c:barChart>
      <c:catAx>
        <c:axId val="5325060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789073"/>
        <c:crosses val="autoZero"/>
        <c:auto val="1"/>
        <c:lblAlgn val="ctr"/>
        <c:lblOffset val="100"/>
        <c:noMultiLvlLbl val="0"/>
      </c:catAx>
      <c:valAx>
        <c:axId val="4278907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25060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0</xdr:rowOff>
    </xdr:from>
    <xdr:to>
      <xdr:col>4</xdr:col>
      <xdr:colOff>888120</xdr:colOff>
      <xdr:row>40</xdr:row>
      <xdr:rowOff>32400</xdr:rowOff>
    </xdr:to>
    <xdr:graphicFrame>
      <xdr:nvGraphicFramePr>
        <xdr:cNvPr id="0" name="Chart 1"/>
        <xdr:cNvGraphicFramePr/>
      </xdr:nvGraphicFramePr>
      <xdr:xfrm>
        <a:off x="0" y="7562880"/>
        <a:ext cx="539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26</xdr:row>
      <xdr:rowOff>0</xdr:rowOff>
    </xdr:from>
    <xdr:to>
      <xdr:col>10</xdr:col>
      <xdr:colOff>676800</xdr:colOff>
      <xdr:row>40</xdr:row>
      <xdr:rowOff>32400</xdr:rowOff>
    </xdr:to>
    <xdr:graphicFrame>
      <xdr:nvGraphicFramePr>
        <xdr:cNvPr id="1" name="Chart 2"/>
        <xdr:cNvGraphicFramePr/>
      </xdr:nvGraphicFramePr>
      <xdr:xfrm>
        <a:off x="5497920" y="7562880"/>
        <a:ext cx="5399280" cy="26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9A"/>
    <pageSetUpPr fitToPage="false"/>
  </sheetPr>
  <dimension ref="A1:D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62"/>
    <col collapsed="false" customWidth="true" hidden="false" outlineLevel="0" max="3" min="3" style="1" width="26"/>
    <col collapsed="false" customWidth="true" hidden="false" outlineLevel="0" max="4" min="4" style="1" width="3"/>
  </cols>
  <sheetData>
    <row r="1" customFormat="false" ht="42" hidden="false" customHeight="true" outlineLevel="0" collapsed="false">
      <c r="A1" s="2" t="s">
        <v>0</v>
      </c>
      <c r="B1" s="2"/>
      <c r="C1" s="2"/>
      <c r="D1" s="2"/>
    </row>
    <row r="2" customFormat="false" ht="19.5" hidden="false" customHeight="true" outlineLevel="0" collapsed="false">
      <c r="A2" s="3" t="s">
        <v>1</v>
      </c>
      <c r="B2" s="3"/>
      <c r="C2" s="3"/>
      <c r="D2" s="3"/>
    </row>
    <row r="3" customFormat="false" ht="3.75" hidden="false" customHeight="true" outlineLevel="0" collapsed="false">
      <c r="A3" s="4"/>
      <c r="B3" s="4"/>
      <c r="C3" s="4"/>
      <c r="D3" s="4"/>
    </row>
    <row r="5" customFormat="false" ht="25.5" hidden="false" customHeight="true" outlineLevel="0" collapsed="false">
      <c r="A5" s="5" t="s">
        <v>2</v>
      </c>
    </row>
    <row r="6" customFormat="false" ht="15" hidden="false" customHeight="true" outlineLevel="0" collapsed="false">
      <c r="A6" s="6" t="s">
        <v>3</v>
      </c>
      <c r="B6" s="6" t="s">
        <v>4</v>
      </c>
      <c r="C6" s="6" t="s">
        <v>5</v>
      </c>
    </row>
    <row r="7" customFormat="false" ht="19.5" hidden="false" customHeight="true" outlineLevel="0" collapsed="false">
      <c r="A7" s="7" t="s">
        <v>6</v>
      </c>
      <c r="B7" s="8" t="s">
        <v>7</v>
      </c>
      <c r="C7" s="8" t="s">
        <v>8</v>
      </c>
    </row>
    <row r="8" customFormat="false" ht="19.5" hidden="false" customHeight="true" outlineLevel="0" collapsed="false">
      <c r="A8" s="7" t="s">
        <v>9</v>
      </c>
      <c r="B8" s="8" t="s">
        <v>10</v>
      </c>
      <c r="C8" s="8" t="s">
        <v>11</v>
      </c>
    </row>
    <row r="9" customFormat="false" ht="19.5" hidden="false" customHeight="true" outlineLevel="0" collapsed="false">
      <c r="A9" s="7" t="s">
        <v>12</v>
      </c>
      <c r="B9" s="8" t="s">
        <v>13</v>
      </c>
      <c r="C9" s="8" t="s">
        <v>14</v>
      </c>
    </row>
    <row r="10" customFormat="false" ht="19.5" hidden="false" customHeight="true" outlineLevel="0" collapsed="false">
      <c r="A10" s="7" t="s">
        <v>15</v>
      </c>
      <c r="B10" s="8" t="s">
        <v>16</v>
      </c>
      <c r="C10" s="8" t="s">
        <v>17</v>
      </c>
    </row>
    <row r="11" customFormat="false" ht="19.5" hidden="false" customHeight="true" outlineLevel="0" collapsed="false">
      <c r="A11" s="7" t="s">
        <v>18</v>
      </c>
      <c r="B11" s="8" t="s">
        <v>19</v>
      </c>
      <c r="C11" s="8" t="s">
        <v>17</v>
      </c>
    </row>
    <row r="12" customFormat="false" ht="19.5" hidden="false" customHeight="true" outlineLevel="0" collapsed="false">
      <c r="A12" s="7" t="s">
        <v>20</v>
      </c>
      <c r="B12" s="8" t="s">
        <v>21</v>
      </c>
      <c r="C12" s="8" t="s">
        <v>17</v>
      </c>
    </row>
    <row r="13" customFormat="false" ht="19.5" hidden="false" customHeight="true" outlineLevel="0" collapsed="false">
      <c r="A13" s="7" t="s">
        <v>22</v>
      </c>
      <c r="B13" s="8" t="s">
        <v>23</v>
      </c>
      <c r="C13" s="8" t="s">
        <v>24</v>
      </c>
    </row>
    <row r="14" customFormat="false" ht="19.5" hidden="false" customHeight="true" outlineLevel="0" collapsed="false">
      <c r="A14" s="7" t="s">
        <v>25</v>
      </c>
      <c r="B14" s="8" t="s">
        <v>26</v>
      </c>
      <c r="C14" s="8" t="s">
        <v>27</v>
      </c>
    </row>
    <row r="15" customFormat="false" ht="19.5" hidden="false" customHeight="true" outlineLevel="0" collapsed="false">
      <c r="A15" s="7" t="s">
        <v>28</v>
      </c>
      <c r="B15" s="8" t="s">
        <v>29</v>
      </c>
      <c r="C15" s="8" t="s">
        <v>27</v>
      </c>
    </row>
    <row r="16" customFormat="false" ht="19.5" hidden="false" customHeight="true" outlineLevel="0" collapsed="false">
      <c r="A16" s="7" t="s">
        <v>30</v>
      </c>
      <c r="B16" s="8" t="s">
        <v>31</v>
      </c>
      <c r="C16" s="8" t="s">
        <v>27</v>
      </c>
    </row>
    <row r="17" customFormat="false" ht="19.5" hidden="false" customHeight="true" outlineLevel="0" collapsed="false">
      <c r="A17" s="7" t="s">
        <v>32</v>
      </c>
      <c r="B17" s="8" t="s">
        <v>33</v>
      </c>
      <c r="C17" s="8" t="s">
        <v>27</v>
      </c>
    </row>
    <row r="18" customFormat="false" ht="19.5" hidden="false" customHeight="true" outlineLevel="0" collapsed="false">
      <c r="A18" s="7" t="s">
        <v>34</v>
      </c>
      <c r="B18" s="8" t="s">
        <v>35</v>
      </c>
      <c r="C18" s="8" t="s">
        <v>27</v>
      </c>
    </row>
    <row r="19" customFormat="false" ht="19.5" hidden="false" customHeight="true" outlineLevel="0" collapsed="false">
      <c r="A19" s="7" t="s">
        <v>36</v>
      </c>
      <c r="B19" s="8" t="s">
        <v>37</v>
      </c>
      <c r="C19" s="8" t="s">
        <v>27</v>
      </c>
    </row>
    <row r="20" customFormat="false" ht="19.5" hidden="false" customHeight="true" outlineLevel="0" collapsed="false">
      <c r="A20" s="7" t="s">
        <v>38</v>
      </c>
      <c r="B20" s="8" t="s">
        <v>39</v>
      </c>
      <c r="C20" s="8" t="s">
        <v>27</v>
      </c>
    </row>
    <row r="21" customFormat="false" ht="19.5" hidden="false" customHeight="true" outlineLevel="0" collapsed="false">
      <c r="A21" s="7" t="s">
        <v>40</v>
      </c>
      <c r="B21" s="8" t="s">
        <v>41</v>
      </c>
      <c r="C21" s="8" t="s">
        <v>27</v>
      </c>
    </row>
    <row r="22" customFormat="false" ht="19.5" hidden="false" customHeight="true" outlineLevel="0" collapsed="false">
      <c r="A22" s="7" t="s">
        <v>42</v>
      </c>
      <c r="B22" s="8" t="s">
        <v>43</v>
      </c>
      <c r="C22" s="8" t="s">
        <v>27</v>
      </c>
    </row>
    <row r="23" customFormat="false" ht="19.5" hidden="false" customHeight="true" outlineLevel="0" collapsed="false">
      <c r="A23" s="7" t="s">
        <v>44</v>
      </c>
      <c r="B23" s="8" t="s">
        <v>45</v>
      </c>
      <c r="C23" s="8" t="s">
        <v>27</v>
      </c>
    </row>
    <row r="24" customFormat="false" ht="19.5" hidden="false" customHeight="true" outlineLevel="0" collapsed="false">
      <c r="A24" s="7" t="s">
        <v>46</v>
      </c>
      <c r="B24" s="8" t="s">
        <v>47</v>
      </c>
      <c r="C24" s="8" t="s">
        <v>8</v>
      </c>
    </row>
    <row r="26" customFormat="false" ht="25.5" hidden="false" customHeight="true" outlineLevel="0" collapsed="false">
      <c r="A26" s="5" t="s">
        <v>48</v>
      </c>
    </row>
    <row r="27" customFormat="false" ht="15" hidden="false" customHeight="true" outlineLevel="0" collapsed="false">
      <c r="A27" s="9" t="s">
        <v>49</v>
      </c>
      <c r="B27" s="9"/>
      <c r="C27" s="9"/>
    </row>
    <row r="28" customFormat="false" ht="15" hidden="false" customHeight="true" outlineLevel="0" collapsed="false">
      <c r="A28" s="9" t="s">
        <v>50</v>
      </c>
      <c r="B28" s="9"/>
      <c r="C28" s="9"/>
    </row>
    <row r="29" customFormat="false" ht="33.75" hidden="false" customHeight="true" outlineLevel="0" collapsed="false">
      <c r="A29" s="10" t="s">
        <v>51</v>
      </c>
      <c r="B29" s="10"/>
      <c r="C29" s="10"/>
    </row>
    <row r="31" customFormat="false" ht="25.5" hidden="false" customHeight="true" outlineLevel="0" collapsed="false">
      <c r="A31" s="5" t="s">
        <v>52</v>
      </c>
    </row>
    <row r="32" customFormat="false" ht="15" hidden="false" customHeight="true" outlineLevel="0" collapsed="false">
      <c r="A32" s="9" t="s">
        <v>53</v>
      </c>
      <c r="B32" s="9"/>
      <c r="C32" s="9"/>
    </row>
    <row r="33" customFormat="false" ht="15" hidden="false" customHeight="true" outlineLevel="0" collapsed="false">
      <c r="A33" s="9" t="s">
        <v>54</v>
      </c>
      <c r="B33" s="9"/>
      <c r="C33" s="9"/>
    </row>
    <row r="34" customFormat="false" ht="15" hidden="false" customHeight="true" outlineLevel="0" collapsed="false">
      <c r="A34" s="9" t="s">
        <v>55</v>
      </c>
      <c r="B34" s="9"/>
      <c r="C34" s="9"/>
    </row>
    <row r="36" customFormat="false" ht="25.5" hidden="false" customHeight="true" outlineLevel="0" collapsed="false">
      <c r="A36" s="5" t="s">
        <v>56</v>
      </c>
    </row>
    <row r="37" customFormat="false" ht="33.75" hidden="false" customHeight="true" outlineLevel="0" collapsed="false">
      <c r="A37" s="10" t="s">
        <v>57</v>
      </c>
      <c r="B37" s="10"/>
      <c r="C37" s="10"/>
    </row>
    <row r="38" customFormat="false" ht="19.5" hidden="false" customHeight="true" outlineLevel="0" collapsed="false">
      <c r="A38" s="10" t="s">
        <v>58</v>
      </c>
      <c r="B38" s="10"/>
      <c r="C38" s="10"/>
    </row>
    <row r="39" customFormat="false" ht="33.75" hidden="false" customHeight="true" outlineLevel="0" collapsed="false">
      <c r="A39" s="10" t="s">
        <v>59</v>
      </c>
      <c r="B39" s="10"/>
      <c r="C39" s="10"/>
    </row>
    <row r="40" customFormat="false" ht="33.75" hidden="false" customHeight="true" outlineLevel="0" collapsed="false">
      <c r="A40" s="10" t="s">
        <v>60</v>
      </c>
      <c r="B40" s="10"/>
      <c r="C40" s="10"/>
    </row>
    <row r="41" customFormat="false" ht="33.75" hidden="false" customHeight="true" outlineLevel="0" collapsed="false">
      <c r="A41" s="10" t="s">
        <v>61</v>
      </c>
      <c r="B41" s="10"/>
      <c r="C41" s="10"/>
    </row>
    <row r="42" customFormat="false" ht="33.75" hidden="false" customHeight="true" outlineLevel="0" collapsed="false">
      <c r="A42" s="10" t="s">
        <v>62</v>
      </c>
      <c r="B42" s="10"/>
      <c r="C42" s="10"/>
    </row>
    <row r="43" customFormat="false" ht="33.75" hidden="false" customHeight="true" outlineLevel="0" collapsed="false">
      <c r="A43" s="10" t="s">
        <v>63</v>
      </c>
      <c r="B43" s="10"/>
      <c r="C43" s="10"/>
    </row>
    <row r="45" customFormat="false" ht="25.5" hidden="false" customHeight="true" outlineLevel="0" collapsed="false">
      <c r="A45" s="5" t="s">
        <v>64</v>
      </c>
    </row>
    <row r="46" customFormat="false" ht="33.75" hidden="false" customHeight="true" outlineLevel="0" collapsed="false">
      <c r="A46" s="10" t="s">
        <v>65</v>
      </c>
      <c r="B46" s="10"/>
      <c r="C46" s="10"/>
    </row>
    <row r="47" customFormat="false" ht="33.75" hidden="false" customHeight="true" outlineLevel="0" collapsed="false">
      <c r="A47" s="10" t="s">
        <v>66</v>
      </c>
      <c r="B47" s="10"/>
      <c r="C47" s="10"/>
    </row>
    <row r="48" customFormat="false" ht="33.75" hidden="false" customHeight="true" outlineLevel="0" collapsed="false">
      <c r="A48" s="10" t="s">
        <v>67</v>
      </c>
      <c r="B48" s="10"/>
      <c r="C48" s="10"/>
    </row>
    <row r="49" customFormat="false" ht="33.75" hidden="false" customHeight="true" outlineLevel="0" collapsed="false">
      <c r="A49" s="10" t="s">
        <v>68</v>
      </c>
      <c r="B49" s="10"/>
      <c r="C49" s="10"/>
    </row>
    <row r="50" customFormat="false" ht="48" hidden="false" customHeight="true" outlineLevel="0" collapsed="false">
      <c r="A50" s="10" t="s">
        <v>69</v>
      </c>
      <c r="B50" s="10"/>
      <c r="C50" s="10"/>
    </row>
    <row r="52" customFormat="false" ht="25.5" hidden="false" customHeight="true" outlineLevel="0" collapsed="false">
      <c r="A52" s="5" t="s">
        <v>70</v>
      </c>
    </row>
    <row r="53" customFormat="false" ht="33.75" hidden="false" customHeight="true" outlineLevel="0" collapsed="false">
      <c r="A53" s="10" t="s">
        <v>71</v>
      </c>
      <c r="B53" s="10"/>
      <c r="C53" s="10"/>
    </row>
    <row r="54" customFormat="false" ht="48" hidden="false" customHeight="true" outlineLevel="0" collapsed="false">
      <c r="A54" s="10" t="s">
        <v>72</v>
      </c>
      <c r="B54" s="10"/>
      <c r="C54" s="10"/>
    </row>
    <row r="55" customFormat="false" ht="33.75" hidden="false" customHeight="true" outlineLevel="0" collapsed="false">
      <c r="A55" s="10" t="s">
        <v>73</v>
      </c>
      <c r="B55" s="10"/>
      <c r="C55" s="10"/>
    </row>
    <row r="56" customFormat="false" ht="48" hidden="false" customHeight="true" outlineLevel="0" collapsed="false">
      <c r="A56" s="10" t="s">
        <v>74</v>
      </c>
      <c r="B56" s="10"/>
      <c r="C56" s="10"/>
    </row>
    <row r="57" customFormat="false" ht="33.75" hidden="false" customHeight="true" outlineLevel="0" collapsed="false">
      <c r="A57" s="10" t="s">
        <v>75</v>
      </c>
      <c r="B57" s="10"/>
      <c r="C57" s="10"/>
    </row>
    <row r="58" customFormat="false" ht="33.75" hidden="false" customHeight="true" outlineLevel="0" collapsed="false">
      <c r="A58" s="10" t="s">
        <v>76</v>
      </c>
      <c r="B58" s="10"/>
      <c r="C58" s="10"/>
    </row>
    <row r="59" customFormat="false" ht="48" hidden="false" customHeight="true" outlineLevel="0" collapsed="false">
      <c r="A59" s="10" t="s">
        <v>77</v>
      </c>
      <c r="B59" s="10"/>
      <c r="C59" s="10"/>
    </row>
    <row r="61" customFormat="false" ht="25.5" hidden="false" customHeight="true" outlineLevel="0" collapsed="false">
      <c r="A61" s="5" t="s">
        <v>78</v>
      </c>
    </row>
    <row r="62" customFormat="false" ht="33.75" hidden="false" customHeight="true" outlineLevel="0" collapsed="false">
      <c r="A62" s="10" t="s">
        <v>79</v>
      </c>
      <c r="B62" s="10"/>
      <c r="C62" s="10"/>
    </row>
    <row r="63" customFormat="false" ht="33.75" hidden="false" customHeight="true" outlineLevel="0" collapsed="false">
      <c r="A63" s="10" t="s">
        <v>80</v>
      </c>
      <c r="B63" s="10"/>
      <c r="C63" s="10"/>
    </row>
    <row r="64" customFormat="false" ht="33.75" hidden="false" customHeight="true" outlineLevel="0" collapsed="false">
      <c r="A64" s="10" t="s">
        <v>81</v>
      </c>
      <c r="B64" s="10"/>
      <c r="C64" s="10"/>
    </row>
    <row r="65" customFormat="false" ht="61.5" hidden="false" customHeight="true" outlineLevel="0" collapsed="false">
      <c r="A65" s="10" t="s">
        <v>82</v>
      </c>
      <c r="B65" s="10"/>
      <c r="C65" s="10"/>
    </row>
    <row r="66" customFormat="false" ht="19.5" hidden="false" customHeight="true" outlineLevel="0" collapsed="false">
      <c r="A66" s="10" t="s">
        <v>83</v>
      </c>
      <c r="B66" s="10"/>
      <c r="C66" s="10"/>
    </row>
    <row r="68" customFormat="false" ht="25.5" hidden="false" customHeight="true" outlineLevel="0" collapsed="false">
      <c r="A68" s="11" t="s">
        <v>84</v>
      </c>
      <c r="B68" s="11"/>
      <c r="C68" s="11"/>
    </row>
    <row r="69" customFormat="false" ht="33.75" hidden="false" customHeight="true" outlineLevel="0" collapsed="false">
      <c r="A69" s="10" t="s">
        <v>85</v>
      </c>
      <c r="B69" s="10"/>
      <c r="C69" s="10"/>
    </row>
    <row r="70" customFormat="false" ht="48.75" hidden="false" customHeight="true" outlineLevel="0" collapsed="false">
      <c r="A70" s="10" t="s">
        <v>86</v>
      </c>
      <c r="B70" s="10"/>
      <c r="C70" s="10"/>
    </row>
    <row r="71" customFormat="false" ht="33.75" hidden="false" customHeight="true" outlineLevel="0" collapsed="false">
      <c r="A71" s="10" t="s">
        <v>87</v>
      </c>
      <c r="B71" s="10"/>
      <c r="C71" s="10"/>
    </row>
    <row r="72" customFormat="false" ht="33.75" hidden="false" customHeight="true" outlineLevel="0" collapsed="false">
      <c r="A72" s="10" t="s">
        <v>88</v>
      </c>
      <c r="B72" s="10"/>
      <c r="C72" s="10"/>
    </row>
    <row r="73" customFormat="false" ht="48.75" hidden="false" customHeight="true" outlineLevel="0" collapsed="false">
      <c r="A73" s="10" t="s">
        <v>89</v>
      </c>
      <c r="B73" s="10"/>
      <c r="C73" s="10"/>
    </row>
    <row r="74" customFormat="false" ht="33.75" hidden="false" customHeight="true" outlineLevel="0" collapsed="false">
      <c r="A74" s="10" t="s">
        <v>90</v>
      </c>
      <c r="B74" s="10"/>
      <c r="C74" s="10"/>
    </row>
    <row r="75" customFormat="false" ht="33.75" hidden="false" customHeight="true" outlineLevel="0" collapsed="false">
      <c r="A75" s="10" t="s">
        <v>91</v>
      </c>
      <c r="B75" s="10"/>
      <c r="C75" s="10"/>
    </row>
    <row r="76" customFormat="false" ht="48.75" hidden="false" customHeight="true" outlineLevel="0" collapsed="false">
      <c r="A76" s="10" t="s">
        <v>92</v>
      </c>
      <c r="B76" s="10"/>
      <c r="C76" s="10"/>
    </row>
  </sheetData>
  <mergeCells count="42">
    <mergeCell ref="A1:D1"/>
    <mergeCell ref="A2:D2"/>
    <mergeCell ref="A3:D3"/>
    <mergeCell ref="A27:C27"/>
    <mergeCell ref="A28:C28"/>
    <mergeCell ref="A29:C29"/>
    <mergeCell ref="A32:C32"/>
    <mergeCell ref="A33:C33"/>
    <mergeCell ref="A34:C34"/>
    <mergeCell ref="A37:C37"/>
    <mergeCell ref="A38:C38"/>
    <mergeCell ref="A39:C39"/>
    <mergeCell ref="A40:C40"/>
    <mergeCell ref="A41:C41"/>
    <mergeCell ref="A42:C42"/>
    <mergeCell ref="A43:C43"/>
    <mergeCell ref="A46:C46"/>
    <mergeCell ref="A47:C47"/>
    <mergeCell ref="A48:C48"/>
    <mergeCell ref="A49:C49"/>
    <mergeCell ref="A50:C50"/>
    <mergeCell ref="A53:C53"/>
    <mergeCell ref="A54:C54"/>
    <mergeCell ref="A55:C55"/>
    <mergeCell ref="A56:C56"/>
    <mergeCell ref="A57:C57"/>
    <mergeCell ref="A58:C58"/>
    <mergeCell ref="A59:C59"/>
    <mergeCell ref="A62:C62"/>
    <mergeCell ref="A63:C63"/>
    <mergeCell ref="A64:C64"/>
    <mergeCell ref="A65:C65"/>
    <mergeCell ref="A66:C66"/>
    <mergeCell ref="A68:C68"/>
    <mergeCell ref="A69:C69"/>
    <mergeCell ref="A70:C70"/>
    <mergeCell ref="A71:C71"/>
    <mergeCell ref="A72:C72"/>
    <mergeCell ref="A73:C73"/>
    <mergeCell ref="A74:C74"/>
    <mergeCell ref="A75:C75"/>
    <mergeCell ref="A76:C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98B"/>
    <pageSetUpPr fitToPage="true"/>
  </sheetPr>
  <dimension ref="A1:K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4" min="3" style="1" width="11"/>
    <col collapsed="false" customWidth="true" hidden="false" outlineLevel="0" max="6" min="5" style="1" width="14"/>
    <col collapsed="false" customWidth="true" hidden="false" outlineLevel="0" max="7" min="7" style="1" width="11"/>
    <col collapsed="false" customWidth="true" hidden="false" outlineLevel="0" max="11" min="8" style="1" width="14"/>
  </cols>
  <sheetData>
    <row r="1" customFormat="false" ht="42" hidden="false" customHeight="true" outlineLevel="0" collapsed="false">
      <c r="A1" s="2" t="s">
        <v>93</v>
      </c>
      <c r="B1" s="2"/>
      <c r="C1" s="2"/>
      <c r="D1" s="2"/>
      <c r="E1" s="2"/>
      <c r="F1" s="2"/>
      <c r="G1" s="2"/>
      <c r="H1" s="2"/>
      <c r="I1" s="2"/>
      <c r="J1" s="2"/>
      <c r="K1" s="2"/>
    </row>
    <row r="2" customFormat="false" ht="19.5" hidden="false" customHeight="true" outlineLevel="0" collapsed="false">
      <c r="A2" s="3" t="str">
        <f aca="false">"  Academic year "&amp;Settings!B5&amp;"   |   Currency: "&amp;Settings!B6&amp;"   |   Emails sent: "&amp;COUNTIF('Email Log'!$G$5:$G$304,"Sent*")&amp;"   |   Updates automatically"</f>
        <v>  Academic year 2026/2027   |   Currency: SLE   |   Emails sent: 0   |   Updates automatically</v>
      </c>
      <c r="B2" s="3"/>
      <c r="C2" s="3"/>
      <c r="D2" s="3"/>
      <c r="E2" s="3"/>
      <c r="F2" s="3"/>
      <c r="G2" s="3"/>
      <c r="H2" s="3"/>
      <c r="I2" s="3"/>
      <c r="J2" s="3"/>
      <c r="K2" s="3"/>
    </row>
    <row r="3" customFormat="false" ht="3.75" hidden="false" customHeight="true" outlineLevel="0" collapsed="false">
      <c r="A3" s="4"/>
      <c r="B3" s="4"/>
      <c r="C3" s="4"/>
      <c r="D3" s="4"/>
      <c r="E3" s="4"/>
      <c r="F3" s="4"/>
      <c r="G3" s="4"/>
      <c r="H3" s="4"/>
      <c r="I3" s="4"/>
      <c r="J3" s="4"/>
      <c r="K3" s="4"/>
    </row>
    <row r="4" customFormat="false" ht="9.75" hidden="false" customHeight="true" outlineLevel="0" collapsed="false"/>
    <row r="5" customFormat="false" ht="21.75" hidden="false" customHeight="true" outlineLevel="0" collapsed="false">
      <c r="A5" s="12" t="s">
        <v>94</v>
      </c>
      <c r="B5" s="12"/>
      <c r="C5" s="12" t="s">
        <v>95</v>
      </c>
      <c r="D5" s="12"/>
      <c r="E5" s="12"/>
      <c r="F5" s="12" t="s">
        <v>96</v>
      </c>
      <c r="G5" s="12"/>
      <c r="H5" s="12"/>
      <c r="I5" s="12" t="s">
        <v>97</v>
      </c>
      <c r="J5" s="12"/>
      <c r="K5" s="12"/>
    </row>
    <row r="6" customFormat="false" ht="42" hidden="false" customHeight="true" outlineLevel="0" collapsed="false">
      <c r="A6" s="13" t="n">
        <f aca="false">SUM(Schools!$G$5:$G$304)</f>
        <v>1</v>
      </c>
      <c r="B6" s="13"/>
      <c r="C6" s="13" t="n">
        <f aca="false">SUM(Schools!$H$5:$H$304)</f>
        <v>1</v>
      </c>
      <c r="D6" s="13"/>
      <c r="E6" s="13"/>
      <c r="F6" s="14" t="n">
        <f aca="false">IF(COUNTA(Attendance!$F$5:$F$304)=0,"-",(COUNTIF(Attendance!$F$5:$F$304,"P")+COUNTIF(Attendance!$F$5:$F$304,"L"))/COUNTA(Attendance!$F$5:$F$304))</f>
        <v>1</v>
      </c>
      <c r="G6" s="14"/>
      <c r="H6" s="14"/>
      <c r="I6" s="14" t="n">
        <f aca="false">IF(SUM(Fees!$F$5:$F$304)=0,"-",SUM(Fees!$G$5:$G$304)/SUM(Fees!$F$5:$F$304))</f>
        <v>0.6</v>
      </c>
      <c r="J6" s="14"/>
      <c r="K6" s="14"/>
    </row>
    <row r="7" customFormat="false" ht="54" hidden="false" customHeight="true" outlineLevel="0" collapsed="false"/>
    <row r="8" customFormat="false" ht="15" hidden="false" customHeight="true" outlineLevel="0" collapsed="false">
      <c r="A8" s="5" t="s">
        <v>98</v>
      </c>
    </row>
    <row r="9" customFormat="false" ht="31.5" hidden="false" customHeight="true" outlineLevel="0" collapsed="false">
      <c r="A9" s="15" t="s">
        <v>99</v>
      </c>
      <c r="B9" s="15" t="s">
        <v>100</v>
      </c>
      <c r="C9" s="15" t="s">
        <v>32</v>
      </c>
      <c r="D9" s="15" t="s">
        <v>30</v>
      </c>
      <c r="E9" s="15" t="s">
        <v>101</v>
      </c>
      <c r="F9" s="15" t="s">
        <v>102</v>
      </c>
      <c r="G9" s="15" t="s">
        <v>103</v>
      </c>
      <c r="H9" s="15" t="s">
        <v>104</v>
      </c>
      <c r="I9" s="15" t="s">
        <v>105</v>
      </c>
      <c r="J9" s="15" t="s">
        <v>106</v>
      </c>
      <c r="K9" s="15" t="s">
        <v>107</v>
      </c>
    </row>
    <row r="10" customFormat="false" ht="21.75" hidden="false" customHeight="true" outlineLevel="0" collapsed="false">
      <c r="A10" s="16" t="str">
        <f aca="false">IF(Schools!A5="","",Schools!A5)</f>
        <v>SCH01</v>
      </c>
      <c r="B10" s="16" t="str">
        <f aca="false">IF($A10="","",Schools!B5)</f>
        <v>Example Primary School</v>
      </c>
      <c r="C10" s="17" t="n">
        <f aca="false">IF($A10="","",Schools!G5)</f>
        <v>1</v>
      </c>
      <c r="D10" s="17" t="n">
        <f aca="false">IF($A10="","",Schools!H5)</f>
        <v>1</v>
      </c>
      <c r="E10" s="17" t="n">
        <f aca="false">IF($A10="","",IF(D10=0,"-",ROUND(C10/D10,1)))</f>
        <v>1</v>
      </c>
      <c r="F10" s="18" t="n">
        <f aca="false">IF($A10="","",IF(COUNTIF(Attendance!$D$5:$D$304,$A10)=0,"-",(COUNTIFS(Attendance!$D$5:$D$304,$A10,Attendance!$F$5:$F$304,"P")+COUNTIFS(Attendance!$D$5:$D$304,$A10,Attendance!$F$5:$F$304,"L"))/COUNTIF(Attendance!$D$5:$D$304,$A10)))</f>
        <v>1</v>
      </c>
      <c r="G10" s="19" t="n">
        <f aca="false">IF($A10="","",IFERROR(AVERAGEIF(Grades!$C$5:$C$304,$A10,Grades!$I$5:$I$304),"-"))</f>
        <v>77.7</v>
      </c>
      <c r="H10" s="20" t="n">
        <f aca="false">IF($A10="","",SUMIF(Fees!$C$5:$C$304,$A10,Fees!$F$5:$F$304))</f>
        <v>500</v>
      </c>
      <c r="I10" s="20" t="n">
        <f aca="false">IF($A10="","",SUMIF(Fees!$C$5:$C$304,$A10,Fees!$G$5:$G$304))</f>
        <v>300</v>
      </c>
      <c r="J10" s="20" t="n">
        <f aca="false">IF($A10="","",H10-I10)</f>
        <v>200</v>
      </c>
      <c r="K10" s="18" t="n">
        <f aca="false">IF($A10="","",IF(H10=0,"-",I10/H10))</f>
        <v>0.6</v>
      </c>
    </row>
    <row r="11" customFormat="false" ht="21.75" hidden="false" customHeight="true" outlineLevel="0" collapsed="false">
      <c r="A11" s="16" t="str">
        <f aca="false">IF(Schools!A6="","",Schools!A6)</f>
        <v/>
      </c>
      <c r="B11" s="16" t="str">
        <f aca="false">IF($A11="","",Schools!B6)</f>
        <v/>
      </c>
      <c r="C11" s="17" t="str">
        <f aca="false">IF($A11="","",Schools!G6)</f>
        <v/>
      </c>
      <c r="D11" s="17" t="str">
        <f aca="false">IF($A11="","",Schools!H6)</f>
        <v/>
      </c>
      <c r="E11" s="17" t="str">
        <f aca="false">IF($A11="","",IF(D11=0,"-",ROUND(C11/D11,1)))</f>
        <v/>
      </c>
      <c r="F11" s="18" t="str">
        <f aca="false">IF($A11="","",IF(COUNTIF(Attendance!$D$5:$D$304,$A11)=0,"-",(COUNTIFS(Attendance!$D$5:$D$304,$A11,Attendance!$F$5:$F$304,"P")+COUNTIFS(Attendance!$D$5:$D$304,$A11,Attendance!$F$5:$F$304,"L"))/COUNTIF(Attendance!$D$5:$D$304,$A11)))</f>
        <v/>
      </c>
      <c r="G11" s="19" t="str">
        <f aca="false">IF($A11="","",IFERROR(AVERAGEIF(Grades!$C$5:$C$304,$A11,Grades!$I$5:$I$304),"-"))</f>
        <v/>
      </c>
      <c r="H11" s="20" t="str">
        <f aca="false">IF($A11="","",SUMIF(Fees!$C$5:$C$304,$A11,Fees!$F$5:$F$304))</f>
        <v/>
      </c>
      <c r="I11" s="20" t="str">
        <f aca="false">IF($A11="","",SUMIF(Fees!$C$5:$C$304,$A11,Fees!$G$5:$G$304))</f>
        <v/>
      </c>
      <c r="J11" s="20" t="str">
        <f aca="false">IF($A11="","",H11-I11)</f>
        <v/>
      </c>
      <c r="K11" s="18" t="str">
        <f aca="false">IF($A11="","",IF(H11=0,"-",I11/H11))</f>
        <v/>
      </c>
    </row>
    <row r="12" customFormat="false" ht="21.75" hidden="false" customHeight="true" outlineLevel="0" collapsed="false">
      <c r="A12" s="16" t="str">
        <f aca="false">IF(Schools!A7="","",Schools!A7)</f>
        <v/>
      </c>
      <c r="B12" s="16" t="str">
        <f aca="false">IF($A12="","",Schools!B7)</f>
        <v/>
      </c>
      <c r="C12" s="17" t="str">
        <f aca="false">IF($A12="","",Schools!G7)</f>
        <v/>
      </c>
      <c r="D12" s="17" t="str">
        <f aca="false">IF($A12="","",Schools!H7)</f>
        <v/>
      </c>
      <c r="E12" s="17" t="str">
        <f aca="false">IF($A12="","",IF(D12=0,"-",ROUND(C12/D12,1)))</f>
        <v/>
      </c>
      <c r="F12" s="18" t="str">
        <f aca="false">IF($A12="","",IF(COUNTIF(Attendance!$D$5:$D$304,$A12)=0,"-",(COUNTIFS(Attendance!$D$5:$D$304,$A12,Attendance!$F$5:$F$304,"P")+COUNTIFS(Attendance!$D$5:$D$304,$A12,Attendance!$F$5:$F$304,"L"))/COUNTIF(Attendance!$D$5:$D$304,$A12)))</f>
        <v/>
      </c>
      <c r="G12" s="19" t="str">
        <f aca="false">IF($A12="","",IFERROR(AVERAGEIF(Grades!$C$5:$C$304,$A12,Grades!$I$5:$I$304),"-"))</f>
        <v/>
      </c>
      <c r="H12" s="20" t="str">
        <f aca="false">IF($A12="","",SUMIF(Fees!$C$5:$C$304,$A12,Fees!$F$5:$F$304))</f>
        <v/>
      </c>
      <c r="I12" s="20" t="str">
        <f aca="false">IF($A12="","",SUMIF(Fees!$C$5:$C$304,$A12,Fees!$G$5:$G$304))</f>
        <v/>
      </c>
      <c r="J12" s="20" t="str">
        <f aca="false">IF($A12="","",H12-I12)</f>
        <v/>
      </c>
      <c r="K12" s="18" t="str">
        <f aca="false">IF($A12="","",IF(H12=0,"-",I12/H12))</f>
        <v/>
      </c>
    </row>
    <row r="13" customFormat="false" ht="21.75" hidden="false" customHeight="true" outlineLevel="0" collapsed="false">
      <c r="A13" s="16" t="str">
        <f aca="false">IF(Schools!A8="","",Schools!A8)</f>
        <v/>
      </c>
      <c r="B13" s="16" t="str">
        <f aca="false">IF($A13="","",Schools!B8)</f>
        <v/>
      </c>
      <c r="C13" s="17" t="str">
        <f aca="false">IF($A13="","",Schools!G8)</f>
        <v/>
      </c>
      <c r="D13" s="17" t="str">
        <f aca="false">IF($A13="","",Schools!H8)</f>
        <v/>
      </c>
      <c r="E13" s="17" t="str">
        <f aca="false">IF($A13="","",IF(D13=0,"-",ROUND(C13/D13,1)))</f>
        <v/>
      </c>
      <c r="F13" s="18" t="str">
        <f aca="false">IF($A13="","",IF(COUNTIF(Attendance!$D$5:$D$304,$A13)=0,"-",(COUNTIFS(Attendance!$D$5:$D$304,$A13,Attendance!$F$5:$F$304,"P")+COUNTIFS(Attendance!$D$5:$D$304,$A13,Attendance!$F$5:$F$304,"L"))/COUNTIF(Attendance!$D$5:$D$304,$A13)))</f>
        <v/>
      </c>
      <c r="G13" s="19" t="str">
        <f aca="false">IF($A13="","",IFERROR(AVERAGEIF(Grades!$C$5:$C$304,$A13,Grades!$I$5:$I$304),"-"))</f>
        <v/>
      </c>
      <c r="H13" s="20" t="str">
        <f aca="false">IF($A13="","",SUMIF(Fees!$C$5:$C$304,$A13,Fees!$F$5:$F$304))</f>
        <v/>
      </c>
      <c r="I13" s="20" t="str">
        <f aca="false">IF($A13="","",SUMIF(Fees!$C$5:$C$304,$A13,Fees!$G$5:$G$304))</f>
        <v/>
      </c>
      <c r="J13" s="20" t="str">
        <f aca="false">IF($A13="","",H13-I13)</f>
        <v/>
      </c>
      <c r="K13" s="18" t="str">
        <f aca="false">IF($A13="","",IF(H13=0,"-",I13/H13))</f>
        <v/>
      </c>
    </row>
    <row r="14" customFormat="false" ht="21.75" hidden="false" customHeight="true" outlineLevel="0" collapsed="false">
      <c r="A14" s="16" t="str">
        <f aca="false">IF(Schools!A9="","",Schools!A9)</f>
        <v/>
      </c>
      <c r="B14" s="16" t="str">
        <f aca="false">IF($A14="","",Schools!B9)</f>
        <v/>
      </c>
      <c r="C14" s="17" t="str">
        <f aca="false">IF($A14="","",Schools!G9)</f>
        <v/>
      </c>
      <c r="D14" s="17" t="str">
        <f aca="false">IF($A14="","",Schools!H9)</f>
        <v/>
      </c>
      <c r="E14" s="17" t="str">
        <f aca="false">IF($A14="","",IF(D14=0,"-",ROUND(C14/D14,1)))</f>
        <v/>
      </c>
      <c r="F14" s="18" t="str">
        <f aca="false">IF($A14="","",IF(COUNTIF(Attendance!$D$5:$D$304,$A14)=0,"-",(COUNTIFS(Attendance!$D$5:$D$304,$A14,Attendance!$F$5:$F$304,"P")+COUNTIFS(Attendance!$D$5:$D$304,$A14,Attendance!$F$5:$F$304,"L"))/COUNTIF(Attendance!$D$5:$D$304,$A14)))</f>
        <v/>
      </c>
      <c r="G14" s="19" t="str">
        <f aca="false">IF($A14="","",IFERROR(AVERAGEIF(Grades!$C$5:$C$304,$A14,Grades!$I$5:$I$304),"-"))</f>
        <v/>
      </c>
      <c r="H14" s="20" t="str">
        <f aca="false">IF($A14="","",SUMIF(Fees!$C$5:$C$304,$A14,Fees!$F$5:$F$304))</f>
        <v/>
      </c>
      <c r="I14" s="20" t="str">
        <f aca="false">IF($A14="","",SUMIF(Fees!$C$5:$C$304,$A14,Fees!$G$5:$G$304))</f>
        <v/>
      </c>
      <c r="J14" s="20" t="str">
        <f aca="false">IF($A14="","",H14-I14)</f>
        <v/>
      </c>
      <c r="K14" s="18" t="str">
        <f aca="false">IF($A14="","",IF(H14=0,"-",I14/H14))</f>
        <v/>
      </c>
    </row>
    <row r="15" customFormat="false" ht="21.75" hidden="false" customHeight="true" outlineLevel="0" collapsed="false">
      <c r="A15" s="16" t="str">
        <f aca="false">IF(Schools!A10="","",Schools!A10)</f>
        <v/>
      </c>
      <c r="B15" s="16" t="str">
        <f aca="false">IF($A15="","",Schools!B10)</f>
        <v/>
      </c>
      <c r="C15" s="17" t="str">
        <f aca="false">IF($A15="","",Schools!G10)</f>
        <v/>
      </c>
      <c r="D15" s="17" t="str">
        <f aca="false">IF($A15="","",Schools!H10)</f>
        <v/>
      </c>
      <c r="E15" s="17" t="str">
        <f aca="false">IF($A15="","",IF(D15=0,"-",ROUND(C15/D15,1)))</f>
        <v/>
      </c>
      <c r="F15" s="18" t="str">
        <f aca="false">IF($A15="","",IF(COUNTIF(Attendance!$D$5:$D$304,$A15)=0,"-",(COUNTIFS(Attendance!$D$5:$D$304,$A15,Attendance!$F$5:$F$304,"P")+COUNTIFS(Attendance!$D$5:$D$304,$A15,Attendance!$F$5:$F$304,"L"))/COUNTIF(Attendance!$D$5:$D$304,$A15)))</f>
        <v/>
      </c>
      <c r="G15" s="19" t="str">
        <f aca="false">IF($A15="","",IFERROR(AVERAGEIF(Grades!$C$5:$C$304,$A15,Grades!$I$5:$I$304),"-"))</f>
        <v/>
      </c>
      <c r="H15" s="20" t="str">
        <f aca="false">IF($A15="","",SUMIF(Fees!$C$5:$C$304,$A15,Fees!$F$5:$F$304))</f>
        <v/>
      </c>
      <c r="I15" s="20" t="str">
        <f aca="false">IF($A15="","",SUMIF(Fees!$C$5:$C$304,$A15,Fees!$G$5:$G$304))</f>
        <v/>
      </c>
      <c r="J15" s="20" t="str">
        <f aca="false">IF($A15="","",H15-I15)</f>
        <v/>
      </c>
      <c r="K15" s="18" t="str">
        <f aca="false">IF($A15="","",IF(H15=0,"-",I15/H15))</f>
        <v/>
      </c>
    </row>
    <row r="16" customFormat="false" ht="21.75" hidden="false" customHeight="true" outlineLevel="0" collapsed="false">
      <c r="A16" s="16" t="str">
        <f aca="false">IF(Schools!A11="","",Schools!A11)</f>
        <v/>
      </c>
      <c r="B16" s="16" t="str">
        <f aca="false">IF($A16="","",Schools!B11)</f>
        <v/>
      </c>
      <c r="C16" s="17" t="str">
        <f aca="false">IF($A16="","",Schools!G11)</f>
        <v/>
      </c>
      <c r="D16" s="17" t="str">
        <f aca="false">IF($A16="","",Schools!H11)</f>
        <v/>
      </c>
      <c r="E16" s="17" t="str">
        <f aca="false">IF($A16="","",IF(D16=0,"-",ROUND(C16/D16,1)))</f>
        <v/>
      </c>
      <c r="F16" s="18" t="str">
        <f aca="false">IF($A16="","",IF(COUNTIF(Attendance!$D$5:$D$304,$A16)=0,"-",(COUNTIFS(Attendance!$D$5:$D$304,$A16,Attendance!$F$5:$F$304,"P")+COUNTIFS(Attendance!$D$5:$D$304,$A16,Attendance!$F$5:$F$304,"L"))/COUNTIF(Attendance!$D$5:$D$304,$A16)))</f>
        <v/>
      </c>
      <c r="G16" s="19" t="str">
        <f aca="false">IF($A16="","",IFERROR(AVERAGEIF(Grades!$C$5:$C$304,$A16,Grades!$I$5:$I$304),"-"))</f>
        <v/>
      </c>
      <c r="H16" s="20" t="str">
        <f aca="false">IF($A16="","",SUMIF(Fees!$C$5:$C$304,$A16,Fees!$F$5:$F$304))</f>
        <v/>
      </c>
      <c r="I16" s="20" t="str">
        <f aca="false">IF($A16="","",SUMIF(Fees!$C$5:$C$304,$A16,Fees!$G$5:$G$304))</f>
        <v/>
      </c>
      <c r="J16" s="20" t="str">
        <f aca="false">IF($A16="","",H16-I16)</f>
        <v/>
      </c>
      <c r="K16" s="18" t="str">
        <f aca="false">IF($A16="","",IF(H16=0,"-",I16/H16))</f>
        <v/>
      </c>
    </row>
    <row r="17" customFormat="false" ht="21.75" hidden="false" customHeight="true" outlineLevel="0" collapsed="false">
      <c r="A17" s="16" t="str">
        <f aca="false">IF(Schools!A12="","",Schools!A12)</f>
        <v/>
      </c>
      <c r="B17" s="16" t="str">
        <f aca="false">IF($A17="","",Schools!B12)</f>
        <v/>
      </c>
      <c r="C17" s="17" t="str">
        <f aca="false">IF($A17="","",Schools!G12)</f>
        <v/>
      </c>
      <c r="D17" s="17" t="str">
        <f aca="false">IF($A17="","",Schools!H12)</f>
        <v/>
      </c>
      <c r="E17" s="17" t="str">
        <f aca="false">IF($A17="","",IF(D17=0,"-",ROUND(C17/D17,1)))</f>
        <v/>
      </c>
      <c r="F17" s="18" t="str">
        <f aca="false">IF($A17="","",IF(COUNTIF(Attendance!$D$5:$D$304,$A17)=0,"-",(COUNTIFS(Attendance!$D$5:$D$304,$A17,Attendance!$F$5:$F$304,"P")+COUNTIFS(Attendance!$D$5:$D$304,$A17,Attendance!$F$5:$F$304,"L"))/COUNTIF(Attendance!$D$5:$D$304,$A17)))</f>
        <v/>
      </c>
      <c r="G17" s="19" t="str">
        <f aca="false">IF($A17="","",IFERROR(AVERAGEIF(Grades!$C$5:$C$304,$A17,Grades!$I$5:$I$304),"-"))</f>
        <v/>
      </c>
      <c r="H17" s="20" t="str">
        <f aca="false">IF($A17="","",SUMIF(Fees!$C$5:$C$304,$A17,Fees!$F$5:$F$304))</f>
        <v/>
      </c>
      <c r="I17" s="20" t="str">
        <f aca="false">IF($A17="","",SUMIF(Fees!$C$5:$C$304,$A17,Fees!$G$5:$G$304))</f>
        <v/>
      </c>
      <c r="J17" s="20" t="str">
        <f aca="false">IF($A17="","",H17-I17)</f>
        <v/>
      </c>
      <c r="K17" s="18" t="str">
        <f aca="false">IF($A17="","",IF(H17=0,"-",I17/H17))</f>
        <v/>
      </c>
    </row>
    <row r="18" customFormat="false" ht="21.75" hidden="false" customHeight="true" outlineLevel="0" collapsed="false">
      <c r="A18" s="16" t="str">
        <f aca="false">IF(Schools!A13="","",Schools!A13)</f>
        <v/>
      </c>
      <c r="B18" s="16" t="str">
        <f aca="false">IF($A18="","",Schools!B13)</f>
        <v/>
      </c>
      <c r="C18" s="17" t="str">
        <f aca="false">IF($A18="","",Schools!G13)</f>
        <v/>
      </c>
      <c r="D18" s="17" t="str">
        <f aca="false">IF($A18="","",Schools!H13)</f>
        <v/>
      </c>
      <c r="E18" s="17" t="str">
        <f aca="false">IF($A18="","",IF(D18=0,"-",ROUND(C18/D18,1)))</f>
        <v/>
      </c>
      <c r="F18" s="18" t="str">
        <f aca="false">IF($A18="","",IF(COUNTIF(Attendance!$D$5:$D$304,$A18)=0,"-",(COUNTIFS(Attendance!$D$5:$D$304,$A18,Attendance!$F$5:$F$304,"P")+COUNTIFS(Attendance!$D$5:$D$304,$A18,Attendance!$F$5:$F$304,"L"))/COUNTIF(Attendance!$D$5:$D$304,$A18)))</f>
        <v/>
      </c>
      <c r="G18" s="19" t="str">
        <f aca="false">IF($A18="","",IFERROR(AVERAGEIF(Grades!$C$5:$C$304,$A18,Grades!$I$5:$I$304),"-"))</f>
        <v/>
      </c>
      <c r="H18" s="20" t="str">
        <f aca="false">IF($A18="","",SUMIF(Fees!$C$5:$C$304,$A18,Fees!$F$5:$F$304))</f>
        <v/>
      </c>
      <c r="I18" s="20" t="str">
        <f aca="false">IF($A18="","",SUMIF(Fees!$C$5:$C$304,$A18,Fees!$G$5:$G$304))</f>
        <v/>
      </c>
      <c r="J18" s="20" t="str">
        <f aca="false">IF($A18="","",H18-I18)</f>
        <v/>
      </c>
      <c r="K18" s="18" t="str">
        <f aca="false">IF($A18="","",IF(H18=0,"-",I18/H18))</f>
        <v/>
      </c>
    </row>
    <row r="19" customFormat="false" ht="21.75" hidden="false" customHeight="true" outlineLevel="0" collapsed="false">
      <c r="A19" s="16" t="str">
        <f aca="false">IF(Schools!A14="","",Schools!A14)</f>
        <v/>
      </c>
      <c r="B19" s="16" t="str">
        <f aca="false">IF($A19="","",Schools!B14)</f>
        <v/>
      </c>
      <c r="C19" s="17" t="str">
        <f aca="false">IF($A19="","",Schools!G14)</f>
        <v/>
      </c>
      <c r="D19" s="17" t="str">
        <f aca="false">IF($A19="","",Schools!H14)</f>
        <v/>
      </c>
      <c r="E19" s="17" t="str">
        <f aca="false">IF($A19="","",IF(D19=0,"-",ROUND(C19/D19,1)))</f>
        <v/>
      </c>
      <c r="F19" s="18" t="str">
        <f aca="false">IF($A19="","",IF(COUNTIF(Attendance!$D$5:$D$304,$A19)=0,"-",(COUNTIFS(Attendance!$D$5:$D$304,$A19,Attendance!$F$5:$F$304,"P")+COUNTIFS(Attendance!$D$5:$D$304,$A19,Attendance!$F$5:$F$304,"L"))/COUNTIF(Attendance!$D$5:$D$304,$A19)))</f>
        <v/>
      </c>
      <c r="G19" s="19" t="str">
        <f aca="false">IF($A19="","",IFERROR(AVERAGEIF(Grades!$C$5:$C$304,$A19,Grades!$I$5:$I$304),"-"))</f>
        <v/>
      </c>
      <c r="H19" s="20" t="str">
        <f aca="false">IF($A19="","",SUMIF(Fees!$C$5:$C$304,$A19,Fees!$F$5:$F$304))</f>
        <v/>
      </c>
      <c r="I19" s="20" t="str">
        <f aca="false">IF($A19="","",SUMIF(Fees!$C$5:$C$304,$A19,Fees!$G$5:$G$304))</f>
        <v/>
      </c>
      <c r="J19" s="20" t="str">
        <f aca="false">IF($A19="","",H19-I19)</f>
        <v/>
      </c>
      <c r="K19" s="18" t="str">
        <f aca="false">IF($A19="","",IF(H19=0,"-",I19/H19))</f>
        <v/>
      </c>
    </row>
    <row r="20" customFormat="false" ht="21.75" hidden="false" customHeight="true" outlineLevel="0" collapsed="false">
      <c r="A20" s="16" t="str">
        <f aca="false">IF(Schools!A15="","",Schools!A15)</f>
        <v/>
      </c>
      <c r="B20" s="16" t="str">
        <f aca="false">IF($A20="","",Schools!B15)</f>
        <v/>
      </c>
      <c r="C20" s="17" t="str">
        <f aca="false">IF($A20="","",Schools!G15)</f>
        <v/>
      </c>
      <c r="D20" s="17" t="str">
        <f aca="false">IF($A20="","",Schools!H15)</f>
        <v/>
      </c>
      <c r="E20" s="17" t="str">
        <f aca="false">IF($A20="","",IF(D20=0,"-",ROUND(C20/D20,1)))</f>
        <v/>
      </c>
      <c r="F20" s="18" t="str">
        <f aca="false">IF($A20="","",IF(COUNTIF(Attendance!$D$5:$D$304,$A20)=0,"-",(COUNTIFS(Attendance!$D$5:$D$304,$A20,Attendance!$F$5:$F$304,"P")+COUNTIFS(Attendance!$D$5:$D$304,$A20,Attendance!$F$5:$F$304,"L"))/COUNTIF(Attendance!$D$5:$D$304,$A20)))</f>
        <v/>
      </c>
      <c r="G20" s="19" t="str">
        <f aca="false">IF($A20="","",IFERROR(AVERAGEIF(Grades!$C$5:$C$304,$A20,Grades!$I$5:$I$304),"-"))</f>
        <v/>
      </c>
      <c r="H20" s="20" t="str">
        <f aca="false">IF($A20="","",SUMIF(Fees!$C$5:$C$304,$A20,Fees!$F$5:$F$304))</f>
        <v/>
      </c>
      <c r="I20" s="20" t="str">
        <f aca="false">IF($A20="","",SUMIF(Fees!$C$5:$C$304,$A20,Fees!$G$5:$G$304))</f>
        <v/>
      </c>
      <c r="J20" s="20" t="str">
        <f aca="false">IF($A20="","",H20-I20)</f>
        <v/>
      </c>
      <c r="K20" s="18" t="str">
        <f aca="false">IF($A20="","",IF(H20=0,"-",I20/H20))</f>
        <v/>
      </c>
    </row>
    <row r="21" customFormat="false" ht="21.75" hidden="false" customHeight="true" outlineLevel="0" collapsed="false">
      <c r="A21" s="16" t="str">
        <f aca="false">IF(Schools!A16="","",Schools!A16)</f>
        <v/>
      </c>
      <c r="B21" s="16" t="str">
        <f aca="false">IF($A21="","",Schools!B16)</f>
        <v/>
      </c>
      <c r="C21" s="17" t="str">
        <f aca="false">IF($A21="","",Schools!G16)</f>
        <v/>
      </c>
      <c r="D21" s="17" t="str">
        <f aca="false">IF($A21="","",Schools!H16)</f>
        <v/>
      </c>
      <c r="E21" s="17" t="str">
        <f aca="false">IF($A21="","",IF(D21=0,"-",ROUND(C21/D21,1)))</f>
        <v/>
      </c>
      <c r="F21" s="18" t="str">
        <f aca="false">IF($A21="","",IF(COUNTIF(Attendance!$D$5:$D$304,$A21)=0,"-",(COUNTIFS(Attendance!$D$5:$D$304,$A21,Attendance!$F$5:$F$304,"P")+COUNTIFS(Attendance!$D$5:$D$304,$A21,Attendance!$F$5:$F$304,"L"))/COUNTIF(Attendance!$D$5:$D$304,$A21)))</f>
        <v/>
      </c>
      <c r="G21" s="19" t="str">
        <f aca="false">IF($A21="","",IFERROR(AVERAGEIF(Grades!$C$5:$C$304,$A21,Grades!$I$5:$I$304),"-"))</f>
        <v/>
      </c>
      <c r="H21" s="20" t="str">
        <f aca="false">IF($A21="","",SUMIF(Fees!$C$5:$C$304,$A21,Fees!$F$5:$F$304))</f>
        <v/>
      </c>
      <c r="I21" s="20" t="str">
        <f aca="false">IF($A21="","",SUMIF(Fees!$C$5:$C$304,$A21,Fees!$G$5:$G$304))</f>
        <v/>
      </c>
      <c r="J21" s="20" t="str">
        <f aca="false">IF($A21="","",H21-I21)</f>
        <v/>
      </c>
      <c r="K21" s="18" t="str">
        <f aca="false">IF($A21="","",IF(H21=0,"-",I21/H21))</f>
        <v/>
      </c>
    </row>
    <row r="22" customFormat="false" ht="21.75" hidden="false" customHeight="true" outlineLevel="0" collapsed="false">
      <c r="A22" s="16" t="str">
        <f aca="false">IF(Schools!A17="","",Schools!A17)</f>
        <v/>
      </c>
      <c r="B22" s="16" t="str">
        <f aca="false">IF($A22="","",Schools!B17)</f>
        <v/>
      </c>
      <c r="C22" s="17" t="str">
        <f aca="false">IF($A22="","",Schools!G17)</f>
        <v/>
      </c>
      <c r="D22" s="17" t="str">
        <f aca="false">IF($A22="","",Schools!H17)</f>
        <v/>
      </c>
      <c r="E22" s="17" t="str">
        <f aca="false">IF($A22="","",IF(D22=0,"-",ROUND(C22/D22,1)))</f>
        <v/>
      </c>
      <c r="F22" s="18" t="str">
        <f aca="false">IF($A22="","",IF(COUNTIF(Attendance!$D$5:$D$304,$A22)=0,"-",(COUNTIFS(Attendance!$D$5:$D$304,$A22,Attendance!$F$5:$F$304,"P")+COUNTIFS(Attendance!$D$5:$D$304,$A22,Attendance!$F$5:$F$304,"L"))/COUNTIF(Attendance!$D$5:$D$304,$A22)))</f>
        <v/>
      </c>
      <c r="G22" s="19" t="str">
        <f aca="false">IF($A22="","",IFERROR(AVERAGEIF(Grades!$C$5:$C$304,$A22,Grades!$I$5:$I$304),"-"))</f>
        <v/>
      </c>
      <c r="H22" s="20" t="str">
        <f aca="false">IF($A22="","",SUMIF(Fees!$C$5:$C$304,$A22,Fees!$F$5:$F$304))</f>
        <v/>
      </c>
      <c r="I22" s="20" t="str">
        <f aca="false">IF($A22="","",SUMIF(Fees!$C$5:$C$304,$A22,Fees!$G$5:$G$304))</f>
        <v/>
      </c>
      <c r="J22" s="20" t="str">
        <f aca="false">IF($A22="","",H22-I22)</f>
        <v/>
      </c>
      <c r="K22" s="18" t="str">
        <f aca="false">IF($A22="","",IF(H22=0,"-",I22/H22))</f>
        <v/>
      </c>
    </row>
    <row r="23" customFormat="false" ht="21.75" hidden="false" customHeight="true" outlineLevel="0" collapsed="false">
      <c r="A23" s="16" t="str">
        <f aca="false">IF(Schools!A18="","",Schools!A18)</f>
        <v/>
      </c>
      <c r="B23" s="16" t="str">
        <f aca="false">IF($A23="","",Schools!B18)</f>
        <v/>
      </c>
      <c r="C23" s="17" t="str">
        <f aca="false">IF($A23="","",Schools!G18)</f>
        <v/>
      </c>
      <c r="D23" s="17" t="str">
        <f aca="false">IF($A23="","",Schools!H18)</f>
        <v/>
      </c>
      <c r="E23" s="17" t="str">
        <f aca="false">IF($A23="","",IF(D23=0,"-",ROUND(C23/D23,1)))</f>
        <v/>
      </c>
      <c r="F23" s="18" t="str">
        <f aca="false">IF($A23="","",IF(COUNTIF(Attendance!$D$5:$D$304,$A23)=0,"-",(COUNTIFS(Attendance!$D$5:$D$304,$A23,Attendance!$F$5:$F$304,"P")+COUNTIFS(Attendance!$D$5:$D$304,$A23,Attendance!$F$5:$F$304,"L"))/COUNTIF(Attendance!$D$5:$D$304,$A23)))</f>
        <v/>
      </c>
      <c r="G23" s="19" t="str">
        <f aca="false">IF($A23="","",IFERROR(AVERAGEIF(Grades!$C$5:$C$304,$A23,Grades!$I$5:$I$304),"-"))</f>
        <v/>
      </c>
      <c r="H23" s="20" t="str">
        <f aca="false">IF($A23="","",SUMIF(Fees!$C$5:$C$304,$A23,Fees!$F$5:$F$304))</f>
        <v/>
      </c>
      <c r="I23" s="20" t="str">
        <f aca="false">IF($A23="","",SUMIF(Fees!$C$5:$C$304,$A23,Fees!$G$5:$G$304))</f>
        <v/>
      </c>
      <c r="J23" s="20" t="str">
        <f aca="false">IF($A23="","",H23-I23)</f>
        <v/>
      </c>
      <c r="K23" s="18" t="str">
        <f aca="false">IF($A23="","",IF(H23=0,"-",I23/H23))</f>
        <v/>
      </c>
    </row>
    <row r="24" customFormat="false" ht="21.75" hidden="false" customHeight="true" outlineLevel="0" collapsed="false">
      <c r="A24" s="16" t="str">
        <f aca="false">IF(Schools!A19="","",Schools!A19)</f>
        <v/>
      </c>
      <c r="B24" s="16" t="str">
        <f aca="false">IF($A24="","",Schools!B19)</f>
        <v/>
      </c>
      <c r="C24" s="17" t="str">
        <f aca="false">IF($A24="","",Schools!G19)</f>
        <v/>
      </c>
      <c r="D24" s="17" t="str">
        <f aca="false">IF($A24="","",Schools!H19)</f>
        <v/>
      </c>
      <c r="E24" s="17" t="str">
        <f aca="false">IF($A24="","",IF(D24=0,"-",ROUND(C24/D24,1)))</f>
        <v/>
      </c>
      <c r="F24" s="18" t="str">
        <f aca="false">IF($A24="","",IF(COUNTIF(Attendance!$D$5:$D$304,$A24)=0,"-",(COUNTIFS(Attendance!$D$5:$D$304,$A24,Attendance!$F$5:$F$304,"P")+COUNTIFS(Attendance!$D$5:$D$304,$A24,Attendance!$F$5:$F$304,"L"))/COUNTIF(Attendance!$D$5:$D$304,$A24)))</f>
        <v/>
      </c>
      <c r="G24" s="19" t="str">
        <f aca="false">IF($A24="","",IFERROR(AVERAGEIF(Grades!$C$5:$C$304,$A24,Grades!$I$5:$I$304),"-"))</f>
        <v/>
      </c>
      <c r="H24" s="20" t="str">
        <f aca="false">IF($A24="","",SUMIF(Fees!$C$5:$C$304,$A24,Fees!$F$5:$F$304))</f>
        <v/>
      </c>
      <c r="I24" s="20" t="str">
        <f aca="false">IF($A24="","",SUMIF(Fees!$C$5:$C$304,$A24,Fees!$G$5:$G$304))</f>
        <v/>
      </c>
      <c r="J24" s="20" t="str">
        <f aca="false">IF($A24="","",H24-I24)</f>
        <v/>
      </c>
      <c r="K24" s="18" t="str">
        <f aca="false">IF($A24="","",IF(H24=0,"-",I24/H24))</f>
        <v/>
      </c>
    </row>
    <row r="25" customFormat="false" ht="15" hidden="false" customHeight="true" outlineLevel="0" collapsed="false">
      <c r="A25" s="21" t="s">
        <v>108</v>
      </c>
    </row>
    <row r="26" customFormat="false" ht="15" hidden="false" customHeight="true" outlineLevel="0" collapsed="false">
      <c r="A26" s="5" t="s">
        <v>109</v>
      </c>
    </row>
  </sheetData>
  <mergeCells count="11">
    <mergeCell ref="A1:K1"/>
    <mergeCell ref="A2:K2"/>
    <mergeCell ref="A3:K3"/>
    <mergeCell ref="A5:B5"/>
    <mergeCell ref="C5:E5"/>
    <mergeCell ref="F5:H5"/>
    <mergeCell ref="I5:K5"/>
    <mergeCell ref="A6:B6"/>
    <mergeCell ref="C6:E6"/>
    <mergeCell ref="F6:H6"/>
    <mergeCell ref="I6:K6"/>
  </mergeCells>
  <conditionalFormatting sqref="A10:K24">
    <cfRule type="expression" priority="2" aboveAverage="0" equalAverage="0" bottom="0" percent="0" rank="0" text="" dxfId="0">
      <formula>AND(MOD(ROW(),2)=0,$A10&lt;&gt;"")</formula>
    </cfRule>
  </conditionalFormatting>
  <conditionalFormatting sqref="F10:F24">
    <cfRule type="expression" priority="3" aboveAverage="0" equalAverage="0" bottom="0" percent="0" rank="0" text="" dxfId="1">
      <formula>AND(ISNUMBER(F10),F10&lt;0.85)</formula>
    </cfRule>
    <cfRule type="expression" priority="4" aboveAverage="0" equalAverage="0" bottom="0" percent="0" rank="0" text="" dxfId="2">
      <formula>AND(ISNUMBER(F10),F10&gt;=0.95)</formula>
    </cfRule>
  </conditionalFormatting>
  <conditionalFormatting sqref="K10:K24">
    <cfRule type="expression" priority="5" aboveAverage="0" equalAverage="0" bottom="0" percent="0" rank="0" text="" dxfId="1">
      <formula>AND(ISNUMBER(K10),K10&lt;0.6)</formula>
    </cfRule>
    <cfRule type="expression" priority="6" aboveAverage="0" equalAverage="0" bottom="0" percent="0" rank="0" text="" dxfId="2">
      <formula>AND(ISNUMBER(K10),K10&gt;=0.9)</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98B"/>
    <pageSetUpPr fitToPage="true"/>
  </sheetPr>
  <dimension ref="A1:L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12"/>
    <col collapsed="false" customWidth="true" hidden="false" outlineLevel="0" max="5" min="5" style="1" width="14"/>
    <col collapsed="false" customWidth="true" hidden="false" outlineLevel="0" max="6" min="6" style="1" width="12"/>
    <col collapsed="false" customWidth="true" hidden="false" outlineLevel="0" max="7" min="7" style="1" width="18"/>
    <col collapsed="false" customWidth="true" hidden="false" outlineLevel="0" max="9" min="9" style="1" width="30"/>
    <col collapsed="false" customWidth="true" hidden="false" outlineLevel="0" max="11" min="11" style="0" width="16"/>
    <col collapsed="false" customWidth="true" hidden="false" outlineLevel="0" max="12" min="12" style="0" width="12"/>
  </cols>
  <sheetData>
    <row r="1" customFormat="false" ht="42" hidden="false" customHeight="true" outlineLevel="0" collapsed="false">
      <c r="A1" s="2" t="s">
        <v>110</v>
      </c>
      <c r="B1" s="2"/>
      <c r="C1" s="2"/>
      <c r="D1" s="2"/>
      <c r="E1" s="2"/>
      <c r="F1" s="2"/>
      <c r="G1" s="2"/>
    </row>
    <row r="2" customFormat="false" ht="19.5" hidden="false" customHeight="true" outlineLevel="0" collapsed="false">
      <c r="A2" s="3" t="s">
        <v>111</v>
      </c>
      <c r="B2" s="3"/>
      <c r="C2" s="3"/>
      <c r="D2" s="3"/>
      <c r="E2" s="3"/>
      <c r="F2" s="3"/>
      <c r="G2" s="3"/>
    </row>
    <row r="3" customFormat="false" ht="3.75" hidden="false" customHeight="true" outlineLevel="0" collapsed="false">
      <c r="A3" s="4"/>
      <c r="B3" s="4"/>
      <c r="C3" s="4"/>
      <c r="D3" s="4"/>
      <c r="E3" s="4"/>
      <c r="F3" s="4"/>
      <c r="G3" s="4"/>
    </row>
    <row r="4" customFormat="false" ht="15" hidden="false" customHeight="true" outlineLevel="0" collapsed="false">
      <c r="I4" s="21" t="s">
        <v>112</v>
      </c>
    </row>
    <row r="5" customFormat="false" ht="21.75" hidden="false" customHeight="true" outlineLevel="0" collapsed="false">
      <c r="A5" s="22" t="s">
        <v>113</v>
      </c>
      <c r="B5" s="23" t="s">
        <v>114</v>
      </c>
      <c r="C5" s="23"/>
      <c r="D5" s="23"/>
      <c r="E5" s="24" t="s">
        <v>115</v>
      </c>
      <c r="F5" s="24"/>
      <c r="G5" s="25" t="n">
        <f aca="false">IF($E$30="","",$E$30)</f>
        <v>77.7</v>
      </c>
      <c r="K5" s="21" t="s">
        <v>116</v>
      </c>
      <c r="L5" s="26" t="n">
        <f aca="false">IF(OR($B$10="",$B$10="All terms"),0,IFERROR(IF(INDEX(Settings!$B$36:$B$38,MATCH($B$10,Settings!$A$36:$A$38,0))="",0,INDEX(Settings!$B$36:$B$38,MATCH($B$10,Settings!$A$36:$A$38,0))),0))</f>
        <v>0</v>
      </c>
    </row>
    <row r="6" customFormat="false" ht="21.75" hidden="false" customHeight="true" outlineLevel="0" collapsed="false">
      <c r="A6" s="22" t="s">
        <v>117</v>
      </c>
      <c r="B6" s="27" t="str">
        <f aca="false">IF($B$5="","",IFERROR(INDEX(Students!$B$5:$B$304,MATCH($B$5,Students!$A$5:$A$304,0)),"ID not found"))</f>
        <v>Aminata Conteh</v>
      </c>
      <c r="C6" s="27"/>
      <c r="D6" s="27"/>
      <c r="E6" s="24" t="s">
        <v>118</v>
      </c>
      <c r="F6" s="24"/>
      <c r="G6" s="28" t="str">
        <f aca="false">IF($E$30="","",IF($E$30&gt;=Settings!$E$11,Settings!$F$11,IF($E$30&gt;=Settings!$E$12,Settings!$F$12,IF($E$30&gt;=Settings!$E$13,Settings!$F$13,IF($E$30&gt;=Settings!$E$14,Settings!$F$14,Settings!$F$15)))))</f>
        <v>B</v>
      </c>
      <c r="I6" s="29" t="s">
        <v>119</v>
      </c>
      <c r="K6" s="21" t="s">
        <v>120</v>
      </c>
      <c r="L6" s="26" t="n">
        <f aca="false">IF(OR($B$10="",$B$10="All terms"),99999,IFERROR(IF(INDEX(Settings!$C$36:$C$38,MATCH($B$10,Settings!$A$36:$A$38,0))="",99999,INDEX(Settings!$C$36:$C$38,MATCH($B$10,Settings!$A$36:$A$38,0))),99999))</f>
        <v>99999</v>
      </c>
    </row>
    <row r="7" customFormat="false" ht="21.75" hidden="false" customHeight="true" outlineLevel="0" collapsed="false">
      <c r="A7" s="22" t="s">
        <v>121</v>
      </c>
      <c r="B7" s="27" t="str">
        <f aca="false">IF($B$5="","",IFERROR(INDEX(Students!$F$5:$F$304,MATCH($B$5,Students!$A$5:$A$304,0)),""))</f>
        <v>Class 4</v>
      </c>
      <c r="C7" s="27"/>
      <c r="D7" s="27"/>
      <c r="E7" s="24" t="s">
        <v>122</v>
      </c>
      <c r="F7" s="24"/>
      <c r="G7" s="30" t="n">
        <f aca="false">IF($B$5="","",IF(COUNTIFS(Attendance!$B$5:$B$304,$B$5,Attendance!$A$5:$A$304,"&gt;="&amp;$L$5,Attendance!$A$5:$A$304,"&lt;="&amp;$L$6)=0,"-",(COUNTIFS(Attendance!$B$5:$B$304,$B$5,Attendance!$A$5:$A$304,"&gt;="&amp;$L$5,Attendance!$A$5:$A$304,"&lt;="&amp;$L$6,Attendance!$F$5:$F$304,"P")+COUNTIFS(Attendance!$B$5:$B$304,$B$5,Attendance!$A$5:$A$304,"&gt;="&amp;$L$5,Attendance!$A$5:$A$304,"&lt;="&amp;$L$6,Attendance!$F$5:$F$304,"L"))/COUNTIFS(Attendance!$B$5:$B$304,$B$5,Attendance!$A$5:$A$304,"&gt;="&amp;$L$5,Attendance!$A$5:$A$304,"&lt;="&amp;$L$6)))</f>
        <v>1</v>
      </c>
      <c r="I7" s="31" t="s">
        <v>123</v>
      </c>
    </row>
    <row r="8" customFormat="false" ht="21.75" hidden="false" customHeight="true" outlineLevel="0" collapsed="false">
      <c r="A8" s="22" t="s">
        <v>124</v>
      </c>
      <c r="B8" s="27" t="str">
        <f aca="false">IF($B$5="","",IFERROR(INDEX(Schools!$B$5:$B$304,MATCH(INDEX(Students!$E$5:$E$304,MATCH($B$5,Students!$A$5:$A$304,0)),Schools!$A$5:$A$304,0)),""))</f>
        <v>Example Primary School</v>
      </c>
      <c r="C8" s="27"/>
      <c r="D8" s="27"/>
      <c r="E8" s="24" t="s">
        <v>125</v>
      </c>
      <c r="F8" s="24"/>
      <c r="G8" s="28" t="str">
        <f aca="false">IF($B$5="","",COUNTIFS(Attendance!$B$5:$B$304,$B$5,Attendance!$A$5:$A$304,"&gt;="&amp;$L$5,Attendance!$A$5:$A$304,"&lt;="&amp;$L$6,Attendance!$F$5:$F$304,"P")&amp;" / "&amp;COUNTIFS(Attendance!$B$5:$B$304,$B$5,Attendance!$A$5:$A$304,"&gt;="&amp;$L$5,Attendance!$A$5:$A$304,"&lt;="&amp;$L$6,Attendance!$F$5:$F$304,"A")&amp;" / "&amp;COUNTIFS(Attendance!$B$5:$B$304,$B$5,Attendance!$A$5:$A$304,"&gt;="&amp;$L$5,Attendance!$A$5:$A$304,"&lt;="&amp;$L$6,Attendance!$F$5:$F$304,"L"))</f>
        <v>1 / 0 / 0</v>
      </c>
      <c r="I8" s="21" t="s">
        <v>126</v>
      </c>
    </row>
    <row r="9" customFormat="false" ht="21.75" hidden="false" customHeight="true" outlineLevel="0" collapsed="false">
      <c r="A9" s="22" t="s">
        <v>127</v>
      </c>
      <c r="B9" s="27" t="str">
        <f aca="false">Settings!B5</f>
        <v>2026/2027</v>
      </c>
      <c r="C9" s="27"/>
      <c r="D9" s="27"/>
      <c r="E9" s="24" t="s">
        <v>128</v>
      </c>
      <c r="F9" s="24"/>
      <c r="G9" s="32" t="n">
        <f aca="false">IF($B$5="","",IF(OR($B$10="",$B$10="All terms"),SUMIF(Fees!$A$5:$A$304,$B$5,Fees!$I$5:$I$304),SUMIFS(Fees!$I$5:$I$304,Fees!$A$5:$A$304,$B$5,Fees!$E$5:$E$304,$B$10)))</f>
        <v>200</v>
      </c>
    </row>
    <row r="10" customFormat="false" ht="21.75" hidden="false" customHeight="true" outlineLevel="0" collapsed="false">
      <c r="A10" s="22" t="s">
        <v>129</v>
      </c>
      <c r="B10" s="23" t="s">
        <v>130</v>
      </c>
      <c r="C10" s="23"/>
      <c r="D10" s="23"/>
      <c r="E10" s="24" t="s">
        <v>131</v>
      </c>
      <c r="F10" s="24"/>
      <c r="G10" s="33" t="str">
        <f aca="false">IF($B$5="","",IFERROR(IF(INDEX(Students!$L$5:$L$304,MATCH($B$5,Students!$A$5:$A$304,0))="","no email on file",INDEX(Students!$L$5:$L$304,MATCH($B$5,Students!$A$5:$A$304,0))),""))</f>
        <v>no email on file</v>
      </c>
    </row>
    <row r="12" customFormat="false" ht="25.5" hidden="false" customHeight="true" outlineLevel="0" collapsed="false">
      <c r="A12" s="34" t="s">
        <v>132</v>
      </c>
      <c r="B12" s="34" t="str">
        <f aca="false">Settings!A11</f>
        <v>Term 1</v>
      </c>
      <c r="C12" s="34" t="str">
        <f aca="false">Settings!A12</f>
        <v>Term 2</v>
      </c>
      <c r="D12" s="34" t="str">
        <f aca="false">Settings!A13</f>
        <v>Term 3</v>
      </c>
      <c r="E12" s="34" t="str">
        <f aca="false">IF(OR($B$10="",$B$10="All terms"),"Average","Term score")</f>
        <v>Term score</v>
      </c>
      <c r="F12" s="34" t="s">
        <v>133</v>
      </c>
      <c r="G12" s="34" t="s">
        <v>134</v>
      </c>
    </row>
    <row r="13" customFormat="false" ht="19.5" hidden="false" customHeight="true" outlineLevel="0" collapsed="false">
      <c r="A13" s="35" t="str">
        <f aca="false">IF(Settings!C11="","",Settings!C11)</f>
        <v>English Language</v>
      </c>
      <c r="B13" s="36" t="str">
        <f aca="false">IF(OR($A13="",AND($B$10&lt;&gt;"",$B$10&lt;&gt;"All terms",$B$10&lt;&gt;B$12)),"",IFERROR(AVERAGEIFS(Grades!$I$5:$I$304,Grades!$A$5:$A$304,$B$5,Grades!$E$5:$E$304,$A13,Grades!$F$5:$F$304,B$12),""))</f>
        <v/>
      </c>
      <c r="C13" s="36" t="str">
        <f aca="false">IF(OR($A13="",AND($B$10&lt;&gt;"",$B$10&lt;&gt;"All terms",$B$10&lt;&gt;C$12)),"",IFERROR(AVERAGEIFS(Grades!$I$5:$I$304,Grades!$A$5:$A$304,$B$5,Grades!$E$5:$E$304,$A13,Grades!$F$5:$F$304,C$12),""))</f>
        <v/>
      </c>
      <c r="D13" s="36" t="str">
        <f aca="false">IF(OR($A13="",AND($B$10&lt;&gt;"",$B$10&lt;&gt;"All terms",$B$10&lt;&gt;D$12)),"",IFERROR(AVERAGEIFS(Grades!$I$5:$I$304,Grades!$A$5:$A$304,$B$5,Grades!$E$5:$E$304,$A13,Grades!$F$5:$F$304,D$12),""))</f>
        <v/>
      </c>
      <c r="E13" s="36" t="str">
        <f aca="false">IF(COUNT(B13:D13)=0,"",AVERAGE(B13:D13))</f>
        <v/>
      </c>
      <c r="F13" s="37" t="str">
        <f aca="false">IF(E13="","",IF(E13&gt;=Settings!$E$11,Settings!$F$11,IF(E13&gt;=Settings!$E$12,Settings!$F$12,IF(E13&gt;=Settings!$E$13,Settings!$F$13,IF(E13&gt;=Settings!$E$14,Settings!$F$14,Settings!$F$15)))))</f>
        <v/>
      </c>
      <c r="G13" s="37" t="str">
        <f aca="false">IF(E13="","",IF(E13&gt;=Settings!$E$11,Settings!$G$11,IF(E13&gt;=Settings!$E$12,Settings!$G$12,IF(E13&gt;=Settings!$E$13,Settings!$G$13,IF(E13&gt;=Settings!$E$14,Settings!$G$14,Settings!$G$15)))))</f>
        <v/>
      </c>
    </row>
    <row r="14" customFormat="false" ht="19.5" hidden="false" customHeight="true" outlineLevel="0" collapsed="false">
      <c r="A14" s="35" t="str">
        <f aca="false">IF(Settings!C12="","",Settings!C12)</f>
        <v>Mathematics</v>
      </c>
      <c r="B14" s="36" t="n">
        <f aca="false">IF(OR($A14="",AND($B$10&lt;&gt;"",$B$10&lt;&gt;"All terms",$B$10&lt;&gt;B$12)),"",IFERROR(AVERAGEIFS(Grades!$I$5:$I$304,Grades!$A$5:$A$304,$B$5,Grades!$E$5:$E$304,$A14,Grades!$F$5:$F$304,B$12),""))</f>
        <v>77.7</v>
      </c>
      <c r="C14" s="36" t="str">
        <f aca="false">IF(OR($A14="",AND($B$10&lt;&gt;"",$B$10&lt;&gt;"All terms",$B$10&lt;&gt;C$12)),"",IFERROR(AVERAGEIFS(Grades!$I$5:$I$304,Grades!$A$5:$A$304,$B$5,Grades!$E$5:$E$304,$A14,Grades!$F$5:$F$304,C$12),""))</f>
        <v/>
      </c>
      <c r="D14" s="36" t="str">
        <f aca="false">IF(OR($A14="",AND($B$10&lt;&gt;"",$B$10&lt;&gt;"All terms",$B$10&lt;&gt;D$12)),"",IFERROR(AVERAGEIFS(Grades!$I$5:$I$304,Grades!$A$5:$A$304,$B$5,Grades!$E$5:$E$304,$A14,Grades!$F$5:$F$304,D$12),""))</f>
        <v/>
      </c>
      <c r="E14" s="36" t="n">
        <f aca="false">IF(COUNT(B14:D14)=0,"",AVERAGE(B14:D14))</f>
        <v>77.7</v>
      </c>
      <c r="F14" s="37" t="str">
        <f aca="false">IF(E14="","",IF(E14&gt;=Settings!$E$11,Settings!$F$11,IF(E14&gt;=Settings!$E$12,Settings!$F$12,IF(E14&gt;=Settings!$E$13,Settings!$F$13,IF(E14&gt;=Settings!$E$14,Settings!$F$14,Settings!$F$15)))))</f>
        <v>B</v>
      </c>
      <c r="G14" s="37" t="str">
        <f aca="false">IF(E14="","",IF(E14&gt;=Settings!$E$11,Settings!$G$11,IF(E14&gt;=Settings!$E$12,Settings!$G$12,IF(E14&gt;=Settings!$E$13,Settings!$G$13,IF(E14&gt;=Settings!$E$14,Settings!$G$14,Settings!$G$15)))))</f>
        <v>Very Good</v>
      </c>
    </row>
    <row r="15" customFormat="false" ht="19.5" hidden="false" customHeight="true" outlineLevel="0" collapsed="false">
      <c r="A15" s="35" t="str">
        <f aca="false">IF(Settings!C13="","",Settings!C13)</f>
        <v>Integrated Science</v>
      </c>
      <c r="B15" s="36" t="str">
        <f aca="false">IF(OR($A15="",AND($B$10&lt;&gt;"",$B$10&lt;&gt;"All terms",$B$10&lt;&gt;B$12)),"",IFERROR(AVERAGEIFS(Grades!$I$5:$I$304,Grades!$A$5:$A$304,$B$5,Grades!$E$5:$E$304,$A15,Grades!$F$5:$F$304,B$12),""))</f>
        <v/>
      </c>
      <c r="C15" s="36" t="str">
        <f aca="false">IF(OR($A15="",AND($B$10&lt;&gt;"",$B$10&lt;&gt;"All terms",$B$10&lt;&gt;C$12)),"",IFERROR(AVERAGEIFS(Grades!$I$5:$I$304,Grades!$A$5:$A$304,$B$5,Grades!$E$5:$E$304,$A15,Grades!$F$5:$F$304,C$12),""))</f>
        <v/>
      </c>
      <c r="D15" s="36" t="str">
        <f aca="false">IF(OR($A15="",AND($B$10&lt;&gt;"",$B$10&lt;&gt;"All terms",$B$10&lt;&gt;D$12)),"",IFERROR(AVERAGEIFS(Grades!$I$5:$I$304,Grades!$A$5:$A$304,$B$5,Grades!$E$5:$E$304,$A15,Grades!$F$5:$F$304,D$12),""))</f>
        <v/>
      </c>
      <c r="E15" s="36" t="str">
        <f aca="false">IF(COUNT(B15:D15)=0,"",AVERAGE(B15:D15))</f>
        <v/>
      </c>
      <c r="F15" s="37" t="str">
        <f aca="false">IF(E15="","",IF(E15&gt;=Settings!$E$11,Settings!$F$11,IF(E15&gt;=Settings!$E$12,Settings!$F$12,IF(E15&gt;=Settings!$E$13,Settings!$F$13,IF(E15&gt;=Settings!$E$14,Settings!$F$14,Settings!$F$15)))))</f>
        <v/>
      </c>
      <c r="G15" s="37" t="str">
        <f aca="false">IF(E15="","",IF(E15&gt;=Settings!$E$11,Settings!$G$11,IF(E15&gt;=Settings!$E$12,Settings!$G$12,IF(E15&gt;=Settings!$E$13,Settings!$G$13,IF(E15&gt;=Settings!$E$14,Settings!$G$14,Settings!$G$15)))))</f>
        <v/>
      </c>
    </row>
    <row r="16" customFormat="false" ht="19.5" hidden="false" customHeight="true" outlineLevel="0" collapsed="false">
      <c r="A16" s="35" t="str">
        <f aca="false">IF(Settings!C14="","",Settings!C14)</f>
        <v>Social Studies</v>
      </c>
      <c r="B16" s="36" t="str">
        <f aca="false">IF(OR($A16="",AND($B$10&lt;&gt;"",$B$10&lt;&gt;"All terms",$B$10&lt;&gt;B$12)),"",IFERROR(AVERAGEIFS(Grades!$I$5:$I$304,Grades!$A$5:$A$304,$B$5,Grades!$E$5:$E$304,$A16,Grades!$F$5:$F$304,B$12),""))</f>
        <v/>
      </c>
      <c r="C16" s="36" t="str">
        <f aca="false">IF(OR($A16="",AND($B$10&lt;&gt;"",$B$10&lt;&gt;"All terms",$B$10&lt;&gt;C$12)),"",IFERROR(AVERAGEIFS(Grades!$I$5:$I$304,Grades!$A$5:$A$304,$B$5,Grades!$E$5:$E$304,$A16,Grades!$F$5:$F$304,C$12),""))</f>
        <v/>
      </c>
      <c r="D16" s="36" t="str">
        <f aca="false">IF(OR($A16="",AND($B$10&lt;&gt;"",$B$10&lt;&gt;"All terms",$B$10&lt;&gt;D$12)),"",IFERROR(AVERAGEIFS(Grades!$I$5:$I$304,Grades!$A$5:$A$304,$B$5,Grades!$E$5:$E$304,$A16,Grades!$F$5:$F$304,D$12),""))</f>
        <v/>
      </c>
      <c r="E16" s="36" t="str">
        <f aca="false">IF(COUNT(B16:D16)=0,"",AVERAGE(B16:D16))</f>
        <v/>
      </c>
      <c r="F16" s="37" t="str">
        <f aca="false">IF(E16="","",IF(E16&gt;=Settings!$E$11,Settings!$F$11,IF(E16&gt;=Settings!$E$12,Settings!$F$12,IF(E16&gt;=Settings!$E$13,Settings!$F$13,IF(E16&gt;=Settings!$E$14,Settings!$F$14,Settings!$F$15)))))</f>
        <v/>
      </c>
      <c r="G16" s="37" t="str">
        <f aca="false">IF(E16="","",IF(E16&gt;=Settings!$E$11,Settings!$G$11,IF(E16&gt;=Settings!$E$12,Settings!$G$12,IF(E16&gt;=Settings!$E$13,Settings!$G$13,IF(E16&gt;=Settings!$E$14,Settings!$G$14,Settings!$G$15)))))</f>
        <v/>
      </c>
    </row>
    <row r="17" customFormat="false" ht="19.5" hidden="false" customHeight="true" outlineLevel="0" collapsed="false">
      <c r="A17" s="35" t="str">
        <f aca="false">IF(Settings!C15="","",Settings!C15)</f>
        <v>Religious &amp; Moral Education</v>
      </c>
      <c r="B17" s="36" t="str">
        <f aca="false">IF(OR($A17="",AND($B$10&lt;&gt;"",$B$10&lt;&gt;"All terms",$B$10&lt;&gt;B$12)),"",IFERROR(AVERAGEIFS(Grades!$I$5:$I$304,Grades!$A$5:$A$304,$B$5,Grades!$E$5:$E$304,$A17,Grades!$F$5:$F$304,B$12),""))</f>
        <v/>
      </c>
      <c r="C17" s="36" t="str">
        <f aca="false">IF(OR($A17="",AND($B$10&lt;&gt;"",$B$10&lt;&gt;"All terms",$B$10&lt;&gt;C$12)),"",IFERROR(AVERAGEIFS(Grades!$I$5:$I$304,Grades!$A$5:$A$304,$B$5,Grades!$E$5:$E$304,$A17,Grades!$F$5:$F$304,C$12),""))</f>
        <v/>
      </c>
      <c r="D17" s="36" t="str">
        <f aca="false">IF(OR($A17="",AND($B$10&lt;&gt;"",$B$10&lt;&gt;"All terms",$B$10&lt;&gt;D$12)),"",IFERROR(AVERAGEIFS(Grades!$I$5:$I$304,Grades!$A$5:$A$304,$B$5,Grades!$E$5:$E$304,$A17,Grades!$F$5:$F$304,D$12),""))</f>
        <v/>
      </c>
      <c r="E17" s="36" t="str">
        <f aca="false">IF(COUNT(B17:D17)=0,"",AVERAGE(B17:D17))</f>
        <v/>
      </c>
      <c r="F17" s="37" t="str">
        <f aca="false">IF(E17="","",IF(E17&gt;=Settings!$E$11,Settings!$F$11,IF(E17&gt;=Settings!$E$12,Settings!$F$12,IF(E17&gt;=Settings!$E$13,Settings!$F$13,IF(E17&gt;=Settings!$E$14,Settings!$F$14,Settings!$F$15)))))</f>
        <v/>
      </c>
      <c r="G17" s="37" t="str">
        <f aca="false">IF(E17="","",IF(E17&gt;=Settings!$E$11,Settings!$G$11,IF(E17&gt;=Settings!$E$12,Settings!$G$12,IF(E17&gt;=Settings!$E$13,Settings!$G$13,IF(E17&gt;=Settings!$E$14,Settings!$G$14,Settings!$G$15)))))</f>
        <v/>
      </c>
    </row>
    <row r="18" customFormat="false" ht="19.5" hidden="false" customHeight="true" outlineLevel="0" collapsed="false">
      <c r="A18" s="35" t="str">
        <f aca="false">IF(Settings!C16="","",Settings!C16)</f>
        <v>Physical Education</v>
      </c>
      <c r="B18" s="36" t="str">
        <f aca="false">IF(OR($A18="",AND($B$10&lt;&gt;"",$B$10&lt;&gt;"All terms",$B$10&lt;&gt;B$12)),"",IFERROR(AVERAGEIFS(Grades!$I$5:$I$304,Grades!$A$5:$A$304,$B$5,Grades!$E$5:$E$304,$A18,Grades!$F$5:$F$304,B$12),""))</f>
        <v/>
      </c>
      <c r="C18" s="36" t="str">
        <f aca="false">IF(OR($A18="",AND($B$10&lt;&gt;"",$B$10&lt;&gt;"All terms",$B$10&lt;&gt;C$12)),"",IFERROR(AVERAGEIFS(Grades!$I$5:$I$304,Grades!$A$5:$A$304,$B$5,Grades!$E$5:$E$304,$A18,Grades!$F$5:$F$304,C$12),""))</f>
        <v/>
      </c>
      <c r="D18" s="36" t="str">
        <f aca="false">IF(OR($A18="",AND($B$10&lt;&gt;"",$B$10&lt;&gt;"All terms",$B$10&lt;&gt;D$12)),"",IFERROR(AVERAGEIFS(Grades!$I$5:$I$304,Grades!$A$5:$A$304,$B$5,Grades!$E$5:$E$304,$A18,Grades!$F$5:$F$304,D$12),""))</f>
        <v/>
      </c>
      <c r="E18" s="36" t="str">
        <f aca="false">IF(COUNT(B18:D18)=0,"",AVERAGE(B18:D18))</f>
        <v/>
      </c>
      <c r="F18" s="37" t="str">
        <f aca="false">IF(E18="","",IF(E18&gt;=Settings!$E$11,Settings!$F$11,IF(E18&gt;=Settings!$E$12,Settings!$F$12,IF(E18&gt;=Settings!$E$13,Settings!$F$13,IF(E18&gt;=Settings!$E$14,Settings!$F$14,Settings!$F$15)))))</f>
        <v/>
      </c>
      <c r="G18" s="37" t="str">
        <f aca="false">IF(E18="","",IF(E18&gt;=Settings!$E$11,Settings!$G$11,IF(E18&gt;=Settings!$E$12,Settings!$G$12,IF(E18&gt;=Settings!$E$13,Settings!$G$13,IF(E18&gt;=Settings!$E$14,Settings!$G$14,Settings!$G$15)))))</f>
        <v/>
      </c>
    </row>
    <row r="19" customFormat="false" ht="19.5" hidden="false" customHeight="true" outlineLevel="0" collapsed="false">
      <c r="A19" s="35" t="str">
        <f aca="false">IF(Settings!C17="","",Settings!C17)</f>
        <v>Creative Arts</v>
      </c>
      <c r="B19" s="36" t="str">
        <f aca="false">IF(OR($A19="",AND($B$10&lt;&gt;"",$B$10&lt;&gt;"All terms",$B$10&lt;&gt;B$12)),"",IFERROR(AVERAGEIFS(Grades!$I$5:$I$304,Grades!$A$5:$A$304,$B$5,Grades!$E$5:$E$304,$A19,Grades!$F$5:$F$304,B$12),""))</f>
        <v/>
      </c>
      <c r="C19" s="36" t="str">
        <f aca="false">IF(OR($A19="",AND($B$10&lt;&gt;"",$B$10&lt;&gt;"All terms",$B$10&lt;&gt;C$12)),"",IFERROR(AVERAGEIFS(Grades!$I$5:$I$304,Grades!$A$5:$A$304,$B$5,Grades!$E$5:$E$304,$A19,Grades!$F$5:$F$304,C$12),""))</f>
        <v/>
      </c>
      <c r="D19" s="36" t="str">
        <f aca="false">IF(OR($A19="",AND($B$10&lt;&gt;"",$B$10&lt;&gt;"All terms",$B$10&lt;&gt;D$12)),"",IFERROR(AVERAGEIFS(Grades!$I$5:$I$304,Grades!$A$5:$A$304,$B$5,Grades!$E$5:$E$304,$A19,Grades!$F$5:$F$304,D$12),""))</f>
        <v/>
      </c>
      <c r="E19" s="36" t="str">
        <f aca="false">IF(COUNT(B19:D19)=0,"",AVERAGE(B19:D19))</f>
        <v/>
      </c>
      <c r="F19" s="37" t="str">
        <f aca="false">IF(E19="","",IF(E19&gt;=Settings!$E$11,Settings!$F$11,IF(E19&gt;=Settings!$E$12,Settings!$F$12,IF(E19&gt;=Settings!$E$13,Settings!$F$13,IF(E19&gt;=Settings!$E$14,Settings!$F$14,Settings!$F$15)))))</f>
        <v/>
      </c>
      <c r="G19" s="37" t="str">
        <f aca="false">IF(E19="","",IF(E19&gt;=Settings!$E$11,Settings!$G$11,IF(E19&gt;=Settings!$E$12,Settings!$G$12,IF(E19&gt;=Settings!$E$13,Settings!$G$13,IF(E19&gt;=Settings!$E$14,Settings!$G$14,Settings!$G$15)))))</f>
        <v/>
      </c>
    </row>
    <row r="20" customFormat="false" ht="19.5" hidden="false" customHeight="true" outlineLevel="0" collapsed="false">
      <c r="A20" s="35" t="str">
        <f aca="false">IF(Settings!C18="","",Settings!C18)</f>
        <v>Computer Studies</v>
      </c>
      <c r="B20" s="36" t="str">
        <f aca="false">IF(OR($A20="",AND($B$10&lt;&gt;"",$B$10&lt;&gt;"All terms",$B$10&lt;&gt;B$12)),"",IFERROR(AVERAGEIFS(Grades!$I$5:$I$304,Grades!$A$5:$A$304,$B$5,Grades!$E$5:$E$304,$A20,Grades!$F$5:$F$304,B$12),""))</f>
        <v/>
      </c>
      <c r="C20" s="36" t="str">
        <f aca="false">IF(OR($A20="",AND($B$10&lt;&gt;"",$B$10&lt;&gt;"All terms",$B$10&lt;&gt;C$12)),"",IFERROR(AVERAGEIFS(Grades!$I$5:$I$304,Grades!$A$5:$A$304,$B$5,Grades!$E$5:$E$304,$A20,Grades!$F$5:$F$304,C$12),""))</f>
        <v/>
      </c>
      <c r="D20" s="36" t="str">
        <f aca="false">IF(OR($A20="",AND($B$10&lt;&gt;"",$B$10&lt;&gt;"All terms",$B$10&lt;&gt;D$12)),"",IFERROR(AVERAGEIFS(Grades!$I$5:$I$304,Grades!$A$5:$A$304,$B$5,Grades!$E$5:$E$304,$A20,Grades!$F$5:$F$304,D$12),""))</f>
        <v/>
      </c>
      <c r="E20" s="36" t="str">
        <f aca="false">IF(COUNT(B20:D20)=0,"",AVERAGE(B20:D20))</f>
        <v/>
      </c>
      <c r="F20" s="37" t="str">
        <f aca="false">IF(E20="","",IF(E20&gt;=Settings!$E$11,Settings!$F$11,IF(E20&gt;=Settings!$E$12,Settings!$F$12,IF(E20&gt;=Settings!$E$13,Settings!$F$13,IF(E20&gt;=Settings!$E$14,Settings!$F$14,Settings!$F$15)))))</f>
        <v/>
      </c>
      <c r="G20" s="37" t="str">
        <f aca="false">IF(E20="","",IF(E20&gt;=Settings!$E$11,Settings!$G$11,IF(E20&gt;=Settings!$E$12,Settings!$G$12,IF(E20&gt;=Settings!$E$13,Settings!$G$13,IF(E20&gt;=Settings!$E$14,Settings!$G$14,Settings!$G$15)))))</f>
        <v/>
      </c>
    </row>
    <row r="21" customFormat="false" ht="19.5" hidden="false" customHeight="true" outlineLevel="0" collapsed="false">
      <c r="A21" s="35" t="str">
        <f aca="false">IF(Settings!C19="","",Settings!C19)</f>
        <v>French</v>
      </c>
      <c r="B21" s="36" t="str">
        <f aca="false">IF(OR($A21="",AND($B$10&lt;&gt;"",$B$10&lt;&gt;"All terms",$B$10&lt;&gt;B$12)),"",IFERROR(AVERAGEIFS(Grades!$I$5:$I$304,Grades!$A$5:$A$304,$B$5,Grades!$E$5:$E$304,$A21,Grades!$F$5:$F$304,B$12),""))</f>
        <v/>
      </c>
      <c r="C21" s="36" t="str">
        <f aca="false">IF(OR($A21="",AND($B$10&lt;&gt;"",$B$10&lt;&gt;"All terms",$B$10&lt;&gt;C$12)),"",IFERROR(AVERAGEIFS(Grades!$I$5:$I$304,Grades!$A$5:$A$304,$B$5,Grades!$E$5:$E$304,$A21,Grades!$F$5:$F$304,C$12),""))</f>
        <v/>
      </c>
      <c r="D21" s="36" t="str">
        <f aca="false">IF(OR($A21="",AND($B$10&lt;&gt;"",$B$10&lt;&gt;"All terms",$B$10&lt;&gt;D$12)),"",IFERROR(AVERAGEIFS(Grades!$I$5:$I$304,Grades!$A$5:$A$304,$B$5,Grades!$E$5:$E$304,$A21,Grades!$F$5:$F$304,D$12),""))</f>
        <v/>
      </c>
      <c r="E21" s="36" t="str">
        <f aca="false">IF(COUNT(B21:D21)=0,"",AVERAGE(B21:D21))</f>
        <v/>
      </c>
      <c r="F21" s="37" t="str">
        <f aca="false">IF(E21="","",IF(E21&gt;=Settings!$E$11,Settings!$F$11,IF(E21&gt;=Settings!$E$12,Settings!$F$12,IF(E21&gt;=Settings!$E$13,Settings!$F$13,IF(E21&gt;=Settings!$E$14,Settings!$F$14,Settings!$F$15)))))</f>
        <v/>
      </c>
      <c r="G21" s="37" t="str">
        <f aca="false">IF(E21="","",IF(E21&gt;=Settings!$E$11,Settings!$G$11,IF(E21&gt;=Settings!$E$12,Settings!$G$12,IF(E21&gt;=Settings!$E$13,Settings!$G$13,IF(E21&gt;=Settings!$E$14,Settings!$G$14,Settings!$G$15)))))</f>
        <v/>
      </c>
    </row>
    <row r="22" customFormat="false" ht="19.5" hidden="false" customHeight="true" outlineLevel="0" collapsed="false">
      <c r="A22" s="35" t="str">
        <f aca="false">IF(Settings!C20="","",Settings!C20)</f>
        <v>Agriculture</v>
      </c>
      <c r="B22" s="36" t="str">
        <f aca="false">IF(OR($A22="",AND($B$10&lt;&gt;"",$B$10&lt;&gt;"All terms",$B$10&lt;&gt;B$12)),"",IFERROR(AVERAGEIFS(Grades!$I$5:$I$304,Grades!$A$5:$A$304,$B$5,Grades!$E$5:$E$304,$A22,Grades!$F$5:$F$304,B$12),""))</f>
        <v/>
      </c>
      <c r="C22" s="36" t="str">
        <f aca="false">IF(OR($A22="",AND($B$10&lt;&gt;"",$B$10&lt;&gt;"All terms",$B$10&lt;&gt;C$12)),"",IFERROR(AVERAGEIFS(Grades!$I$5:$I$304,Grades!$A$5:$A$304,$B$5,Grades!$E$5:$E$304,$A22,Grades!$F$5:$F$304,C$12),""))</f>
        <v/>
      </c>
      <c r="D22" s="36" t="str">
        <f aca="false">IF(OR($A22="",AND($B$10&lt;&gt;"",$B$10&lt;&gt;"All terms",$B$10&lt;&gt;D$12)),"",IFERROR(AVERAGEIFS(Grades!$I$5:$I$304,Grades!$A$5:$A$304,$B$5,Grades!$E$5:$E$304,$A22,Grades!$F$5:$F$304,D$12),""))</f>
        <v/>
      </c>
      <c r="E22" s="36" t="str">
        <f aca="false">IF(COUNT(B22:D22)=0,"",AVERAGE(B22:D22))</f>
        <v/>
      </c>
      <c r="F22" s="37" t="str">
        <f aca="false">IF(E22="","",IF(E22&gt;=Settings!$E$11,Settings!$F$11,IF(E22&gt;=Settings!$E$12,Settings!$F$12,IF(E22&gt;=Settings!$E$13,Settings!$F$13,IF(E22&gt;=Settings!$E$14,Settings!$F$14,Settings!$F$15)))))</f>
        <v/>
      </c>
      <c r="G22" s="37" t="str">
        <f aca="false">IF(E22="","",IF(E22&gt;=Settings!$E$11,Settings!$G$11,IF(E22&gt;=Settings!$E$12,Settings!$G$12,IF(E22&gt;=Settings!$E$13,Settings!$G$13,IF(E22&gt;=Settings!$E$14,Settings!$G$14,Settings!$G$15)))))</f>
        <v/>
      </c>
    </row>
    <row r="23" customFormat="false" ht="19.5" hidden="false" customHeight="true" outlineLevel="0" collapsed="false">
      <c r="A23" s="35" t="str">
        <f aca="false">IF(Settings!C21="","",Settings!C21)</f>
        <v/>
      </c>
      <c r="B23" s="36" t="str">
        <f aca="false">IF(OR($A23="",AND($B$10&lt;&gt;"",$B$10&lt;&gt;"All terms",$B$10&lt;&gt;B$12)),"",IFERROR(AVERAGEIFS(Grades!$I$5:$I$304,Grades!$A$5:$A$304,$B$5,Grades!$E$5:$E$304,$A23,Grades!$F$5:$F$304,B$12),""))</f>
        <v/>
      </c>
      <c r="C23" s="36" t="str">
        <f aca="false">IF(OR($A23="",AND($B$10&lt;&gt;"",$B$10&lt;&gt;"All terms",$B$10&lt;&gt;C$12)),"",IFERROR(AVERAGEIFS(Grades!$I$5:$I$304,Grades!$A$5:$A$304,$B$5,Grades!$E$5:$E$304,$A23,Grades!$F$5:$F$304,C$12),""))</f>
        <v/>
      </c>
      <c r="D23" s="36" t="str">
        <f aca="false">IF(OR($A23="",AND($B$10&lt;&gt;"",$B$10&lt;&gt;"All terms",$B$10&lt;&gt;D$12)),"",IFERROR(AVERAGEIFS(Grades!$I$5:$I$304,Grades!$A$5:$A$304,$B$5,Grades!$E$5:$E$304,$A23,Grades!$F$5:$F$304,D$12),""))</f>
        <v/>
      </c>
      <c r="E23" s="36" t="str">
        <f aca="false">IF(COUNT(B23:D23)=0,"",AVERAGE(B23:D23))</f>
        <v/>
      </c>
      <c r="F23" s="37" t="str">
        <f aca="false">IF(E23="","",IF(E23&gt;=Settings!$E$11,Settings!$F$11,IF(E23&gt;=Settings!$E$12,Settings!$F$12,IF(E23&gt;=Settings!$E$13,Settings!$F$13,IF(E23&gt;=Settings!$E$14,Settings!$F$14,Settings!$F$15)))))</f>
        <v/>
      </c>
      <c r="G23" s="37" t="str">
        <f aca="false">IF(E23="","",IF(E23&gt;=Settings!$E$11,Settings!$G$11,IF(E23&gt;=Settings!$E$12,Settings!$G$12,IF(E23&gt;=Settings!$E$13,Settings!$G$13,IF(E23&gt;=Settings!$E$14,Settings!$G$14,Settings!$G$15)))))</f>
        <v/>
      </c>
    </row>
    <row r="24" customFormat="false" ht="19.5" hidden="false" customHeight="true" outlineLevel="0" collapsed="false">
      <c r="A24" s="35" t="str">
        <f aca="false">IF(Settings!C22="","",Settings!C22)</f>
        <v/>
      </c>
      <c r="B24" s="36" t="str">
        <f aca="false">IF(OR($A24="",AND($B$10&lt;&gt;"",$B$10&lt;&gt;"All terms",$B$10&lt;&gt;B$12)),"",IFERROR(AVERAGEIFS(Grades!$I$5:$I$304,Grades!$A$5:$A$304,$B$5,Grades!$E$5:$E$304,$A24,Grades!$F$5:$F$304,B$12),""))</f>
        <v/>
      </c>
      <c r="C24" s="36" t="str">
        <f aca="false">IF(OR($A24="",AND($B$10&lt;&gt;"",$B$10&lt;&gt;"All terms",$B$10&lt;&gt;C$12)),"",IFERROR(AVERAGEIFS(Grades!$I$5:$I$304,Grades!$A$5:$A$304,$B$5,Grades!$E$5:$E$304,$A24,Grades!$F$5:$F$304,C$12),""))</f>
        <v/>
      </c>
      <c r="D24" s="36" t="str">
        <f aca="false">IF(OR($A24="",AND($B$10&lt;&gt;"",$B$10&lt;&gt;"All terms",$B$10&lt;&gt;D$12)),"",IFERROR(AVERAGEIFS(Grades!$I$5:$I$304,Grades!$A$5:$A$304,$B$5,Grades!$E$5:$E$304,$A24,Grades!$F$5:$F$304,D$12),""))</f>
        <v/>
      </c>
      <c r="E24" s="36" t="str">
        <f aca="false">IF(COUNT(B24:D24)=0,"",AVERAGE(B24:D24))</f>
        <v/>
      </c>
      <c r="F24" s="37" t="str">
        <f aca="false">IF(E24="","",IF(E24&gt;=Settings!$E$11,Settings!$F$11,IF(E24&gt;=Settings!$E$12,Settings!$F$12,IF(E24&gt;=Settings!$E$13,Settings!$F$13,IF(E24&gt;=Settings!$E$14,Settings!$F$14,Settings!$F$15)))))</f>
        <v/>
      </c>
      <c r="G24" s="37" t="str">
        <f aca="false">IF(E24="","",IF(E24&gt;=Settings!$E$11,Settings!$G$11,IF(E24&gt;=Settings!$E$12,Settings!$G$12,IF(E24&gt;=Settings!$E$13,Settings!$G$13,IF(E24&gt;=Settings!$E$14,Settings!$G$14,Settings!$G$15)))))</f>
        <v/>
      </c>
    </row>
    <row r="25" customFormat="false" ht="19.5" hidden="false" customHeight="true" outlineLevel="0" collapsed="false">
      <c r="A25" s="35" t="str">
        <f aca="false">IF(Settings!C23="","",Settings!C23)</f>
        <v/>
      </c>
      <c r="B25" s="36" t="str">
        <f aca="false">IF(OR($A25="",AND($B$10&lt;&gt;"",$B$10&lt;&gt;"All terms",$B$10&lt;&gt;B$12)),"",IFERROR(AVERAGEIFS(Grades!$I$5:$I$304,Grades!$A$5:$A$304,$B$5,Grades!$E$5:$E$304,$A25,Grades!$F$5:$F$304,B$12),""))</f>
        <v/>
      </c>
      <c r="C25" s="36" t="str">
        <f aca="false">IF(OR($A25="",AND($B$10&lt;&gt;"",$B$10&lt;&gt;"All terms",$B$10&lt;&gt;C$12)),"",IFERROR(AVERAGEIFS(Grades!$I$5:$I$304,Grades!$A$5:$A$304,$B$5,Grades!$E$5:$E$304,$A25,Grades!$F$5:$F$304,C$12),""))</f>
        <v/>
      </c>
      <c r="D25" s="36" t="str">
        <f aca="false">IF(OR($A25="",AND($B$10&lt;&gt;"",$B$10&lt;&gt;"All terms",$B$10&lt;&gt;D$12)),"",IFERROR(AVERAGEIFS(Grades!$I$5:$I$304,Grades!$A$5:$A$304,$B$5,Grades!$E$5:$E$304,$A25,Grades!$F$5:$F$304,D$12),""))</f>
        <v/>
      </c>
      <c r="E25" s="36" t="str">
        <f aca="false">IF(COUNT(B25:D25)=0,"",AVERAGE(B25:D25))</f>
        <v/>
      </c>
      <c r="F25" s="37" t="str">
        <f aca="false">IF(E25="","",IF(E25&gt;=Settings!$E$11,Settings!$F$11,IF(E25&gt;=Settings!$E$12,Settings!$F$12,IF(E25&gt;=Settings!$E$13,Settings!$F$13,IF(E25&gt;=Settings!$E$14,Settings!$F$14,Settings!$F$15)))))</f>
        <v/>
      </c>
      <c r="G25" s="37" t="str">
        <f aca="false">IF(E25="","",IF(E25&gt;=Settings!$E$11,Settings!$G$11,IF(E25&gt;=Settings!$E$12,Settings!$G$12,IF(E25&gt;=Settings!$E$13,Settings!$G$13,IF(E25&gt;=Settings!$E$14,Settings!$G$14,Settings!$G$15)))))</f>
        <v/>
      </c>
    </row>
    <row r="26" customFormat="false" ht="19.5" hidden="false" customHeight="true" outlineLevel="0" collapsed="false">
      <c r="A26" s="35" t="str">
        <f aca="false">IF(Settings!C24="","",Settings!C24)</f>
        <v/>
      </c>
      <c r="B26" s="36" t="str">
        <f aca="false">IF(OR($A26="",AND($B$10&lt;&gt;"",$B$10&lt;&gt;"All terms",$B$10&lt;&gt;B$12)),"",IFERROR(AVERAGEIFS(Grades!$I$5:$I$304,Grades!$A$5:$A$304,$B$5,Grades!$E$5:$E$304,$A26,Grades!$F$5:$F$304,B$12),""))</f>
        <v/>
      </c>
      <c r="C26" s="36" t="str">
        <f aca="false">IF(OR($A26="",AND($B$10&lt;&gt;"",$B$10&lt;&gt;"All terms",$B$10&lt;&gt;C$12)),"",IFERROR(AVERAGEIFS(Grades!$I$5:$I$304,Grades!$A$5:$A$304,$B$5,Grades!$E$5:$E$304,$A26,Grades!$F$5:$F$304,C$12),""))</f>
        <v/>
      </c>
      <c r="D26" s="36" t="str">
        <f aca="false">IF(OR($A26="",AND($B$10&lt;&gt;"",$B$10&lt;&gt;"All terms",$B$10&lt;&gt;D$12)),"",IFERROR(AVERAGEIFS(Grades!$I$5:$I$304,Grades!$A$5:$A$304,$B$5,Grades!$E$5:$E$304,$A26,Grades!$F$5:$F$304,D$12),""))</f>
        <v/>
      </c>
      <c r="E26" s="36" t="str">
        <f aca="false">IF(COUNT(B26:D26)=0,"",AVERAGE(B26:D26))</f>
        <v/>
      </c>
      <c r="F26" s="37" t="str">
        <f aca="false">IF(E26="","",IF(E26&gt;=Settings!$E$11,Settings!$F$11,IF(E26&gt;=Settings!$E$12,Settings!$F$12,IF(E26&gt;=Settings!$E$13,Settings!$F$13,IF(E26&gt;=Settings!$E$14,Settings!$F$14,Settings!$F$15)))))</f>
        <v/>
      </c>
      <c r="G26" s="37" t="str">
        <f aca="false">IF(E26="","",IF(E26&gt;=Settings!$E$11,Settings!$G$11,IF(E26&gt;=Settings!$E$12,Settings!$G$12,IF(E26&gt;=Settings!$E$13,Settings!$G$13,IF(E26&gt;=Settings!$E$14,Settings!$G$14,Settings!$G$15)))))</f>
        <v/>
      </c>
    </row>
    <row r="27" customFormat="false" ht="19.5" hidden="false" customHeight="true" outlineLevel="0" collapsed="false">
      <c r="A27" s="35" t="str">
        <f aca="false">IF(Settings!C25="","",Settings!C25)</f>
        <v/>
      </c>
      <c r="B27" s="36" t="str">
        <f aca="false">IF(OR($A27="",AND($B$10&lt;&gt;"",$B$10&lt;&gt;"All terms",$B$10&lt;&gt;B$12)),"",IFERROR(AVERAGEIFS(Grades!$I$5:$I$304,Grades!$A$5:$A$304,$B$5,Grades!$E$5:$E$304,$A27,Grades!$F$5:$F$304,B$12),""))</f>
        <v/>
      </c>
      <c r="C27" s="36" t="str">
        <f aca="false">IF(OR($A27="",AND($B$10&lt;&gt;"",$B$10&lt;&gt;"All terms",$B$10&lt;&gt;C$12)),"",IFERROR(AVERAGEIFS(Grades!$I$5:$I$304,Grades!$A$5:$A$304,$B$5,Grades!$E$5:$E$304,$A27,Grades!$F$5:$F$304,C$12),""))</f>
        <v/>
      </c>
      <c r="D27" s="36" t="str">
        <f aca="false">IF(OR($A27="",AND($B$10&lt;&gt;"",$B$10&lt;&gt;"All terms",$B$10&lt;&gt;D$12)),"",IFERROR(AVERAGEIFS(Grades!$I$5:$I$304,Grades!$A$5:$A$304,$B$5,Grades!$E$5:$E$304,$A27,Grades!$F$5:$F$304,D$12),""))</f>
        <v/>
      </c>
      <c r="E27" s="36" t="str">
        <f aca="false">IF(COUNT(B27:D27)=0,"",AVERAGE(B27:D27))</f>
        <v/>
      </c>
      <c r="F27" s="37" t="str">
        <f aca="false">IF(E27="","",IF(E27&gt;=Settings!$E$11,Settings!$F$11,IF(E27&gt;=Settings!$E$12,Settings!$F$12,IF(E27&gt;=Settings!$E$13,Settings!$F$13,IF(E27&gt;=Settings!$E$14,Settings!$F$14,Settings!$F$15)))))</f>
        <v/>
      </c>
      <c r="G27" s="37" t="str">
        <f aca="false">IF(E27="","",IF(E27&gt;=Settings!$E$11,Settings!$G$11,IF(E27&gt;=Settings!$E$12,Settings!$G$12,IF(E27&gt;=Settings!$E$13,Settings!$G$13,IF(E27&gt;=Settings!$E$14,Settings!$G$14,Settings!$G$15)))))</f>
        <v/>
      </c>
    </row>
    <row r="30" customFormat="false" ht="24" hidden="false" customHeight="true" outlineLevel="0" collapsed="false">
      <c r="A30" s="38" t="s">
        <v>135</v>
      </c>
      <c r="B30" s="39" t="n">
        <f aca="false">IF(COUNT(B13:B27)=0,"",AVERAGE(B13:B27))</f>
        <v>77.7</v>
      </c>
      <c r="C30" s="39" t="str">
        <f aca="false">IF(COUNT(C13:C27)=0,"",AVERAGE(C13:C27))</f>
        <v/>
      </c>
      <c r="D30" s="39" t="str">
        <f aca="false">IF(COUNT(D13:D27)=0,"",AVERAGE(D13:D27))</f>
        <v/>
      </c>
      <c r="E30" s="39" t="n">
        <f aca="false">IF(COUNT(E13:E27)=0,"",AVERAGE(E13:E27))</f>
        <v>77.7</v>
      </c>
      <c r="F30" s="40" t="str">
        <f aca="false">IF(E30="","",IF(E30&gt;=Settings!$E$11,Settings!$F$11,IF(E30&gt;=Settings!$E$12,Settings!$F$12,IF(E30&gt;=Settings!$E$13,Settings!$F$13,IF(E30&gt;=Settings!$E$14,Settings!$F$14,Settings!$F$15)))))</f>
        <v>B</v>
      </c>
      <c r="G30" s="40" t="str">
        <f aca="false">IF(E30="","",IF(E30&gt;=Settings!$E$11,Settings!$G$11,IF(E30&gt;=Settings!$E$12,Settings!$G$12,IF(E30&gt;=Settings!$E$13,Settings!$G$13,IF(E30&gt;=Settings!$E$14,Settings!$G$14,Settings!$G$15)))))</f>
        <v>Very Good</v>
      </c>
    </row>
    <row r="33" customFormat="false" ht="15" hidden="false" customHeight="true" outlineLevel="0" collapsed="false">
      <c r="A33" s="41" t="s">
        <v>136</v>
      </c>
      <c r="E33" s="41" t="s">
        <v>137</v>
      </c>
    </row>
    <row r="35" customFormat="false" ht="15" hidden="false" customHeight="true" outlineLevel="0" collapsed="false">
      <c r="A35" s="41" t="s">
        <v>138</v>
      </c>
      <c r="E35" s="41" t="s">
        <v>137</v>
      </c>
    </row>
    <row r="37" customFormat="false" ht="15" hidden="false" customHeight="true" outlineLevel="0" collapsed="false">
      <c r="A37" s="41" t="s">
        <v>139</v>
      </c>
      <c r="E37" s="41" t="s">
        <v>137</v>
      </c>
    </row>
  </sheetData>
  <mergeCells count="15">
    <mergeCell ref="A1:G1"/>
    <mergeCell ref="A2:G2"/>
    <mergeCell ref="A3:G3"/>
    <mergeCell ref="B5:D5"/>
    <mergeCell ref="E5:F5"/>
    <mergeCell ref="B6:D6"/>
    <mergeCell ref="E6:F6"/>
    <mergeCell ref="B7:D7"/>
    <mergeCell ref="E7:F7"/>
    <mergeCell ref="B8:D8"/>
    <mergeCell ref="E8:F8"/>
    <mergeCell ref="B9:D9"/>
    <mergeCell ref="E9:F9"/>
    <mergeCell ref="B10:D10"/>
    <mergeCell ref="E10:F10"/>
  </mergeCells>
  <conditionalFormatting sqref="A13:G27">
    <cfRule type="expression" priority="2" aboveAverage="0" equalAverage="0" bottom="0" percent="0" rank="0" text="" dxfId="3">
      <formula>$A13&lt;&gt;""</formula>
    </cfRule>
  </conditionalFormatting>
  <conditionalFormatting sqref="F13:F27">
    <cfRule type="expression" priority="3" aboveAverage="0" equalAverage="0" bottom="0" percent="0" rank="0" text="" dxfId="1">
      <formula>$F13="F"</formula>
    </cfRule>
    <cfRule type="expression" priority="4" aboveAverage="0" equalAverage="0" bottom="0" percent="0" rank="0" text="" dxfId="2">
      <formula>OR($F13="A",$F13="B")</formula>
    </cfRule>
  </conditionalFormatting>
  <dataValidations count="2">
    <dataValidation allowBlank="true" error="Pick a Student ID from the Students tab." errorStyle="stop" errorTitle="Not found" operator="between" showDropDown="false" showErrorMessage="true" showInputMessage="false" sqref="B5" type="list">
      <formula1>Students!$A$5:$A$304</formula1>
      <formula2>0</formula2>
    </dataValidation>
    <dataValidation allowBlank="false" errorStyle="stop" operator="between" showDropDown="false" showErrorMessage="false" showInputMessage="false" sqref="B10" type="list">
      <formula1>Settings!$A$36:$A$39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98B"/>
    <pageSetUpPr fitToPage="true"/>
  </sheetPr>
  <dimension ref="A1:AA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28"/>
    <col collapsed="false" customWidth="true" hidden="false" outlineLevel="0" max="15" min="4" style="1" width="11"/>
    <col collapsed="false" customWidth="true" hidden="false" outlineLevel="0" max="17" min="16" style="1" width="10"/>
    <col collapsed="false" customWidth="true" hidden="false" outlineLevel="0" max="18" min="18" style="1" width="8"/>
    <col collapsed="false" customWidth="true" hidden="false" outlineLevel="0" max="19" min="19" style="1" width="10"/>
    <col collapsed="false" customWidth="true" hidden="false" outlineLevel="0" max="27" min="21" style="0" width="7"/>
  </cols>
  <sheetData>
    <row r="1" customFormat="false" ht="42" hidden="false" customHeight="true" outlineLevel="0" collapsed="false">
      <c r="A1" s="2" t="s">
        <v>140</v>
      </c>
      <c r="B1" s="2"/>
      <c r="C1" s="2"/>
      <c r="D1" s="2"/>
      <c r="E1" s="2"/>
      <c r="F1" s="2"/>
      <c r="G1" s="2"/>
      <c r="H1" s="2"/>
      <c r="I1" s="2"/>
      <c r="J1" s="2"/>
      <c r="K1" s="2"/>
      <c r="L1" s="2"/>
      <c r="M1" s="2"/>
      <c r="N1" s="2"/>
      <c r="O1" s="2"/>
      <c r="P1" s="2"/>
      <c r="Q1" s="2"/>
      <c r="R1" s="2"/>
      <c r="S1" s="2"/>
    </row>
    <row r="2" customFormat="false" ht="19.5" hidden="false" customHeight="true" outlineLevel="0" collapsed="false">
      <c r="A2" s="3" t="s">
        <v>141</v>
      </c>
      <c r="B2" s="3"/>
      <c r="C2" s="3"/>
      <c r="D2" s="3"/>
      <c r="E2" s="3"/>
      <c r="F2" s="3"/>
      <c r="G2" s="3"/>
      <c r="H2" s="3"/>
      <c r="I2" s="3"/>
      <c r="J2" s="3"/>
      <c r="K2" s="3"/>
      <c r="L2" s="3"/>
      <c r="M2" s="3"/>
      <c r="N2" s="3"/>
      <c r="O2" s="3"/>
      <c r="P2" s="3"/>
      <c r="Q2" s="3"/>
      <c r="R2" s="3"/>
      <c r="S2" s="3"/>
    </row>
    <row r="3" customFormat="false" ht="3.75" hidden="false" customHeight="true" outlineLevel="0" collapsed="false">
      <c r="A3" s="4"/>
      <c r="B3" s="4"/>
      <c r="C3" s="4"/>
      <c r="D3" s="4"/>
      <c r="E3" s="4"/>
      <c r="F3" s="4"/>
      <c r="G3" s="4"/>
      <c r="H3" s="4"/>
      <c r="I3" s="4"/>
      <c r="J3" s="4"/>
      <c r="K3" s="4"/>
      <c r="L3" s="4"/>
      <c r="M3" s="4"/>
      <c r="N3" s="4"/>
      <c r="O3" s="4"/>
      <c r="P3" s="4"/>
      <c r="Q3" s="4"/>
      <c r="R3" s="4"/>
      <c r="S3" s="4"/>
    </row>
    <row r="4" customFormat="false" ht="21.75" hidden="false" customHeight="true" outlineLevel="0" collapsed="false">
      <c r="A4" s="24" t="s">
        <v>142</v>
      </c>
      <c r="B4" s="24"/>
      <c r="C4" s="42" t="s">
        <v>143</v>
      </c>
      <c r="D4" s="43" t="str">
        <f aca="false">IF($C$4="","",IFERROR(INDEX(Schools!$B$5:$B$304,MATCH($C$4,Schools!$A$5:$A$304,0)),"School not found"))</f>
        <v>Example Primary School</v>
      </c>
      <c r="E4" s="43"/>
      <c r="F4" s="43"/>
      <c r="G4" s="43"/>
      <c r="H4" s="43"/>
      <c r="U4" s="44" t="s">
        <v>144</v>
      </c>
      <c r="V4" s="44"/>
      <c r="W4" s="44"/>
      <c r="X4" s="44"/>
      <c r="Y4" s="44"/>
      <c r="Z4" s="44"/>
      <c r="AA4" s="44"/>
    </row>
    <row r="5" customFormat="false" ht="21.75" hidden="false" customHeight="true" outlineLevel="0" collapsed="false">
      <c r="A5" s="24" t="s">
        <v>121</v>
      </c>
      <c r="B5" s="24"/>
      <c r="C5" s="42" t="s">
        <v>145</v>
      </c>
      <c r="D5" s="45" t="str">
        <f aca="false">IF($C$5="","",COUNTIFS(Students!$E$5:$E$304,$C$4,Students!$F$5:$F$304,$C$5,Students!$K$5:$K$304,"Active")&amp;" active students  |  "&amp;$C$6&amp;"  |  "&amp;Settings!B5)</f>
        <v>1 active students  |  Term 1  |  2026/2027</v>
      </c>
      <c r="E5" s="45"/>
      <c r="F5" s="45"/>
      <c r="G5" s="45"/>
      <c r="H5" s="45"/>
      <c r="U5" s="46" t="s">
        <v>146</v>
      </c>
      <c r="V5" s="46"/>
      <c r="W5" s="46"/>
      <c r="X5" s="46"/>
      <c r="Y5" s="46"/>
      <c r="Z5" s="46"/>
      <c r="AA5" s="46"/>
    </row>
    <row r="6" customFormat="false" ht="21.75" hidden="false" customHeight="true" outlineLevel="0" collapsed="false">
      <c r="A6" s="24" t="s">
        <v>147</v>
      </c>
      <c r="B6" s="24"/>
      <c r="C6" s="42" t="s">
        <v>130</v>
      </c>
      <c r="U6" s="47" t="s">
        <v>126</v>
      </c>
    </row>
    <row r="7" customFormat="false" ht="15" hidden="false" customHeight="true" outlineLevel="0" collapsed="false">
      <c r="A7" s="21" t="s">
        <v>148</v>
      </c>
    </row>
    <row r="8" customFormat="false" ht="7.5" hidden="false" customHeight="true" outlineLevel="0" collapsed="false"/>
    <row r="9" customFormat="false" ht="61.5" hidden="false" customHeight="true" outlineLevel="0" collapsed="false">
      <c r="A9" s="48" t="s">
        <v>149</v>
      </c>
      <c r="B9" s="48" t="s">
        <v>150</v>
      </c>
      <c r="C9" s="48" t="s">
        <v>151</v>
      </c>
      <c r="D9" s="49" t="str">
        <f aca="false">IF(Settings!C11="","",Settings!C11)</f>
        <v>English Language</v>
      </c>
      <c r="E9" s="49" t="str">
        <f aca="false">IF(Settings!C12="","",Settings!C12)</f>
        <v>Mathematics</v>
      </c>
      <c r="F9" s="49" t="str">
        <f aca="false">IF(Settings!C13="","",Settings!C13)</f>
        <v>Integrated Science</v>
      </c>
      <c r="G9" s="49" t="str">
        <f aca="false">IF(Settings!C14="","",Settings!C14)</f>
        <v>Social Studies</v>
      </c>
      <c r="H9" s="49" t="str">
        <f aca="false">IF(Settings!C15="","",Settings!C15)</f>
        <v>Religious &amp; Moral Education</v>
      </c>
      <c r="I9" s="49" t="str">
        <f aca="false">IF(Settings!C16="","",Settings!C16)</f>
        <v>Physical Education</v>
      </c>
      <c r="J9" s="49" t="str">
        <f aca="false">IF(Settings!C17="","",Settings!C17)</f>
        <v>Creative Arts</v>
      </c>
      <c r="K9" s="49" t="str">
        <f aca="false">IF(Settings!C18="","",Settings!C18)</f>
        <v>Computer Studies</v>
      </c>
      <c r="L9" s="49" t="str">
        <f aca="false">IF(Settings!C19="","",Settings!C19)</f>
        <v>French</v>
      </c>
      <c r="M9" s="49" t="str">
        <f aca="false">IF(Settings!C20="","",Settings!C20)</f>
        <v>Agriculture</v>
      </c>
      <c r="N9" s="49" t="str">
        <f aca="false">IF(Settings!C21="","",Settings!C21)</f>
        <v/>
      </c>
      <c r="O9" s="49" t="str">
        <f aca="false">IF(Settings!C22="","",Settings!C22)</f>
        <v/>
      </c>
      <c r="P9" s="48" t="s">
        <v>152</v>
      </c>
      <c r="Q9" s="48" t="s">
        <v>153</v>
      </c>
      <c r="R9" s="48" t="s">
        <v>133</v>
      </c>
      <c r="S9" s="48" t="s">
        <v>154</v>
      </c>
    </row>
    <row r="10" customFormat="false" ht="19.5" hidden="false" customHeight="true" outlineLevel="0" collapsed="false">
      <c r="A10" s="17" t="n">
        <f aca="false">IF($B10="","",1)</f>
        <v>1</v>
      </c>
      <c r="B10" s="17" t="str">
        <f aca="false">IFERROR(INDEX(Students!$A$5:$A$304,MATCH($C$4&amp;"|"&amp;$C$5&amp;"|"&amp;1,Students!$O$5:$O$304,0)),"")</f>
        <v>S0001</v>
      </c>
      <c r="C10" s="16" t="str">
        <f aca="false">IF($B10="","",INDEX(Students!$B$5:$B$304,MATCH($B10,Students!$A$5:$A$304,0)))</f>
        <v>Aminata Conteh</v>
      </c>
      <c r="D10" s="19" t="str">
        <f aca="false">IF(OR($B10="",D$9=""),"",IFERROR(AVERAGEIFS(Grades!$I$5:$I$304,Grades!$A$5:$A$304,$B10,Grades!$E$5:$E$304,D$9,Grades!$F$5:$F$304,$C$6),""))</f>
        <v/>
      </c>
      <c r="E10" s="19" t="n">
        <f aca="false">IF(OR($B10="",E$9=""),"",IFERROR(AVERAGEIFS(Grades!$I$5:$I$304,Grades!$A$5:$A$304,$B10,Grades!$E$5:$E$304,E$9,Grades!$F$5:$F$304,$C$6),""))</f>
        <v>77.7</v>
      </c>
      <c r="F10" s="19" t="str">
        <f aca="false">IF(OR($B10="",F$9=""),"",IFERROR(AVERAGEIFS(Grades!$I$5:$I$304,Grades!$A$5:$A$304,$B10,Grades!$E$5:$E$304,F$9,Grades!$F$5:$F$304,$C$6),""))</f>
        <v/>
      </c>
      <c r="G10" s="19" t="str">
        <f aca="false">IF(OR($B10="",G$9=""),"",IFERROR(AVERAGEIFS(Grades!$I$5:$I$304,Grades!$A$5:$A$304,$B10,Grades!$E$5:$E$304,G$9,Grades!$F$5:$F$304,$C$6),""))</f>
        <v/>
      </c>
      <c r="H10" s="19" t="str">
        <f aca="false">IF(OR($B10="",H$9=""),"",IFERROR(AVERAGEIFS(Grades!$I$5:$I$304,Grades!$A$5:$A$304,$B10,Grades!$E$5:$E$304,H$9,Grades!$F$5:$F$304,$C$6),""))</f>
        <v/>
      </c>
      <c r="I10" s="19" t="str">
        <f aca="false">IF(OR($B10="",I$9=""),"",IFERROR(AVERAGEIFS(Grades!$I$5:$I$304,Grades!$A$5:$A$304,$B10,Grades!$E$5:$E$304,I$9,Grades!$F$5:$F$304,$C$6),""))</f>
        <v/>
      </c>
      <c r="J10" s="19" t="str">
        <f aca="false">IF(OR($B10="",J$9=""),"",IFERROR(AVERAGEIFS(Grades!$I$5:$I$304,Grades!$A$5:$A$304,$B10,Grades!$E$5:$E$304,J$9,Grades!$F$5:$F$304,$C$6),""))</f>
        <v/>
      </c>
      <c r="K10" s="19" t="str">
        <f aca="false">IF(OR($B10="",K$9=""),"",IFERROR(AVERAGEIFS(Grades!$I$5:$I$304,Grades!$A$5:$A$304,$B10,Grades!$E$5:$E$304,K$9,Grades!$F$5:$F$304,$C$6),""))</f>
        <v/>
      </c>
      <c r="L10" s="19" t="str">
        <f aca="false">IF(OR($B10="",L$9=""),"",IFERROR(AVERAGEIFS(Grades!$I$5:$I$304,Grades!$A$5:$A$304,$B10,Grades!$E$5:$E$304,L$9,Grades!$F$5:$F$304,$C$6),""))</f>
        <v/>
      </c>
      <c r="M10" s="19" t="str">
        <f aca="false">IF(OR($B10="",M$9=""),"",IFERROR(AVERAGEIFS(Grades!$I$5:$I$304,Grades!$A$5:$A$304,$B10,Grades!$E$5:$E$304,M$9,Grades!$F$5:$F$304,$C$6),""))</f>
        <v/>
      </c>
      <c r="N10" s="19" t="str">
        <f aca="false">IF(OR($B10="",N$9=""),"",IFERROR(AVERAGEIFS(Grades!$I$5:$I$304,Grades!$A$5:$A$304,$B10,Grades!$E$5:$E$304,N$9,Grades!$F$5:$F$304,$C$6),""))</f>
        <v/>
      </c>
      <c r="O10" s="19" t="str">
        <f aca="false">IF(OR($B10="",O$9=""),"",IFERROR(AVERAGEIFS(Grades!$I$5:$I$304,Grades!$A$5:$A$304,$B10,Grades!$E$5:$E$304,O$9,Grades!$F$5:$F$304,$C$6),""))</f>
        <v/>
      </c>
      <c r="P10" s="19" t="n">
        <f aca="false">IF(COUNT(D10:O10)=0,"",SUM(D10:O10))</f>
        <v>77.7</v>
      </c>
      <c r="Q10" s="19" t="n">
        <f aca="false">IF(COUNT(D10:O10)=0,"",AVERAGE(D10:O10))</f>
        <v>77.7</v>
      </c>
      <c r="R10" s="50" t="str">
        <f aca="false">IF(Q10="","",IF(Q10&gt;=Settings!$E$11,Settings!$F$11,IF(Q10&gt;=Settings!$E$12,Settings!$F$12,IF(Q10&gt;=Settings!$E$13,Settings!$F$13,IF(Q10&gt;=Settings!$E$14,Settings!$F$14,Settings!$F$15)))))</f>
        <v>B</v>
      </c>
      <c r="S10" s="17" t="n">
        <f aca="false">IF(Q10="","",RANK(Q10,$Q$10:$Q$49))</f>
        <v>1</v>
      </c>
    </row>
    <row r="11" customFormat="false" ht="19.5" hidden="false" customHeight="true" outlineLevel="0" collapsed="false">
      <c r="A11" s="17" t="str">
        <f aca="false">IF($B11="","",2)</f>
        <v/>
      </c>
      <c r="B11" s="17" t="str">
        <f aca="false">IFERROR(INDEX(Students!$A$5:$A$304,MATCH($C$4&amp;"|"&amp;$C$5&amp;"|"&amp;2,Students!$O$5:$O$304,0)),"")</f>
        <v/>
      </c>
      <c r="C11" s="16" t="str">
        <f aca="false">IF($B11="","",INDEX(Students!$B$5:$B$304,MATCH($B11,Students!$A$5:$A$304,0)))</f>
        <v/>
      </c>
      <c r="D11" s="19" t="str">
        <f aca="false">IF(OR($B11="",D$9=""),"",IFERROR(AVERAGEIFS(Grades!$I$5:$I$304,Grades!$A$5:$A$304,$B11,Grades!$E$5:$E$304,D$9,Grades!$F$5:$F$304,$C$6),""))</f>
        <v/>
      </c>
      <c r="E11" s="19" t="str">
        <f aca="false">IF(OR($B11="",E$9=""),"",IFERROR(AVERAGEIFS(Grades!$I$5:$I$304,Grades!$A$5:$A$304,$B11,Grades!$E$5:$E$304,E$9,Grades!$F$5:$F$304,$C$6),""))</f>
        <v/>
      </c>
      <c r="F11" s="19" t="str">
        <f aca="false">IF(OR($B11="",F$9=""),"",IFERROR(AVERAGEIFS(Grades!$I$5:$I$304,Grades!$A$5:$A$304,$B11,Grades!$E$5:$E$304,F$9,Grades!$F$5:$F$304,$C$6),""))</f>
        <v/>
      </c>
      <c r="G11" s="19" t="str">
        <f aca="false">IF(OR($B11="",G$9=""),"",IFERROR(AVERAGEIFS(Grades!$I$5:$I$304,Grades!$A$5:$A$304,$B11,Grades!$E$5:$E$304,G$9,Grades!$F$5:$F$304,$C$6),""))</f>
        <v/>
      </c>
      <c r="H11" s="19" t="str">
        <f aca="false">IF(OR($B11="",H$9=""),"",IFERROR(AVERAGEIFS(Grades!$I$5:$I$304,Grades!$A$5:$A$304,$B11,Grades!$E$5:$E$304,H$9,Grades!$F$5:$F$304,$C$6),""))</f>
        <v/>
      </c>
      <c r="I11" s="19" t="str">
        <f aca="false">IF(OR($B11="",I$9=""),"",IFERROR(AVERAGEIFS(Grades!$I$5:$I$304,Grades!$A$5:$A$304,$B11,Grades!$E$5:$E$304,I$9,Grades!$F$5:$F$304,$C$6),""))</f>
        <v/>
      </c>
      <c r="J11" s="19" t="str">
        <f aca="false">IF(OR($B11="",J$9=""),"",IFERROR(AVERAGEIFS(Grades!$I$5:$I$304,Grades!$A$5:$A$304,$B11,Grades!$E$5:$E$304,J$9,Grades!$F$5:$F$304,$C$6),""))</f>
        <v/>
      </c>
      <c r="K11" s="19" t="str">
        <f aca="false">IF(OR($B11="",K$9=""),"",IFERROR(AVERAGEIFS(Grades!$I$5:$I$304,Grades!$A$5:$A$304,$B11,Grades!$E$5:$E$304,K$9,Grades!$F$5:$F$304,$C$6),""))</f>
        <v/>
      </c>
      <c r="L11" s="19" t="str">
        <f aca="false">IF(OR($B11="",L$9=""),"",IFERROR(AVERAGEIFS(Grades!$I$5:$I$304,Grades!$A$5:$A$304,$B11,Grades!$E$5:$E$304,L$9,Grades!$F$5:$F$304,$C$6),""))</f>
        <v/>
      </c>
      <c r="M11" s="19" t="str">
        <f aca="false">IF(OR($B11="",M$9=""),"",IFERROR(AVERAGEIFS(Grades!$I$5:$I$304,Grades!$A$5:$A$304,$B11,Grades!$E$5:$E$304,M$9,Grades!$F$5:$F$304,$C$6),""))</f>
        <v/>
      </c>
      <c r="N11" s="19" t="str">
        <f aca="false">IF(OR($B11="",N$9=""),"",IFERROR(AVERAGEIFS(Grades!$I$5:$I$304,Grades!$A$5:$A$304,$B11,Grades!$E$5:$E$304,N$9,Grades!$F$5:$F$304,$C$6),""))</f>
        <v/>
      </c>
      <c r="O11" s="19" t="str">
        <f aca="false">IF(OR($B11="",O$9=""),"",IFERROR(AVERAGEIFS(Grades!$I$5:$I$304,Grades!$A$5:$A$304,$B11,Grades!$E$5:$E$304,O$9,Grades!$F$5:$F$304,$C$6),""))</f>
        <v/>
      </c>
      <c r="P11" s="19" t="str">
        <f aca="false">IF(COUNT(D11:O11)=0,"",SUM(D11:O11))</f>
        <v/>
      </c>
      <c r="Q11" s="19" t="str">
        <f aca="false">IF(COUNT(D11:O11)=0,"",AVERAGE(D11:O11))</f>
        <v/>
      </c>
      <c r="R11" s="50" t="str">
        <f aca="false">IF(Q11="","",IF(Q11&gt;=Settings!$E$11,Settings!$F$11,IF(Q11&gt;=Settings!$E$12,Settings!$F$12,IF(Q11&gt;=Settings!$E$13,Settings!$F$13,IF(Q11&gt;=Settings!$E$14,Settings!$F$14,Settings!$F$15)))))</f>
        <v/>
      </c>
      <c r="S11" s="17" t="str">
        <f aca="false">IF(Q11="","",RANK(Q11,$Q$10:$Q$49))</f>
        <v/>
      </c>
    </row>
    <row r="12" customFormat="false" ht="19.5" hidden="false" customHeight="true" outlineLevel="0" collapsed="false">
      <c r="A12" s="17" t="str">
        <f aca="false">IF($B12="","",3)</f>
        <v/>
      </c>
      <c r="B12" s="17" t="str">
        <f aca="false">IFERROR(INDEX(Students!$A$5:$A$304,MATCH($C$4&amp;"|"&amp;$C$5&amp;"|"&amp;3,Students!$O$5:$O$304,0)),"")</f>
        <v/>
      </c>
      <c r="C12" s="16" t="str">
        <f aca="false">IF($B12="","",INDEX(Students!$B$5:$B$304,MATCH($B12,Students!$A$5:$A$304,0)))</f>
        <v/>
      </c>
      <c r="D12" s="19" t="str">
        <f aca="false">IF(OR($B12="",D$9=""),"",IFERROR(AVERAGEIFS(Grades!$I$5:$I$304,Grades!$A$5:$A$304,$B12,Grades!$E$5:$E$304,D$9,Grades!$F$5:$F$304,$C$6),""))</f>
        <v/>
      </c>
      <c r="E12" s="19" t="str">
        <f aca="false">IF(OR($B12="",E$9=""),"",IFERROR(AVERAGEIFS(Grades!$I$5:$I$304,Grades!$A$5:$A$304,$B12,Grades!$E$5:$E$304,E$9,Grades!$F$5:$F$304,$C$6),""))</f>
        <v/>
      </c>
      <c r="F12" s="19" t="str">
        <f aca="false">IF(OR($B12="",F$9=""),"",IFERROR(AVERAGEIFS(Grades!$I$5:$I$304,Grades!$A$5:$A$304,$B12,Grades!$E$5:$E$304,F$9,Grades!$F$5:$F$304,$C$6),""))</f>
        <v/>
      </c>
      <c r="G12" s="19" t="str">
        <f aca="false">IF(OR($B12="",G$9=""),"",IFERROR(AVERAGEIFS(Grades!$I$5:$I$304,Grades!$A$5:$A$304,$B12,Grades!$E$5:$E$304,G$9,Grades!$F$5:$F$304,$C$6),""))</f>
        <v/>
      </c>
      <c r="H12" s="19" t="str">
        <f aca="false">IF(OR($B12="",H$9=""),"",IFERROR(AVERAGEIFS(Grades!$I$5:$I$304,Grades!$A$5:$A$304,$B12,Grades!$E$5:$E$304,H$9,Grades!$F$5:$F$304,$C$6),""))</f>
        <v/>
      </c>
      <c r="I12" s="19" t="str">
        <f aca="false">IF(OR($B12="",I$9=""),"",IFERROR(AVERAGEIFS(Grades!$I$5:$I$304,Grades!$A$5:$A$304,$B12,Grades!$E$5:$E$304,I$9,Grades!$F$5:$F$304,$C$6),""))</f>
        <v/>
      </c>
      <c r="J12" s="19" t="str">
        <f aca="false">IF(OR($B12="",J$9=""),"",IFERROR(AVERAGEIFS(Grades!$I$5:$I$304,Grades!$A$5:$A$304,$B12,Grades!$E$5:$E$304,J$9,Grades!$F$5:$F$304,$C$6),""))</f>
        <v/>
      </c>
      <c r="K12" s="19" t="str">
        <f aca="false">IF(OR($B12="",K$9=""),"",IFERROR(AVERAGEIFS(Grades!$I$5:$I$304,Grades!$A$5:$A$304,$B12,Grades!$E$5:$E$304,K$9,Grades!$F$5:$F$304,$C$6),""))</f>
        <v/>
      </c>
      <c r="L12" s="19" t="str">
        <f aca="false">IF(OR($B12="",L$9=""),"",IFERROR(AVERAGEIFS(Grades!$I$5:$I$304,Grades!$A$5:$A$304,$B12,Grades!$E$5:$E$304,L$9,Grades!$F$5:$F$304,$C$6),""))</f>
        <v/>
      </c>
      <c r="M12" s="19" t="str">
        <f aca="false">IF(OR($B12="",M$9=""),"",IFERROR(AVERAGEIFS(Grades!$I$5:$I$304,Grades!$A$5:$A$304,$B12,Grades!$E$5:$E$304,M$9,Grades!$F$5:$F$304,$C$6),""))</f>
        <v/>
      </c>
      <c r="N12" s="19" t="str">
        <f aca="false">IF(OR($B12="",N$9=""),"",IFERROR(AVERAGEIFS(Grades!$I$5:$I$304,Grades!$A$5:$A$304,$B12,Grades!$E$5:$E$304,N$9,Grades!$F$5:$F$304,$C$6),""))</f>
        <v/>
      </c>
      <c r="O12" s="19" t="str">
        <f aca="false">IF(OR($B12="",O$9=""),"",IFERROR(AVERAGEIFS(Grades!$I$5:$I$304,Grades!$A$5:$A$304,$B12,Grades!$E$5:$E$304,O$9,Grades!$F$5:$F$304,$C$6),""))</f>
        <v/>
      </c>
      <c r="P12" s="19" t="str">
        <f aca="false">IF(COUNT(D12:O12)=0,"",SUM(D12:O12))</f>
        <v/>
      </c>
      <c r="Q12" s="19" t="str">
        <f aca="false">IF(COUNT(D12:O12)=0,"",AVERAGE(D12:O12))</f>
        <v/>
      </c>
      <c r="R12" s="50" t="str">
        <f aca="false">IF(Q12="","",IF(Q12&gt;=Settings!$E$11,Settings!$F$11,IF(Q12&gt;=Settings!$E$12,Settings!$F$12,IF(Q12&gt;=Settings!$E$13,Settings!$F$13,IF(Q12&gt;=Settings!$E$14,Settings!$F$14,Settings!$F$15)))))</f>
        <v/>
      </c>
      <c r="S12" s="17" t="str">
        <f aca="false">IF(Q12="","",RANK(Q12,$Q$10:$Q$49))</f>
        <v/>
      </c>
    </row>
    <row r="13" customFormat="false" ht="19.5" hidden="false" customHeight="true" outlineLevel="0" collapsed="false">
      <c r="A13" s="17" t="str">
        <f aca="false">IF($B13="","",4)</f>
        <v/>
      </c>
      <c r="B13" s="17" t="str">
        <f aca="false">IFERROR(INDEX(Students!$A$5:$A$304,MATCH($C$4&amp;"|"&amp;$C$5&amp;"|"&amp;4,Students!$O$5:$O$304,0)),"")</f>
        <v/>
      </c>
      <c r="C13" s="16" t="str">
        <f aca="false">IF($B13="","",INDEX(Students!$B$5:$B$304,MATCH($B13,Students!$A$5:$A$304,0)))</f>
        <v/>
      </c>
      <c r="D13" s="19" t="str">
        <f aca="false">IF(OR($B13="",D$9=""),"",IFERROR(AVERAGEIFS(Grades!$I$5:$I$304,Grades!$A$5:$A$304,$B13,Grades!$E$5:$E$304,D$9,Grades!$F$5:$F$304,$C$6),""))</f>
        <v/>
      </c>
      <c r="E13" s="19" t="str">
        <f aca="false">IF(OR($B13="",E$9=""),"",IFERROR(AVERAGEIFS(Grades!$I$5:$I$304,Grades!$A$5:$A$304,$B13,Grades!$E$5:$E$304,E$9,Grades!$F$5:$F$304,$C$6),""))</f>
        <v/>
      </c>
      <c r="F13" s="19" t="str">
        <f aca="false">IF(OR($B13="",F$9=""),"",IFERROR(AVERAGEIFS(Grades!$I$5:$I$304,Grades!$A$5:$A$304,$B13,Grades!$E$5:$E$304,F$9,Grades!$F$5:$F$304,$C$6),""))</f>
        <v/>
      </c>
      <c r="G13" s="19" t="str">
        <f aca="false">IF(OR($B13="",G$9=""),"",IFERROR(AVERAGEIFS(Grades!$I$5:$I$304,Grades!$A$5:$A$304,$B13,Grades!$E$5:$E$304,G$9,Grades!$F$5:$F$304,$C$6),""))</f>
        <v/>
      </c>
      <c r="H13" s="19" t="str">
        <f aca="false">IF(OR($B13="",H$9=""),"",IFERROR(AVERAGEIFS(Grades!$I$5:$I$304,Grades!$A$5:$A$304,$B13,Grades!$E$5:$E$304,H$9,Grades!$F$5:$F$304,$C$6),""))</f>
        <v/>
      </c>
      <c r="I13" s="19" t="str">
        <f aca="false">IF(OR($B13="",I$9=""),"",IFERROR(AVERAGEIFS(Grades!$I$5:$I$304,Grades!$A$5:$A$304,$B13,Grades!$E$5:$E$304,I$9,Grades!$F$5:$F$304,$C$6),""))</f>
        <v/>
      </c>
      <c r="J13" s="19" t="str">
        <f aca="false">IF(OR($B13="",J$9=""),"",IFERROR(AVERAGEIFS(Grades!$I$5:$I$304,Grades!$A$5:$A$304,$B13,Grades!$E$5:$E$304,J$9,Grades!$F$5:$F$304,$C$6),""))</f>
        <v/>
      </c>
      <c r="K13" s="19" t="str">
        <f aca="false">IF(OR($B13="",K$9=""),"",IFERROR(AVERAGEIFS(Grades!$I$5:$I$304,Grades!$A$5:$A$304,$B13,Grades!$E$5:$E$304,K$9,Grades!$F$5:$F$304,$C$6),""))</f>
        <v/>
      </c>
      <c r="L13" s="19" t="str">
        <f aca="false">IF(OR($B13="",L$9=""),"",IFERROR(AVERAGEIFS(Grades!$I$5:$I$304,Grades!$A$5:$A$304,$B13,Grades!$E$5:$E$304,L$9,Grades!$F$5:$F$304,$C$6),""))</f>
        <v/>
      </c>
      <c r="M13" s="19" t="str">
        <f aca="false">IF(OR($B13="",M$9=""),"",IFERROR(AVERAGEIFS(Grades!$I$5:$I$304,Grades!$A$5:$A$304,$B13,Grades!$E$5:$E$304,M$9,Grades!$F$5:$F$304,$C$6),""))</f>
        <v/>
      </c>
      <c r="N13" s="19" t="str">
        <f aca="false">IF(OR($B13="",N$9=""),"",IFERROR(AVERAGEIFS(Grades!$I$5:$I$304,Grades!$A$5:$A$304,$B13,Grades!$E$5:$E$304,N$9,Grades!$F$5:$F$304,$C$6),""))</f>
        <v/>
      </c>
      <c r="O13" s="19" t="str">
        <f aca="false">IF(OR($B13="",O$9=""),"",IFERROR(AVERAGEIFS(Grades!$I$5:$I$304,Grades!$A$5:$A$304,$B13,Grades!$E$5:$E$304,O$9,Grades!$F$5:$F$304,$C$6),""))</f>
        <v/>
      </c>
      <c r="P13" s="19" t="str">
        <f aca="false">IF(COUNT(D13:O13)=0,"",SUM(D13:O13))</f>
        <v/>
      </c>
      <c r="Q13" s="19" t="str">
        <f aca="false">IF(COUNT(D13:O13)=0,"",AVERAGE(D13:O13))</f>
        <v/>
      </c>
      <c r="R13" s="50" t="str">
        <f aca="false">IF(Q13="","",IF(Q13&gt;=Settings!$E$11,Settings!$F$11,IF(Q13&gt;=Settings!$E$12,Settings!$F$12,IF(Q13&gt;=Settings!$E$13,Settings!$F$13,IF(Q13&gt;=Settings!$E$14,Settings!$F$14,Settings!$F$15)))))</f>
        <v/>
      </c>
      <c r="S13" s="17" t="str">
        <f aca="false">IF(Q13="","",RANK(Q13,$Q$10:$Q$49))</f>
        <v/>
      </c>
    </row>
    <row r="14" customFormat="false" ht="19.5" hidden="false" customHeight="true" outlineLevel="0" collapsed="false">
      <c r="A14" s="17" t="str">
        <f aca="false">IF($B14="","",5)</f>
        <v/>
      </c>
      <c r="B14" s="17" t="str">
        <f aca="false">IFERROR(INDEX(Students!$A$5:$A$304,MATCH($C$4&amp;"|"&amp;$C$5&amp;"|"&amp;5,Students!$O$5:$O$304,0)),"")</f>
        <v/>
      </c>
      <c r="C14" s="16" t="str">
        <f aca="false">IF($B14="","",INDEX(Students!$B$5:$B$304,MATCH($B14,Students!$A$5:$A$304,0)))</f>
        <v/>
      </c>
      <c r="D14" s="19" t="str">
        <f aca="false">IF(OR($B14="",D$9=""),"",IFERROR(AVERAGEIFS(Grades!$I$5:$I$304,Grades!$A$5:$A$304,$B14,Grades!$E$5:$E$304,D$9,Grades!$F$5:$F$304,$C$6),""))</f>
        <v/>
      </c>
      <c r="E14" s="19" t="str">
        <f aca="false">IF(OR($B14="",E$9=""),"",IFERROR(AVERAGEIFS(Grades!$I$5:$I$304,Grades!$A$5:$A$304,$B14,Grades!$E$5:$E$304,E$9,Grades!$F$5:$F$304,$C$6),""))</f>
        <v/>
      </c>
      <c r="F14" s="19" t="str">
        <f aca="false">IF(OR($B14="",F$9=""),"",IFERROR(AVERAGEIFS(Grades!$I$5:$I$304,Grades!$A$5:$A$304,$B14,Grades!$E$5:$E$304,F$9,Grades!$F$5:$F$304,$C$6),""))</f>
        <v/>
      </c>
      <c r="G14" s="19" t="str">
        <f aca="false">IF(OR($B14="",G$9=""),"",IFERROR(AVERAGEIFS(Grades!$I$5:$I$304,Grades!$A$5:$A$304,$B14,Grades!$E$5:$E$304,G$9,Grades!$F$5:$F$304,$C$6),""))</f>
        <v/>
      </c>
      <c r="H14" s="19" t="str">
        <f aca="false">IF(OR($B14="",H$9=""),"",IFERROR(AVERAGEIFS(Grades!$I$5:$I$304,Grades!$A$5:$A$304,$B14,Grades!$E$5:$E$304,H$9,Grades!$F$5:$F$304,$C$6),""))</f>
        <v/>
      </c>
      <c r="I14" s="19" t="str">
        <f aca="false">IF(OR($B14="",I$9=""),"",IFERROR(AVERAGEIFS(Grades!$I$5:$I$304,Grades!$A$5:$A$304,$B14,Grades!$E$5:$E$304,I$9,Grades!$F$5:$F$304,$C$6),""))</f>
        <v/>
      </c>
      <c r="J14" s="19" t="str">
        <f aca="false">IF(OR($B14="",J$9=""),"",IFERROR(AVERAGEIFS(Grades!$I$5:$I$304,Grades!$A$5:$A$304,$B14,Grades!$E$5:$E$304,J$9,Grades!$F$5:$F$304,$C$6),""))</f>
        <v/>
      </c>
      <c r="K14" s="19" t="str">
        <f aca="false">IF(OR($B14="",K$9=""),"",IFERROR(AVERAGEIFS(Grades!$I$5:$I$304,Grades!$A$5:$A$304,$B14,Grades!$E$5:$E$304,K$9,Grades!$F$5:$F$304,$C$6),""))</f>
        <v/>
      </c>
      <c r="L14" s="19" t="str">
        <f aca="false">IF(OR($B14="",L$9=""),"",IFERROR(AVERAGEIFS(Grades!$I$5:$I$304,Grades!$A$5:$A$304,$B14,Grades!$E$5:$E$304,L$9,Grades!$F$5:$F$304,$C$6),""))</f>
        <v/>
      </c>
      <c r="M14" s="19" t="str">
        <f aca="false">IF(OR($B14="",M$9=""),"",IFERROR(AVERAGEIFS(Grades!$I$5:$I$304,Grades!$A$5:$A$304,$B14,Grades!$E$5:$E$304,M$9,Grades!$F$5:$F$304,$C$6),""))</f>
        <v/>
      </c>
      <c r="N14" s="19" t="str">
        <f aca="false">IF(OR($B14="",N$9=""),"",IFERROR(AVERAGEIFS(Grades!$I$5:$I$304,Grades!$A$5:$A$304,$B14,Grades!$E$5:$E$304,N$9,Grades!$F$5:$F$304,$C$6),""))</f>
        <v/>
      </c>
      <c r="O14" s="19" t="str">
        <f aca="false">IF(OR($B14="",O$9=""),"",IFERROR(AVERAGEIFS(Grades!$I$5:$I$304,Grades!$A$5:$A$304,$B14,Grades!$E$5:$E$304,O$9,Grades!$F$5:$F$304,$C$6),""))</f>
        <v/>
      </c>
      <c r="P14" s="19" t="str">
        <f aca="false">IF(COUNT(D14:O14)=0,"",SUM(D14:O14))</f>
        <v/>
      </c>
      <c r="Q14" s="19" t="str">
        <f aca="false">IF(COUNT(D14:O14)=0,"",AVERAGE(D14:O14))</f>
        <v/>
      </c>
      <c r="R14" s="50" t="str">
        <f aca="false">IF(Q14="","",IF(Q14&gt;=Settings!$E$11,Settings!$F$11,IF(Q14&gt;=Settings!$E$12,Settings!$F$12,IF(Q14&gt;=Settings!$E$13,Settings!$F$13,IF(Q14&gt;=Settings!$E$14,Settings!$F$14,Settings!$F$15)))))</f>
        <v/>
      </c>
      <c r="S14" s="17" t="str">
        <f aca="false">IF(Q14="","",RANK(Q14,$Q$10:$Q$49))</f>
        <v/>
      </c>
    </row>
    <row r="15" customFormat="false" ht="19.5" hidden="false" customHeight="true" outlineLevel="0" collapsed="false">
      <c r="A15" s="17" t="str">
        <f aca="false">IF($B15="","",6)</f>
        <v/>
      </c>
      <c r="B15" s="17" t="str">
        <f aca="false">IFERROR(INDEX(Students!$A$5:$A$304,MATCH($C$4&amp;"|"&amp;$C$5&amp;"|"&amp;6,Students!$O$5:$O$304,0)),"")</f>
        <v/>
      </c>
      <c r="C15" s="16" t="str">
        <f aca="false">IF($B15="","",INDEX(Students!$B$5:$B$304,MATCH($B15,Students!$A$5:$A$304,0)))</f>
        <v/>
      </c>
      <c r="D15" s="19" t="str">
        <f aca="false">IF(OR($B15="",D$9=""),"",IFERROR(AVERAGEIFS(Grades!$I$5:$I$304,Grades!$A$5:$A$304,$B15,Grades!$E$5:$E$304,D$9,Grades!$F$5:$F$304,$C$6),""))</f>
        <v/>
      </c>
      <c r="E15" s="19" t="str">
        <f aca="false">IF(OR($B15="",E$9=""),"",IFERROR(AVERAGEIFS(Grades!$I$5:$I$304,Grades!$A$5:$A$304,$B15,Grades!$E$5:$E$304,E$9,Grades!$F$5:$F$304,$C$6),""))</f>
        <v/>
      </c>
      <c r="F15" s="19" t="str">
        <f aca="false">IF(OR($B15="",F$9=""),"",IFERROR(AVERAGEIFS(Grades!$I$5:$I$304,Grades!$A$5:$A$304,$B15,Grades!$E$5:$E$304,F$9,Grades!$F$5:$F$304,$C$6),""))</f>
        <v/>
      </c>
      <c r="G15" s="19" t="str">
        <f aca="false">IF(OR($B15="",G$9=""),"",IFERROR(AVERAGEIFS(Grades!$I$5:$I$304,Grades!$A$5:$A$304,$B15,Grades!$E$5:$E$304,G$9,Grades!$F$5:$F$304,$C$6),""))</f>
        <v/>
      </c>
      <c r="H15" s="19" t="str">
        <f aca="false">IF(OR($B15="",H$9=""),"",IFERROR(AVERAGEIFS(Grades!$I$5:$I$304,Grades!$A$5:$A$304,$B15,Grades!$E$5:$E$304,H$9,Grades!$F$5:$F$304,$C$6),""))</f>
        <v/>
      </c>
      <c r="I15" s="19" t="str">
        <f aca="false">IF(OR($B15="",I$9=""),"",IFERROR(AVERAGEIFS(Grades!$I$5:$I$304,Grades!$A$5:$A$304,$B15,Grades!$E$5:$E$304,I$9,Grades!$F$5:$F$304,$C$6),""))</f>
        <v/>
      </c>
      <c r="J15" s="19" t="str">
        <f aca="false">IF(OR($B15="",J$9=""),"",IFERROR(AVERAGEIFS(Grades!$I$5:$I$304,Grades!$A$5:$A$304,$B15,Grades!$E$5:$E$304,J$9,Grades!$F$5:$F$304,$C$6),""))</f>
        <v/>
      </c>
      <c r="K15" s="19" t="str">
        <f aca="false">IF(OR($B15="",K$9=""),"",IFERROR(AVERAGEIFS(Grades!$I$5:$I$304,Grades!$A$5:$A$304,$B15,Grades!$E$5:$E$304,K$9,Grades!$F$5:$F$304,$C$6),""))</f>
        <v/>
      </c>
      <c r="L15" s="19" t="str">
        <f aca="false">IF(OR($B15="",L$9=""),"",IFERROR(AVERAGEIFS(Grades!$I$5:$I$304,Grades!$A$5:$A$304,$B15,Grades!$E$5:$E$304,L$9,Grades!$F$5:$F$304,$C$6),""))</f>
        <v/>
      </c>
      <c r="M15" s="19" t="str">
        <f aca="false">IF(OR($B15="",M$9=""),"",IFERROR(AVERAGEIFS(Grades!$I$5:$I$304,Grades!$A$5:$A$304,$B15,Grades!$E$5:$E$304,M$9,Grades!$F$5:$F$304,$C$6),""))</f>
        <v/>
      </c>
      <c r="N15" s="19" t="str">
        <f aca="false">IF(OR($B15="",N$9=""),"",IFERROR(AVERAGEIFS(Grades!$I$5:$I$304,Grades!$A$5:$A$304,$B15,Grades!$E$5:$E$304,N$9,Grades!$F$5:$F$304,$C$6),""))</f>
        <v/>
      </c>
      <c r="O15" s="19" t="str">
        <f aca="false">IF(OR($B15="",O$9=""),"",IFERROR(AVERAGEIFS(Grades!$I$5:$I$304,Grades!$A$5:$A$304,$B15,Grades!$E$5:$E$304,O$9,Grades!$F$5:$F$304,$C$6),""))</f>
        <v/>
      </c>
      <c r="P15" s="19" t="str">
        <f aca="false">IF(COUNT(D15:O15)=0,"",SUM(D15:O15))</f>
        <v/>
      </c>
      <c r="Q15" s="19" t="str">
        <f aca="false">IF(COUNT(D15:O15)=0,"",AVERAGE(D15:O15))</f>
        <v/>
      </c>
      <c r="R15" s="50" t="str">
        <f aca="false">IF(Q15="","",IF(Q15&gt;=Settings!$E$11,Settings!$F$11,IF(Q15&gt;=Settings!$E$12,Settings!$F$12,IF(Q15&gt;=Settings!$E$13,Settings!$F$13,IF(Q15&gt;=Settings!$E$14,Settings!$F$14,Settings!$F$15)))))</f>
        <v/>
      </c>
      <c r="S15" s="17" t="str">
        <f aca="false">IF(Q15="","",RANK(Q15,$Q$10:$Q$49))</f>
        <v/>
      </c>
    </row>
    <row r="16" customFormat="false" ht="19.5" hidden="false" customHeight="true" outlineLevel="0" collapsed="false">
      <c r="A16" s="17" t="str">
        <f aca="false">IF($B16="","",7)</f>
        <v/>
      </c>
      <c r="B16" s="17" t="str">
        <f aca="false">IFERROR(INDEX(Students!$A$5:$A$304,MATCH($C$4&amp;"|"&amp;$C$5&amp;"|"&amp;7,Students!$O$5:$O$304,0)),"")</f>
        <v/>
      </c>
      <c r="C16" s="16" t="str">
        <f aca="false">IF($B16="","",INDEX(Students!$B$5:$B$304,MATCH($B16,Students!$A$5:$A$304,0)))</f>
        <v/>
      </c>
      <c r="D16" s="19" t="str">
        <f aca="false">IF(OR($B16="",D$9=""),"",IFERROR(AVERAGEIFS(Grades!$I$5:$I$304,Grades!$A$5:$A$304,$B16,Grades!$E$5:$E$304,D$9,Grades!$F$5:$F$304,$C$6),""))</f>
        <v/>
      </c>
      <c r="E16" s="19" t="str">
        <f aca="false">IF(OR($B16="",E$9=""),"",IFERROR(AVERAGEIFS(Grades!$I$5:$I$304,Grades!$A$5:$A$304,$B16,Grades!$E$5:$E$304,E$9,Grades!$F$5:$F$304,$C$6),""))</f>
        <v/>
      </c>
      <c r="F16" s="19" t="str">
        <f aca="false">IF(OR($B16="",F$9=""),"",IFERROR(AVERAGEIFS(Grades!$I$5:$I$304,Grades!$A$5:$A$304,$B16,Grades!$E$5:$E$304,F$9,Grades!$F$5:$F$304,$C$6),""))</f>
        <v/>
      </c>
      <c r="G16" s="19" t="str">
        <f aca="false">IF(OR($B16="",G$9=""),"",IFERROR(AVERAGEIFS(Grades!$I$5:$I$304,Grades!$A$5:$A$304,$B16,Grades!$E$5:$E$304,G$9,Grades!$F$5:$F$304,$C$6),""))</f>
        <v/>
      </c>
      <c r="H16" s="19" t="str">
        <f aca="false">IF(OR($B16="",H$9=""),"",IFERROR(AVERAGEIFS(Grades!$I$5:$I$304,Grades!$A$5:$A$304,$B16,Grades!$E$5:$E$304,H$9,Grades!$F$5:$F$304,$C$6),""))</f>
        <v/>
      </c>
      <c r="I16" s="19" t="str">
        <f aca="false">IF(OR($B16="",I$9=""),"",IFERROR(AVERAGEIFS(Grades!$I$5:$I$304,Grades!$A$5:$A$304,$B16,Grades!$E$5:$E$304,I$9,Grades!$F$5:$F$304,$C$6),""))</f>
        <v/>
      </c>
      <c r="J16" s="19" t="str">
        <f aca="false">IF(OR($B16="",J$9=""),"",IFERROR(AVERAGEIFS(Grades!$I$5:$I$304,Grades!$A$5:$A$304,$B16,Grades!$E$5:$E$304,J$9,Grades!$F$5:$F$304,$C$6),""))</f>
        <v/>
      </c>
      <c r="K16" s="19" t="str">
        <f aca="false">IF(OR($B16="",K$9=""),"",IFERROR(AVERAGEIFS(Grades!$I$5:$I$304,Grades!$A$5:$A$304,$B16,Grades!$E$5:$E$304,K$9,Grades!$F$5:$F$304,$C$6),""))</f>
        <v/>
      </c>
      <c r="L16" s="19" t="str">
        <f aca="false">IF(OR($B16="",L$9=""),"",IFERROR(AVERAGEIFS(Grades!$I$5:$I$304,Grades!$A$5:$A$304,$B16,Grades!$E$5:$E$304,L$9,Grades!$F$5:$F$304,$C$6),""))</f>
        <v/>
      </c>
      <c r="M16" s="19" t="str">
        <f aca="false">IF(OR($B16="",M$9=""),"",IFERROR(AVERAGEIFS(Grades!$I$5:$I$304,Grades!$A$5:$A$304,$B16,Grades!$E$5:$E$304,M$9,Grades!$F$5:$F$304,$C$6),""))</f>
        <v/>
      </c>
      <c r="N16" s="19" t="str">
        <f aca="false">IF(OR($B16="",N$9=""),"",IFERROR(AVERAGEIFS(Grades!$I$5:$I$304,Grades!$A$5:$A$304,$B16,Grades!$E$5:$E$304,N$9,Grades!$F$5:$F$304,$C$6),""))</f>
        <v/>
      </c>
      <c r="O16" s="19" t="str">
        <f aca="false">IF(OR($B16="",O$9=""),"",IFERROR(AVERAGEIFS(Grades!$I$5:$I$304,Grades!$A$5:$A$304,$B16,Grades!$E$5:$E$304,O$9,Grades!$F$5:$F$304,$C$6),""))</f>
        <v/>
      </c>
      <c r="P16" s="19" t="str">
        <f aca="false">IF(COUNT(D16:O16)=0,"",SUM(D16:O16))</f>
        <v/>
      </c>
      <c r="Q16" s="19" t="str">
        <f aca="false">IF(COUNT(D16:O16)=0,"",AVERAGE(D16:O16))</f>
        <v/>
      </c>
      <c r="R16" s="50" t="str">
        <f aca="false">IF(Q16="","",IF(Q16&gt;=Settings!$E$11,Settings!$F$11,IF(Q16&gt;=Settings!$E$12,Settings!$F$12,IF(Q16&gt;=Settings!$E$13,Settings!$F$13,IF(Q16&gt;=Settings!$E$14,Settings!$F$14,Settings!$F$15)))))</f>
        <v/>
      </c>
      <c r="S16" s="17" t="str">
        <f aca="false">IF(Q16="","",RANK(Q16,$Q$10:$Q$49))</f>
        <v/>
      </c>
    </row>
    <row r="17" customFormat="false" ht="19.5" hidden="false" customHeight="true" outlineLevel="0" collapsed="false">
      <c r="A17" s="17" t="str">
        <f aca="false">IF($B17="","",8)</f>
        <v/>
      </c>
      <c r="B17" s="17" t="str">
        <f aca="false">IFERROR(INDEX(Students!$A$5:$A$304,MATCH($C$4&amp;"|"&amp;$C$5&amp;"|"&amp;8,Students!$O$5:$O$304,0)),"")</f>
        <v/>
      </c>
      <c r="C17" s="16" t="str">
        <f aca="false">IF($B17="","",INDEX(Students!$B$5:$B$304,MATCH($B17,Students!$A$5:$A$304,0)))</f>
        <v/>
      </c>
      <c r="D17" s="19" t="str">
        <f aca="false">IF(OR($B17="",D$9=""),"",IFERROR(AVERAGEIFS(Grades!$I$5:$I$304,Grades!$A$5:$A$304,$B17,Grades!$E$5:$E$304,D$9,Grades!$F$5:$F$304,$C$6),""))</f>
        <v/>
      </c>
      <c r="E17" s="19" t="str">
        <f aca="false">IF(OR($B17="",E$9=""),"",IFERROR(AVERAGEIFS(Grades!$I$5:$I$304,Grades!$A$5:$A$304,$B17,Grades!$E$5:$E$304,E$9,Grades!$F$5:$F$304,$C$6),""))</f>
        <v/>
      </c>
      <c r="F17" s="19" t="str">
        <f aca="false">IF(OR($B17="",F$9=""),"",IFERROR(AVERAGEIFS(Grades!$I$5:$I$304,Grades!$A$5:$A$304,$B17,Grades!$E$5:$E$304,F$9,Grades!$F$5:$F$304,$C$6),""))</f>
        <v/>
      </c>
      <c r="G17" s="19" t="str">
        <f aca="false">IF(OR($B17="",G$9=""),"",IFERROR(AVERAGEIFS(Grades!$I$5:$I$304,Grades!$A$5:$A$304,$B17,Grades!$E$5:$E$304,G$9,Grades!$F$5:$F$304,$C$6),""))</f>
        <v/>
      </c>
      <c r="H17" s="19" t="str">
        <f aca="false">IF(OR($B17="",H$9=""),"",IFERROR(AVERAGEIFS(Grades!$I$5:$I$304,Grades!$A$5:$A$304,$B17,Grades!$E$5:$E$304,H$9,Grades!$F$5:$F$304,$C$6),""))</f>
        <v/>
      </c>
      <c r="I17" s="19" t="str">
        <f aca="false">IF(OR($B17="",I$9=""),"",IFERROR(AVERAGEIFS(Grades!$I$5:$I$304,Grades!$A$5:$A$304,$B17,Grades!$E$5:$E$304,I$9,Grades!$F$5:$F$304,$C$6),""))</f>
        <v/>
      </c>
      <c r="J17" s="19" t="str">
        <f aca="false">IF(OR($B17="",J$9=""),"",IFERROR(AVERAGEIFS(Grades!$I$5:$I$304,Grades!$A$5:$A$304,$B17,Grades!$E$5:$E$304,J$9,Grades!$F$5:$F$304,$C$6),""))</f>
        <v/>
      </c>
      <c r="K17" s="19" t="str">
        <f aca="false">IF(OR($B17="",K$9=""),"",IFERROR(AVERAGEIFS(Grades!$I$5:$I$304,Grades!$A$5:$A$304,$B17,Grades!$E$5:$E$304,K$9,Grades!$F$5:$F$304,$C$6),""))</f>
        <v/>
      </c>
      <c r="L17" s="19" t="str">
        <f aca="false">IF(OR($B17="",L$9=""),"",IFERROR(AVERAGEIFS(Grades!$I$5:$I$304,Grades!$A$5:$A$304,$B17,Grades!$E$5:$E$304,L$9,Grades!$F$5:$F$304,$C$6),""))</f>
        <v/>
      </c>
      <c r="M17" s="19" t="str">
        <f aca="false">IF(OR($B17="",M$9=""),"",IFERROR(AVERAGEIFS(Grades!$I$5:$I$304,Grades!$A$5:$A$304,$B17,Grades!$E$5:$E$304,M$9,Grades!$F$5:$F$304,$C$6),""))</f>
        <v/>
      </c>
      <c r="N17" s="19" t="str">
        <f aca="false">IF(OR($B17="",N$9=""),"",IFERROR(AVERAGEIFS(Grades!$I$5:$I$304,Grades!$A$5:$A$304,$B17,Grades!$E$5:$E$304,N$9,Grades!$F$5:$F$304,$C$6),""))</f>
        <v/>
      </c>
      <c r="O17" s="19" t="str">
        <f aca="false">IF(OR($B17="",O$9=""),"",IFERROR(AVERAGEIFS(Grades!$I$5:$I$304,Grades!$A$5:$A$304,$B17,Grades!$E$5:$E$304,O$9,Grades!$F$5:$F$304,$C$6),""))</f>
        <v/>
      </c>
      <c r="P17" s="19" t="str">
        <f aca="false">IF(COUNT(D17:O17)=0,"",SUM(D17:O17))</f>
        <v/>
      </c>
      <c r="Q17" s="19" t="str">
        <f aca="false">IF(COUNT(D17:O17)=0,"",AVERAGE(D17:O17))</f>
        <v/>
      </c>
      <c r="R17" s="50" t="str">
        <f aca="false">IF(Q17="","",IF(Q17&gt;=Settings!$E$11,Settings!$F$11,IF(Q17&gt;=Settings!$E$12,Settings!$F$12,IF(Q17&gt;=Settings!$E$13,Settings!$F$13,IF(Q17&gt;=Settings!$E$14,Settings!$F$14,Settings!$F$15)))))</f>
        <v/>
      </c>
      <c r="S17" s="17" t="str">
        <f aca="false">IF(Q17="","",RANK(Q17,$Q$10:$Q$49))</f>
        <v/>
      </c>
    </row>
    <row r="18" customFormat="false" ht="19.5" hidden="false" customHeight="true" outlineLevel="0" collapsed="false">
      <c r="A18" s="17" t="str">
        <f aca="false">IF($B18="","",9)</f>
        <v/>
      </c>
      <c r="B18" s="17" t="str">
        <f aca="false">IFERROR(INDEX(Students!$A$5:$A$304,MATCH($C$4&amp;"|"&amp;$C$5&amp;"|"&amp;9,Students!$O$5:$O$304,0)),"")</f>
        <v/>
      </c>
      <c r="C18" s="16" t="str">
        <f aca="false">IF($B18="","",INDEX(Students!$B$5:$B$304,MATCH($B18,Students!$A$5:$A$304,0)))</f>
        <v/>
      </c>
      <c r="D18" s="19" t="str">
        <f aca="false">IF(OR($B18="",D$9=""),"",IFERROR(AVERAGEIFS(Grades!$I$5:$I$304,Grades!$A$5:$A$304,$B18,Grades!$E$5:$E$304,D$9,Grades!$F$5:$F$304,$C$6),""))</f>
        <v/>
      </c>
      <c r="E18" s="19" t="str">
        <f aca="false">IF(OR($B18="",E$9=""),"",IFERROR(AVERAGEIFS(Grades!$I$5:$I$304,Grades!$A$5:$A$304,$B18,Grades!$E$5:$E$304,E$9,Grades!$F$5:$F$304,$C$6),""))</f>
        <v/>
      </c>
      <c r="F18" s="19" t="str">
        <f aca="false">IF(OR($B18="",F$9=""),"",IFERROR(AVERAGEIFS(Grades!$I$5:$I$304,Grades!$A$5:$A$304,$B18,Grades!$E$5:$E$304,F$9,Grades!$F$5:$F$304,$C$6),""))</f>
        <v/>
      </c>
      <c r="G18" s="19" t="str">
        <f aca="false">IF(OR($B18="",G$9=""),"",IFERROR(AVERAGEIFS(Grades!$I$5:$I$304,Grades!$A$5:$A$304,$B18,Grades!$E$5:$E$304,G$9,Grades!$F$5:$F$304,$C$6),""))</f>
        <v/>
      </c>
      <c r="H18" s="19" t="str">
        <f aca="false">IF(OR($B18="",H$9=""),"",IFERROR(AVERAGEIFS(Grades!$I$5:$I$304,Grades!$A$5:$A$304,$B18,Grades!$E$5:$E$304,H$9,Grades!$F$5:$F$304,$C$6),""))</f>
        <v/>
      </c>
      <c r="I18" s="19" t="str">
        <f aca="false">IF(OR($B18="",I$9=""),"",IFERROR(AVERAGEIFS(Grades!$I$5:$I$304,Grades!$A$5:$A$304,$B18,Grades!$E$5:$E$304,I$9,Grades!$F$5:$F$304,$C$6),""))</f>
        <v/>
      </c>
      <c r="J18" s="19" t="str">
        <f aca="false">IF(OR($B18="",J$9=""),"",IFERROR(AVERAGEIFS(Grades!$I$5:$I$304,Grades!$A$5:$A$304,$B18,Grades!$E$5:$E$304,J$9,Grades!$F$5:$F$304,$C$6),""))</f>
        <v/>
      </c>
      <c r="K18" s="19" t="str">
        <f aca="false">IF(OR($B18="",K$9=""),"",IFERROR(AVERAGEIFS(Grades!$I$5:$I$304,Grades!$A$5:$A$304,$B18,Grades!$E$5:$E$304,K$9,Grades!$F$5:$F$304,$C$6),""))</f>
        <v/>
      </c>
      <c r="L18" s="19" t="str">
        <f aca="false">IF(OR($B18="",L$9=""),"",IFERROR(AVERAGEIFS(Grades!$I$5:$I$304,Grades!$A$5:$A$304,$B18,Grades!$E$5:$E$304,L$9,Grades!$F$5:$F$304,$C$6),""))</f>
        <v/>
      </c>
      <c r="M18" s="19" t="str">
        <f aca="false">IF(OR($B18="",M$9=""),"",IFERROR(AVERAGEIFS(Grades!$I$5:$I$304,Grades!$A$5:$A$304,$B18,Grades!$E$5:$E$304,M$9,Grades!$F$5:$F$304,$C$6),""))</f>
        <v/>
      </c>
      <c r="N18" s="19" t="str">
        <f aca="false">IF(OR($B18="",N$9=""),"",IFERROR(AVERAGEIFS(Grades!$I$5:$I$304,Grades!$A$5:$A$304,$B18,Grades!$E$5:$E$304,N$9,Grades!$F$5:$F$304,$C$6),""))</f>
        <v/>
      </c>
      <c r="O18" s="19" t="str">
        <f aca="false">IF(OR($B18="",O$9=""),"",IFERROR(AVERAGEIFS(Grades!$I$5:$I$304,Grades!$A$5:$A$304,$B18,Grades!$E$5:$E$304,O$9,Grades!$F$5:$F$304,$C$6),""))</f>
        <v/>
      </c>
      <c r="P18" s="19" t="str">
        <f aca="false">IF(COUNT(D18:O18)=0,"",SUM(D18:O18))</f>
        <v/>
      </c>
      <c r="Q18" s="19" t="str">
        <f aca="false">IF(COUNT(D18:O18)=0,"",AVERAGE(D18:O18))</f>
        <v/>
      </c>
      <c r="R18" s="50" t="str">
        <f aca="false">IF(Q18="","",IF(Q18&gt;=Settings!$E$11,Settings!$F$11,IF(Q18&gt;=Settings!$E$12,Settings!$F$12,IF(Q18&gt;=Settings!$E$13,Settings!$F$13,IF(Q18&gt;=Settings!$E$14,Settings!$F$14,Settings!$F$15)))))</f>
        <v/>
      </c>
      <c r="S18" s="17" t="str">
        <f aca="false">IF(Q18="","",RANK(Q18,$Q$10:$Q$49))</f>
        <v/>
      </c>
    </row>
    <row r="19" customFormat="false" ht="19.5" hidden="false" customHeight="true" outlineLevel="0" collapsed="false">
      <c r="A19" s="17" t="str">
        <f aca="false">IF($B19="","",10)</f>
        <v/>
      </c>
      <c r="B19" s="17" t="str">
        <f aca="false">IFERROR(INDEX(Students!$A$5:$A$304,MATCH($C$4&amp;"|"&amp;$C$5&amp;"|"&amp;10,Students!$O$5:$O$304,0)),"")</f>
        <v/>
      </c>
      <c r="C19" s="16" t="str">
        <f aca="false">IF($B19="","",INDEX(Students!$B$5:$B$304,MATCH($B19,Students!$A$5:$A$304,0)))</f>
        <v/>
      </c>
      <c r="D19" s="19" t="str">
        <f aca="false">IF(OR($B19="",D$9=""),"",IFERROR(AVERAGEIFS(Grades!$I$5:$I$304,Grades!$A$5:$A$304,$B19,Grades!$E$5:$E$304,D$9,Grades!$F$5:$F$304,$C$6),""))</f>
        <v/>
      </c>
      <c r="E19" s="19" t="str">
        <f aca="false">IF(OR($B19="",E$9=""),"",IFERROR(AVERAGEIFS(Grades!$I$5:$I$304,Grades!$A$5:$A$304,$B19,Grades!$E$5:$E$304,E$9,Grades!$F$5:$F$304,$C$6),""))</f>
        <v/>
      </c>
      <c r="F19" s="19" t="str">
        <f aca="false">IF(OR($B19="",F$9=""),"",IFERROR(AVERAGEIFS(Grades!$I$5:$I$304,Grades!$A$5:$A$304,$B19,Grades!$E$5:$E$304,F$9,Grades!$F$5:$F$304,$C$6),""))</f>
        <v/>
      </c>
      <c r="G19" s="19" t="str">
        <f aca="false">IF(OR($B19="",G$9=""),"",IFERROR(AVERAGEIFS(Grades!$I$5:$I$304,Grades!$A$5:$A$304,$B19,Grades!$E$5:$E$304,G$9,Grades!$F$5:$F$304,$C$6),""))</f>
        <v/>
      </c>
      <c r="H19" s="19" t="str">
        <f aca="false">IF(OR($B19="",H$9=""),"",IFERROR(AVERAGEIFS(Grades!$I$5:$I$304,Grades!$A$5:$A$304,$B19,Grades!$E$5:$E$304,H$9,Grades!$F$5:$F$304,$C$6),""))</f>
        <v/>
      </c>
      <c r="I19" s="19" t="str">
        <f aca="false">IF(OR($B19="",I$9=""),"",IFERROR(AVERAGEIFS(Grades!$I$5:$I$304,Grades!$A$5:$A$304,$B19,Grades!$E$5:$E$304,I$9,Grades!$F$5:$F$304,$C$6),""))</f>
        <v/>
      </c>
      <c r="J19" s="19" t="str">
        <f aca="false">IF(OR($B19="",J$9=""),"",IFERROR(AVERAGEIFS(Grades!$I$5:$I$304,Grades!$A$5:$A$304,$B19,Grades!$E$5:$E$304,J$9,Grades!$F$5:$F$304,$C$6),""))</f>
        <v/>
      </c>
      <c r="K19" s="19" t="str">
        <f aca="false">IF(OR($B19="",K$9=""),"",IFERROR(AVERAGEIFS(Grades!$I$5:$I$304,Grades!$A$5:$A$304,$B19,Grades!$E$5:$E$304,K$9,Grades!$F$5:$F$304,$C$6),""))</f>
        <v/>
      </c>
      <c r="L19" s="19" t="str">
        <f aca="false">IF(OR($B19="",L$9=""),"",IFERROR(AVERAGEIFS(Grades!$I$5:$I$304,Grades!$A$5:$A$304,$B19,Grades!$E$5:$E$304,L$9,Grades!$F$5:$F$304,$C$6),""))</f>
        <v/>
      </c>
      <c r="M19" s="19" t="str">
        <f aca="false">IF(OR($B19="",M$9=""),"",IFERROR(AVERAGEIFS(Grades!$I$5:$I$304,Grades!$A$5:$A$304,$B19,Grades!$E$5:$E$304,M$9,Grades!$F$5:$F$304,$C$6),""))</f>
        <v/>
      </c>
      <c r="N19" s="19" t="str">
        <f aca="false">IF(OR($B19="",N$9=""),"",IFERROR(AVERAGEIFS(Grades!$I$5:$I$304,Grades!$A$5:$A$304,$B19,Grades!$E$5:$E$304,N$9,Grades!$F$5:$F$304,$C$6),""))</f>
        <v/>
      </c>
      <c r="O19" s="19" t="str">
        <f aca="false">IF(OR($B19="",O$9=""),"",IFERROR(AVERAGEIFS(Grades!$I$5:$I$304,Grades!$A$5:$A$304,$B19,Grades!$E$5:$E$304,O$9,Grades!$F$5:$F$304,$C$6),""))</f>
        <v/>
      </c>
      <c r="P19" s="19" t="str">
        <f aca="false">IF(COUNT(D19:O19)=0,"",SUM(D19:O19))</f>
        <v/>
      </c>
      <c r="Q19" s="19" t="str">
        <f aca="false">IF(COUNT(D19:O19)=0,"",AVERAGE(D19:O19))</f>
        <v/>
      </c>
      <c r="R19" s="50" t="str">
        <f aca="false">IF(Q19="","",IF(Q19&gt;=Settings!$E$11,Settings!$F$11,IF(Q19&gt;=Settings!$E$12,Settings!$F$12,IF(Q19&gt;=Settings!$E$13,Settings!$F$13,IF(Q19&gt;=Settings!$E$14,Settings!$F$14,Settings!$F$15)))))</f>
        <v/>
      </c>
      <c r="S19" s="17" t="str">
        <f aca="false">IF(Q19="","",RANK(Q19,$Q$10:$Q$49))</f>
        <v/>
      </c>
    </row>
    <row r="20" customFormat="false" ht="19.5" hidden="false" customHeight="true" outlineLevel="0" collapsed="false">
      <c r="A20" s="17" t="str">
        <f aca="false">IF($B20="","",11)</f>
        <v/>
      </c>
      <c r="B20" s="17" t="str">
        <f aca="false">IFERROR(INDEX(Students!$A$5:$A$304,MATCH($C$4&amp;"|"&amp;$C$5&amp;"|"&amp;11,Students!$O$5:$O$304,0)),"")</f>
        <v/>
      </c>
      <c r="C20" s="16" t="str">
        <f aca="false">IF($B20="","",INDEX(Students!$B$5:$B$304,MATCH($B20,Students!$A$5:$A$304,0)))</f>
        <v/>
      </c>
      <c r="D20" s="19" t="str">
        <f aca="false">IF(OR($B20="",D$9=""),"",IFERROR(AVERAGEIFS(Grades!$I$5:$I$304,Grades!$A$5:$A$304,$B20,Grades!$E$5:$E$304,D$9,Grades!$F$5:$F$304,$C$6),""))</f>
        <v/>
      </c>
      <c r="E20" s="19" t="str">
        <f aca="false">IF(OR($B20="",E$9=""),"",IFERROR(AVERAGEIFS(Grades!$I$5:$I$304,Grades!$A$5:$A$304,$B20,Grades!$E$5:$E$304,E$9,Grades!$F$5:$F$304,$C$6),""))</f>
        <v/>
      </c>
      <c r="F20" s="19" t="str">
        <f aca="false">IF(OR($B20="",F$9=""),"",IFERROR(AVERAGEIFS(Grades!$I$5:$I$304,Grades!$A$5:$A$304,$B20,Grades!$E$5:$E$304,F$9,Grades!$F$5:$F$304,$C$6),""))</f>
        <v/>
      </c>
      <c r="G20" s="19" t="str">
        <f aca="false">IF(OR($B20="",G$9=""),"",IFERROR(AVERAGEIFS(Grades!$I$5:$I$304,Grades!$A$5:$A$304,$B20,Grades!$E$5:$E$304,G$9,Grades!$F$5:$F$304,$C$6),""))</f>
        <v/>
      </c>
      <c r="H20" s="19" t="str">
        <f aca="false">IF(OR($B20="",H$9=""),"",IFERROR(AVERAGEIFS(Grades!$I$5:$I$304,Grades!$A$5:$A$304,$B20,Grades!$E$5:$E$304,H$9,Grades!$F$5:$F$304,$C$6),""))</f>
        <v/>
      </c>
      <c r="I20" s="19" t="str">
        <f aca="false">IF(OR($B20="",I$9=""),"",IFERROR(AVERAGEIFS(Grades!$I$5:$I$304,Grades!$A$5:$A$304,$B20,Grades!$E$5:$E$304,I$9,Grades!$F$5:$F$304,$C$6),""))</f>
        <v/>
      </c>
      <c r="J20" s="19" t="str">
        <f aca="false">IF(OR($B20="",J$9=""),"",IFERROR(AVERAGEIFS(Grades!$I$5:$I$304,Grades!$A$5:$A$304,$B20,Grades!$E$5:$E$304,J$9,Grades!$F$5:$F$304,$C$6),""))</f>
        <v/>
      </c>
      <c r="K20" s="19" t="str">
        <f aca="false">IF(OR($B20="",K$9=""),"",IFERROR(AVERAGEIFS(Grades!$I$5:$I$304,Grades!$A$5:$A$304,$B20,Grades!$E$5:$E$304,K$9,Grades!$F$5:$F$304,$C$6),""))</f>
        <v/>
      </c>
      <c r="L20" s="19" t="str">
        <f aca="false">IF(OR($B20="",L$9=""),"",IFERROR(AVERAGEIFS(Grades!$I$5:$I$304,Grades!$A$5:$A$304,$B20,Grades!$E$5:$E$304,L$9,Grades!$F$5:$F$304,$C$6),""))</f>
        <v/>
      </c>
      <c r="M20" s="19" t="str">
        <f aca="false">IF(OR($B20="",M$9=""),"",IFERROR(AVERAGEIFS(Grades!$I$5:$I$304,Grades!$A$5:$A$304,$B20,Grades!$E$5:$E$304,M$9,Grades!$F$5:$F$304,$C$6),""))</f>
        <v/>
      </c>
      <c r="N20" s="19" t="str">
        <f aca="false">IF(OR($B20="",N$9=""),"",IFERROR(AVERAGEIFS(Grades!$I$5:$I$304,Grades!$A$5:$A$304,$B20,Grades!$E$5:$E$304,N$9,Grades!$F$5:$F$304,$C$6),""))</f>
        <v/>
      </c>
      <c r="O20" s="19" t="str">
        <f aca="false">IF(OR($B20="",O$9=""),"",IFERROR(AVERAGEIFS(Grades!$I$5:$I$304,Grades!$A$5:$A$304,$B20,Grades!$E$5:$E$304,O$9,Grades!$F$5:$F$304,$C$6),""))</f>
        <v/>
      </c>
      <c r="P20" s="19" t="str">
        <f aca="false">IF(COUNT(D20:O20)=0,"",SUM(D20:O20))</f>
        <v/>
      </c>
      <c r="Q20" s="19" t="str">
        <f aca="false">IF(COUNT(D20:O20)=0,"",AVERAGE(D20:O20))</f>
        <v/>
      </c>
      <c r="R20" s="50" t="str">
        <f aca="false">IF(Q20="","",IF(Q20&gt;=Settings!$E$11,Settings!$F$11,IF(Q20&gt;=Settings!$E$12,Settings!$F$12,IF(Q20&gt;=Settings!$E$13,Settings!$F$13,IF(Q20&gt;=Settings!$E$14,Settings!$F$14,Settings!$F$15)))))</f>
        <v/>
      </c>
      <c r="S20" s="17" t="str">
        <f aca="false">IF(Q20="","",RANK(Q20,$Q$10:$Q$49))</f>
        <v/>
      </c>
    </row>
    <row r="21" customFormat="false" ht="19.5" hidden="false" customHeight="true" outlineLevel="0" collapsed="false">
      <c r="A21" s="17" t="str">
        <f aca="false">IF($B21="","",12)</f>
        <v/>
      </c>
      <c r="B21" s="17" t="str">
        <f aca="false">IFERROR(INDEX(Students!$A$5:$A$304,MATCH($C$4&amp;"|"&amp;$C$5&amp;"|"&amp;12,Students!$O$5:$O$304,0)),"")</f>
        <v/>
      </c>
      <c r="C21" s="16" t="str">
        <f aca="false">IF($B21="","",INDEX(Students!$B$5:$B$304,MATCH($B21,Students!$A$5:$A$304,0)))</f>
        <v/>
      </c>
      <c r="D21" s="19" t="str">
        <f aca="false">IF(OR($B21="",D$9=""),"",IFERROR(AVERAGEIFS(Grades!$I$5:$I$304,Grades!$A$5:$A$304,$B21,Grades!$E$5:$E$304,D$9,Grades!$F$5:$F$304,$C$6),""))</f>
        <v/>
      </c>
      <c r="E21" s="19" t="str">
        <f aca="false">IF(OR($B21="",E$9=""),"",IFERROR(AVERAGEIFS(Grades!$I$5:$I$304,Grades!$A$5:$A$304,$B21,Grades!$E$5:$E$304,E$9,Grades!$F$5:$F$304,$C$6),""))</f>
        <v/>
      </c>
      <c r="F21" s="19" t="str">
        <f aca="false">IF(OR($B21="",F$9=""),"",IFERROR(AVERAGEIFS(Grades!$I$5:$I$304,Grades!$A$5:$A$304,$B21,Grades!$E$5:$E$304,F$9,Grades!$F$5:$F$304,$C$6),""))</f>
        <v/>
      </c>
      <c r="G21" s="19" t="str">
        <f aca="false">IF(OR($B21="",G$9=""),"",IFERROR(AVERAGEIFS(Grades!$I$5:$I$304,Grades!$A$5:$A$304,$B21,Grades!$E$5:$E$304,G$9,Grades!$F$5:$F$304,$C$6),""))</f>
        <v/>
      </c>
      <c r="H21" s="19" t="str">
        <f aca="false">IF(OR($B21="",H$9=""),"",IFERROR(AVERAGEIFS(Grades!$I$5:$I$304,Grades!$A$5:$A$304,$B21,Grades!$E$5:$E$304,H$9,Grades!$F$5:$F$304,$C$6),""))</f>
        <v/>
      </c>
      <c r="I21" s="19" t="str">
        <f aca="false">IF(OR($B21="",I$9=""),"",IFERROR(AVERAGEIFS(Grades!$I$5:$I$304,Grades!$A$5:$A$304,$B21,Grades!$E$5:$E$304,I$9,Grades!$F$5:$F$304,$C$6),""))</f>
        <v/>
      </c>
      <c r="J21" s="19" t="str">
        <f aca="false">IF(OR($B21="",J$9=""),"",IFERROR(AVERAGEIFS(Grades!$I$5:$I$304,Grades!$A$5:$A$304,$B21,Grades!$E$5:$E$304,J$9,Grades!$F$5:$F$304,$C$6),""))</f>
        <v/>
      </c>
      <c r="K21" s="19" t="str">
        <f aca="false">IF(OR($B21="",K$9=""),"",IFERROR(AVERAGEIFS(Grades!$I$5:$I$304,Grades!$A$5:$A$304,$B21,Grades!$E$5:$E$304,K$9,Grades!$F$5:$F$304,$C$6),""))</f>
        <v/>
      </c>
      <c r="L21" s="19" t="str">
        <f aca="false">IF(OR($B21="",L$9=""),"",IFERROR(AVERAGEIFS(Grades!$I$5:$I$304,Grades!$A$5:$A$304,$B21,Grades!$E$5:$E$304,L$9,Grades!$F$5:$F$304,$C$6),""))</f>
        <v/>
      </c>
      <c r="M21" s="19" t="str">
        <f aca="false">IF(OR($B21="",M$9=""),"",IFERROR(AVERAGEIFS(Grades!$I$5:$I$304,Grades!$A$5:$A$304,$B21,Grades!$E$5:$E$304,M$9,Grades!$F$5:$F$304,$C$6),""))</f>
        <v/>
      </c>
      <c r="N21" s="19" t="str">
        <f aca="false">IF(OR($B21="",N$9=""),"",IFERROR(AVERAGEIFS(Grades!$I$5:$I$304,Grades!$A$5:$A$304,$B21,Grades!$E$5:$E$304,N$9,Grades!$F$5:$F$304,$C$6),""))</f>
        <v/>
      </c>
      <c r="O21" s="19" t="str">
        <f aca="false">IF(OR($B21="",O$9=""),"",IFERROR(AVERAGEIFS(Grades!$I$5:$I$304,Grades!$A$5:$A$304,$B21,Grades!$E$5:$E$304,O$9,Grades!$F$5:$F$304,$C$6),""))</f>
        <v/>
      </c>
      <c r="P21" s="19" t="str">
        <f aca="false">IF(COUNT(D21:O21)=0,"",SUM(D21:O21))</f>
        <v/>
      </c>
      <c r="Q21" s="19" t="str">
        <f aca="false">IF(COUNT(D21:O21)=0,"",AVERAGE(D21:O21))</f>
        <v/>
      </c>
      <c r="R21" s="50" t="str">
        <f aca="false">IF(Q21="","",IF(Q21&gt;=Settings!$E$11,Settings!$F$11,IF(Q21&gt;=Settings!$E$12,Settings!$F$12,IF(Q21&gt;=Settings!$E$13,Settings!$F$13,IF(Q21&gt;=Settings!$E$14,Settings!$F$14,Settings!$F$15)))))</f>
        <v/>
      </c>
      <c r="S21" s="17" t="str">
        <f aca="false">IF(Q21="","",RANK(Q21,$Q$10:$Q$49))</f>
        <v/>
      </c>
    </row>
    <row r="22" customFormat="false" ht="19.5" hidden="false" customHeight="true" outlineLevel="0" collapsed="false">
      <c r="A22" s="17" t="str">
        <f aca="false">IF($B22="","",13)</f>
        <v/>
      </c>
      <c r="B22" s="17" t="str">
        <f aca="false">IFERROR(INDEX(Students!$A$5:$A$304,MATCH($C$4&amp;"|"&amp;$C$5&amp;"|"&amp;13,Students!$O$5:$O$304,0)),"")</f>
        <v/>
      </c>
      <c r="C22" s="16" t="str">
        <f aca="false">IF($B22="","",INDEX(Students!$B$5:$B$304,MATCH($B22,Students!$A$5:$A$304,0)))</f>
        <v/>
      </c>
      <c r="D22" s="19" t="str">
        <f aca="false">IF(OR($B22="",D$9=""),"",IFERROR(AVERAGEIFS(Grades!$I$5:$I$304,Grades!$A$5:$A$304,$B22,Grades!$E$5:$E$304,D$9,Grades!$F$5:$F$304,$C$6),""))</f>
        <v/>
      </c>
      <c r="E22" s="19" t="str">
        <f aca="false">IF(OR($B22="",E$9=""),"",IFERROR(AVERAGEIFS(Grades!$I$5:$I$304,Grades!$A$5:$A$304,$B22,Grades!$E$5:$E$304,E$9,Grades!$F$5:$F$304,$C$6),""))</f>
        <v/>
      </c>
      <c r="F22" s="19" t="str">
        <f aca="false">IF(OR($B22="",F$9=""),"",IFERROR(AVERAGEIFS(Grades!$I$5:$I$304,Grades!$A$5:$A$304,$B22,Grades!$E$5:$E$304,F$9,Grades!$F$5:$F$304,$C$6),""))</f>
        <v/>
      </c>
      <c r="G22" s="19" t="str">
        <f aca="false">IF(OR($B22="",G$9=""),"",IFERROR(AVERAGEIFS(Grades!$I$5:$I$304,Grades!$A$5:$A$304,$B22,Grades!$E$5:$E$304,G$9,Grades!$F$5:$F$304,$C$6),""))</f>
        <v/>
      </c>
      <c r="H22" s="19" t="str">
        <f aca="false">IF(OR($B22="",H$9=""),"",IFERROR(AVERAGEIFS(Grades!$I$5:$I$304,Grades!$A$5:$A$304,$B22,Grades!$E$5:$E$304,H$9,Grades!$F$5:$F$304,$C$6),""))</f>
        <v/>
      </c>
      <c r="I22" s="19" t="str">
        <f aca="false">IF(OR($B22="",I$9=""),"",IFERROR(AVERAGEIFS(Grades!$I$5:$I$304,Grades!$A$5:$A$304,$B22,Grades!$E$5:$E$304,I$9,Grades!$F$5:$F$304,$C$6),""))</f>
        <v/>
      </c>
      <c r="J22" s="19" t="str">
        <f aca="false">IF(OR($B22="",J$9=""),"",IFERROR(AVERAGEIFS(Grades!$I$5:$I$304,Grades!$A$5:$A$304,$B22,Grades!$E$5:$E$304,J$9,Grades!$F$5:$F$304,$C$6),""))</f>
        <v/>
      </c>
      <c r="K22" s="19" t="str">
        <f aca="false">IF(OR($B22="",K$9=""),"",IFERROR(AVERAGEIFS(Grades!$I$5:$I$304,Grades!$A$5:$A$304,$B22,Grades!$E$5:$E$304,K$9,Grades!$F$5:$F$304,$C$6),""))</f>
        <v/>
      </c>
      <c r="L22" s="19" t="str">
        <f aca="false">IF(OR($B22="",L$9=""),"",IFERROR(AVERAGEIFS(Grades!$I$5:$I$304,Grades!$A$5:$A$304,$B22,Grades!$E$5:$E$304,L$9,Grades!$F$5:$F$304,$C$6),""))</f>
        <v/>
      </c>
      <c r="M22" s="19" t="str">
        <f aca="false">IF(OR($B22="",M$9=""),"",IFERROR(AVERAGEIFS(Grades!$I$5:$I$304,Grades!$A$5:$A$304,$B22,Grades!$E$5:$E$304,M$9,Grades!$F$5:$F$304,$C$6),""))</f>
        <v/>
      </c>
      <c r="N22" s="19" t="str">
        <f aca="false">IF(OR($B22="",N$9=""),"",IFERROR(AVERAGEIFS(Grades!$I$5:$I$304,Grades!$A$5:$A$304,$B22,Grades!$E$5:$E$304,N$9,Grades!$F$5:$F$304,$C$6),""))</f>
        <v/>
      </c>
      <c r="O22" s="19" t="str">
        <f aca="false">IF(OR($B22="",O$9=""),"",IFERROR(AVERAGEIFS(Grades!$I$5:$I$304,Grades!$A$5:$A$304,$B22,Grades!$E$5:$E$304,O$9,Grades!$F$5:$F$304,$C$6),""))</f>
        <v/>
      </c>
      <c r="P22" s="19" t="str">
        <f aca="false">IF(COUNT(D22:O22)=0,"",SUM(D22:O22))</f>
        <v/>
      </c>
      <c r="Q22" s="19" t="str">
        <f aca="false">IF(COUNT(D22:O22)=0,"",AVERAGE(D22:O22))</f>
        <v/>
      </c>
      <c r="R22" s="50" t="str">
        <f aca="false">IF(Q22="","",IF(Q22&gt;=Settings!$E$11,Settings!$F$11,IF(Q22&gt;=Settings!$E$12,Settings!$F$12,IF(Q22&gt;=Settings!$E$13,Settings!$F$13,IF(Q22&gt;=Settings!$E$14,Settings!$F$14,Settings!$F$15)))))</f>
        <v/>
      </c>
      <c r="S22" s="17" t="str">
        <f aca="false">IF(Q22="","",RANK(Q22,$Q$10:$Q$49))</f>
        <v/>
      </c>
    </row>
    <row r="23" customFormat="false" ht="19.5" hidden="false" customHeight="true" outlineLevel="0" collapsed="false">
      <c r="A23" s="17" t="str">
        <f aca="false">IF($B23="","",14)</f>
        <v/>
      </c>
      <c r="B23" s="17" t="str">
        <f aca="false">IFERROR(INDEX(Students!$A$5:$A$304,MATCH($C$4&amp;"|"&amp;$C$5&amp;"|"&amp;14,Students!$O$5:$O$304,0)),"")</f>
        <v/>
      </c>
      <c r="C23" s="16" t="str">
        <f aca="false">IF($B23="","",INDEX(Students!$B$5:$B$304,MATCH($B23,Students!$A$5:$A$304,0)))</f>
        <v/>
      </c>
      <c r="D23" s="19" t="str">
        <f aca="false">IF(OR($B23="",D$9=""),"",IFERROR(AVERAGEIFS(Grades!$I$5:$I$304,Grades!$A$5:$A$304,$B23,Grades!$E$5:$E$304,D$9,Grades!$F$5:$F$304,$C$6),""))</f>
        <v/>
      </c>
      <c r="E23" s="19" t="str">
        <f aca="false">IF(OR($B23="",E$9=""),"",IFERROR(AVERAGEIFS(Grades!$I$5:$I$304,Grades!$A$5:$A$304,$B23,Grades!$E$5:$E$304,E$9,Grades!$F$5:$F$304,$C$6),""))</f>
        <v/>
      </c>
      <c r="F23" s="19" t="str">
        <f aca="false">IF(OR($B23="",F$9=""),"",IFERROR(AVERAGEIFS(Grades!$I$5:$I$304,Grades!$A$5:$A$304,$B23,Grades!$E$5:$E$304,F$9,Grades!$F$5:$F$304,$C$6),""))</f>
        <v/>
      </c>
      <c r="G23" s="19" t="str">
        <f aca="false">IF(OR($B23="",G$9=""),"",IFERROR(AVERAGEIFS(Grades!$I$5:$I$304,Grades!$A$5:$A$304,$B23,Grades!$E$5:$E$304,G$9,Grades!$F$5:$F$304,$C$6),""))</f>
        <v/>
      </c>
      <c r="H23" s="19" t="str">
        <f aca="false">IF(OR($B23="",H$9=""),"",IFERROR(AVERAGEIFS(Grades!$I$5:$I$304,Grades!$A$5:$A$304,$B23,Grades!$E$5:$E$304,H$9,Grades!$F$5:$F$304,$C$6),""))</f>
        <v/>
      </c>
      <c r="I23" s="19" t="str">
        <f aca="false">IF(OR($B23="",I$9=""),"",IFERROR(AVERAGEIFS(Grades!$I$5:$I$304,Grades!$A$5:$A$304,$B23,Grades!$E$5:$E$304,I$9,Grades!$F$5:$F$304,$C$6),""))</f>
        <v/>
      </c>
      <c r="J23" s="19" t="str">
        <f aca="false">IF(OR($B23="",J$9=""),"",IFERROR(AVERAGEIFS(Grades!$I$5:$I$304,Grades!$A$5:$A$304,$B23,Grades!$E$5:$E$304,J$9,Grades!$F$5:$F$304,$C$6),""))</f>
        <v/>
      </c>
      <c r="K23" s="19" t="str">
        <f aca="false">IF(OR($B23="",K$9=""),"",IFERROR(AVERAGEIFS(Grades!$I$5:$I$304,Grades!$A$5:$A$304,$B23,Grades!$E$5:$E$304,K$9,Grades!$F$5:$F$304,$C$6),""))</f>
        <v/>
      </c>
      <c r="L23" s="19" t="str">
        <f aca="false">IF(OR($B23="",L$9=""),"",IFERROR(AVERAGEIFS(Grades!$I$5:$I$304,Grades!$A$5:$A$304,$B23,Grades!$E$5:$E$304,L$9,Grades!$F$5:$F$304,$C$6),""))</f>
        <v/>
      </c>
      <c r="M23" s="19" t="str">
        <f aca="false">IF(OR($B23="",M$9=""),"",IFERROR(AVERAGEIFS(Grades!$I$5:$I$304,Grades!$A$5:$A$304,$B23,Grades!$E$5:$E$304,M$9,Grades!$F$5:$F$304,$C$6),""))</f>
        <v/>
      </c>
      <c r="N23" s="19" t="str">
        <f aca="false">IF(OR($B23="",N$9=""),"",IFERROR(AVERAGEIFS(Grades!$I$5:$I$304,Grades!$A$5:$A$304,$B23,Grades!$E$5:$E$304,N$9,Grades!$F$5:$F$304,$C$6),""))</f>
        <v/>
      </c>
      <c r="O23" s="19" t="str">
        <f aca="false">IF(OR($B23="",O$9=""),"",IFERROR(AVERAGEIFS(Grades!$I$5:$I$304,Grades!$A$5:$A$304,$B23,Grades!$E$5:$E$304,O$9,Grades!$F$5:$F$304,$C$6),""))</f>
        <v/>
      </c>
      <c r="P23" s="19" t="str">
        <f aca="false">IF(COUNT(D23:O23)=0,"",SUM(D23:O23))</f>
        <v/>
      </c>
      <c r="Q23" s="19" t="str">
        <f aca="false">IF(COUNT(D23:O23)=0,"",AVERAGE(D23:O23))</f>
        <v/>
      </c>
      <c r="R23" s="50" t="str">
        <f aca="false">IF(Q23="","",IF(Q23&gt;=Settings!$E$11,Settings!$F$11,IF(Q23&gt;=Settings!$E$12,Settings!$F$12,IF(Q23&gt;=Settings!$E$13,Settings!$F$13,IF(Q23&gt;=Settings!$E$14,Settings!$F$14,Settings!$F$15)))))</f>
        <v/>
      </c>
      <c r="S23" s="17" t="str">
        <f aca="false">IF(Q23="","",RANK(Q23,$Q$10:$Q$49))</f>
        <v/>
      </c>
    </row>
    <row r="24" customFormat="false" ht="19.5" hidden="false" customHeight="true" outlineLevel="0" collapsed="false">
      <c r="A24" s="17" t="str">
        <f aca="false">IF($B24="","",15)</f>
        <v/>
      </c>
      <c r="B24" s="17" t="str">
        <f aca="false">IFERROR(INDEX(Students!$A$5:$A$304,MATCH($C$4&amp;"|"&amp;$C$5&amp;"|"&amp;15,Students!$O$5:$O$304,0)),"")</f>
        <v/>
      </c>
      <c r="C24" s="16" t="str">
        <f aca="false">IF($B24="","",INDEX(Students!$B$5:$B$304,MATCH($B24,Students!$A$5:$A$304,0)))</f>
        <v/>
      </c>
      <c r="D24" s="19" t="str">
        <f aca="false">IF(OR($B24="",D$9=""),"",IFERROR(AVERAGEIFS(Grades!$I$5:$I$304,Grades!$A$5:$A$304,$B24,Grades!$E$5:$E$304,D$9,Grades!$F$5:$F$304,$C$6),""))</f>
        <v/>
      </c>
      <c r="E24" s="19" t="str">
        <f aca="false">IF(OR($B24="",E$9=""),"",IFERROR(AVERAGEIFS(Grades!$I$5:$I$304,Grades!$A$5:$A$304,$B24,Grades!$E$5:$E$304,E$9,Grades!$F$5:$F$304,$C$6),""))</f>
        <v/>
      </c>
      <c r="F24" s="19" t="str">
        <f aca="false">IF(OR($B24="",F$9=""),"",IFERROR(AVERAGEIFS(Grades!$I$5:$I$304,Grades!$A$5:$A$304,$B24,Grades!$E$5:$E$304,F$9,Grades!$F$5:$F$304,$C$6),""))</f>
        <v/>
      </c>
      <c r="G24" s="19" t="str">
        <f aca="false">IF(OR($B24="",G$9=""),"",IFERROR(AVERAGEIFS(Grades!$I$5:$I$304,Grades!$A$5:$A$304,$B24,Grades!$E$5:$E$304,G$9,Grades!$F$5:$F$304,$C$6),""))</f>
        <v/>
      </c>
      <c r="H24" s="19" t="str">
        <f aca="false">IF(OR($B24="",H$9=""),"",IFERROR(AVERAGEIFS(Grades!$I$5:$I$304,Grades!$A$5:$A$304,$B24,Grades!$E$5:$E$304,H$9,Grades!$F$5:$F$304,$C$6),""))</f>
        <v/>
      </c>
      <c r="I24" s="19" t="str">
        <f aca="false">IF(OR($B24="",I$9=""),"",IFERROR(AVERAGEIFS(Grades!$I$5:$I$304,Grades!$A$5:$A$304,$B24,Grades!$E$5:$E$304,I$9,Grades!$F$5:$F$304,$C$6),""))</f>
        <v/>
      </c>
      <c r="J24" s="19" t="str">
        <f aca="false">IF(OR($B24="",J$9=""),"",IFERROR(AVERAGEIFS(Grades!$I$5:$I$304,Grades!$A$5:$A$304,$B24,Grades!$E$5:$E$304,J$9,Grades!$F$5:$F$304,$C$6),""))</f>
        <v/>
      </c>
      <c r="K24" s="19" t="str">
        <f aca="false">IF(OR($B24="",K$9=""),"",IFERROR(AVERAGEIFS(Grades!$I$5:$I$304,Grades!$A$5:$A$304,$B24,Grades!$E$5:$E$304,K$9,Grades!$F$5:$F$304,$C$6),""))</f>
        <v/>
      </c>
      <c r="L24" s="19" t="str">
        <f aca="false">IF(OR($B24="",L$9=""),"",IFERROR(AVERAGEIFS(Grades!$I$5:$I$304,Grades!$A$5:$A$304,$B24,Grades!$E$5:$E$304,L$9,Grades!$F$5:$F$304,$C$6),""))</f>
        <v/>
      </c>
      <c r="M24" s="19" t="str">
        <f aca="false">IF(OR($B24="",M$9=""),"",IFERROR(AVERAGEIFS(Grades!$I$5:$I$304,Grades!$A$5:$A$304,$B24,Grades!$E$5:$E$304,M$9,Grades!$F$5:$F$304,$C$6),""))</f>
        <v/>
      </c>
      <c r="N24" s="19" t="str">
        <f aca="false">IF(OR($B24="",N$9=""),"",IFERROR(AVERAGEIFS(Grades!$I$5:$I$304,Grades!$A$5:$A$304,$B24,Grades!$E$5:$E$304,N$9,Grades!$F$5:$F$304,$C$6),""))</f>
        <v/>
      </c>
      <c r="O24" s="19" t="str">
        <f aca="false">IF(OR($B24="",O$9=""),"",IFERROR(AVERAGEIFS(Grades!$I$5:$I$304,Grades!$A$5:$A$304,$B24,Grades!$E$5:$E$304,O$9,Grades!$F$5:$F$304,$C$6),""))</f>
        <v/>
      </c>
      <c r="P24" s="19" t="str">
        <f aca="false">IF(COUNT(D24:O24)=0,"",SUM(D24:O24))</f>
        <v/>
      </c>
      <c r="Q24" s="19" t="str">
        <f aca="false">IF(COUNT(D24:O24)=0,"",AVERAGE(D24:O24))</f>
        <v/>
      </c>
      <c r="R24" s="50" t="str">
        <f aca="false">IF(Q24="","",IF(Q24&gt;=Settings!$E$11,Settings!$F$11,IF(Q24&gt;=Settings!$E$12,Settings!$F$12,IF(Q24&gt;=Settings!$E$13,Settings!$F$13,IF(Q24&gt;=Settings!$E$14,Settings!$F$14,Settings!$F$15)))))</f>
        <v/>
      </c>
      <c r="S24" s="17" t="str">
        <f aca="false">IF(Q24="","",RANK(Q24,$Q$10:$Q$49))</f>
        <v/>
      </c>
    </row>
    <row r="25" customFormat="false" ht="19.5" hidden="false" customHeight="true" outlineLevel="0" collapsed="false">
      <c r="A25" s="17" t="str">
        <f aca="false">IF($B25="","",16)</f>
        <v/>
      </c>
      <c r="B25" s="17" t="str">
        <f aca="false">IFERROR(INDEX(Students!$A$5:$A$304,MATCH($C$4&amp;"|"&amp;$C$5&amp;"|"&amp;16,Students!$O$5:$O$304,0)),"")</f>
        <v/>
      </c>
      <c r="C25" s="16" t="str">
        <f aca="false">IF($B25="","",INDEX(Students!$B$5:$B$304,MATCH($B25,Students!$A$5:$A$304,0)))</f>
        <v/>
      </c>
      <c r="D25" s="19" t="str">
        <f aca="false">IF(OR($B25="",D$9=""),"",IFERROR(AVERAGEIFS(Grades!$I$5:$I$304,Grades!$A$5:$A$304,$B25,Grades!$E$5:$E$304,D$9,Grades!$F$5:$F$304,$C$6),""))</f>
        <v/>
      </c>
      <c r="E25" s="19" t="str">
        <f aca="false">IF(OR($B25="",E$9=""),"",IFERROR(AVERAGEIFS(Grades!$I$5:$I$304,Grades!$A$5:$A$304,$B25,Grades!$E$5:$E$304,E$9,Grades!$F$5:$F$304,$C$6),""))</f>
        <v/>
      </c>
      <c r="F25" s="19" t="str">
        <f aca="false">IF(OR($B25="",F$9=""),"",IFERROR(AVERAGEIFS(Grades!$I$5:$I$304,Grades!$A$5:$A$304,$B25,Grades!$E$5:$E$304,F$9,Grades!$F$5:$F$304,$C$6),""))</f>
        <v/>
      </c>
      <c r="G25" s="19" t="str">
        <f aca="false">IF(OR($B25="",G$9=""),"",IFERROR(AVERAGEIFS(Grades!$I$5:$I$304,Grades!$A$5:$A$304,$B25,Grades!$E$5:$E$304,G$9,Grades!$F$5:$F$304,$C$6),""))</f>
        <v/>
      </c>
      <c r="H25" s="19" t="str">
        <f aca="false">IF(OR($B25="",H$9=""),"",IFERROR(AVERAGEIFS(Grades!$I$5:$I$304,Grades!$A$5:$A$304,$B25,Grades!$E$5:$E$304,H$9,Grades!$F$5:$F$304,$C$6),""))</f>
        <v/>
      </c>
      <c r="I25" s="19" t="str">
        <f aca="false">IF(OR($B25="",I$9=""),"",IFERROR(AVERAGEIFS(Grades!$I$5:$I$304,Grades!$A$5:$A$304,$B25,Grades!$E$5:$E$304,I$9,Grades!$F$5:$F$304,$C$6),""))</f>
        <v/>
      </c>
      <c r="J25" s="19" t="str">
        <f aca="false">IF(OR($B25="",J$9=""),"",IFERROR(AVERAGEIFS(Grades!$I$5:$I$304,Grades!$A$5:$A$304,$B25,Grades!$E$5:$E$304,J$9,Grades!$F$5:$F$304,$C$6),""))</f>
        <v/>
      </c>
      <c r="K25" s="19" t="str">
        <f aca="false">IF(OR($B25="",K$9=""),"",IFERROR(AVERAGEIFS(Grades!$I$5:$I$304,Grades!$A$5:$A$304,$B25,Grades!$E$5:$E$304,K$9,Grades!$F$5:$F$304,$C$6),""))</f>
        <v/>
      </c>
      <c r="L25" s="19" t="str">
        <f aca="false">IF(OR($B25="",L$9=""),"",IFERROR(AVERAGEIFS(Grades!$I$5:$I$304,Grades!$A$5:$A$304,$B25,Grades!$E$5:$E$304,L$9,Grades!$F$5:$F$304,$C$6),""))</f>
        <v/>
      </c>
      <c r="M25" s="19" t="str">
        <f aca="false">IF(OR($B25="",M$9=""),"",IFERROR(AVERAGEIFS(Grades!$I$5:$I$304,Grades!$A$5:$A$304,$B25,Grades!$E$5:$E$304,M$9,Grades!$F$5:$F$304,$C$6),""))</f>
        <v/>
      </c>
      <c r="N25" s="19" t="str">
        <f aca="false">IF(OR($B25="",N$9=""),"",IFERROR(AVERAGEIFS(Grades!$I$5:$I$304,Grades!$A$5:$A$304,$B25,Grades!$E$5:$E$304,N$9,Grades!$F$5:$F$304,$C$6),""))</f>
        <v/>
      </c>
      <c r="O25" s="19" t="str">
        <f aca="false">IF(OR($B25="",O$9=""),"",IFERROR(AVERAGEIFS(Grades!$I$5:$I$304,Grades!$A$5:$A$304,$B25,Grades!$E$5:$E$304,O$9,Grades!$F$5:$F$304,$C$6),""))</f>
        <v/>
      </c>
      <c r="P25" s="19" t="str">
        <f aca="false">IF(COUNT(D25:O25)=0,"",SUM(D25:O25))</f>
        <v/>
      </c>
      <c r="Q25" s="19" t="str">
        <f aca="false">IF(COUNT(D25:O25)=0,"",AVERAGE(D25:O25))</f>
        <v/>
      </c>
      <c r="R25" s="50" t="str">
        <f aca="false">IF(Q25="","",IF(Q25&gt;=Settings!$E$11,Settings!$F$11,IF(Q25&gt;=Settings!$E$12,Settings!$F$12,IF(Q25&gt;=Settings!$E$13,Settings!$F$13,IF(Q25&gt;=Settings!$E$14,Settings!$F$14,Settings!$F$15)))))</f>
        <v/>
      </c>
      <c r="S25" s="17" t="str">
        <f aca="false">IF(Q25="","",RANK(Q25,$Q$10:$Q$49))</f>
        <v/>
      </c>
    </row>
    <row r="26" customFormat="false" ht="19.5" hidden="false" customHeight="true" outlineLevel="0" collapsed="false">
      <c r="A26" s="17" t="str">
        <f aca="false">IF($B26="","",17)</f>
        <v/>
      </c>
      <c r="B26" s="17" t="str">
        <f aca="false">IFERROR(INDEX(Students!$A$5:$A$304,MATCH($C$4&amp;"|"&amp;$C$5&amp;"|"&amp;17,Students!$O$5:$O$304,0)),"")</f>
        <v/>
      </c>
      <c r="C26" s="16" t="str">
        <f aca="false">IF($B26="","",INDEX(Students!$B$5:$B$304,MATCH($B26,Students!$A$5:$A$304,0)))</f>
        <v/>
      </c>
      <c r="D26" s="19" t="str">
        <f aca="false">IF(OR($B26="",D$9=""),"",IFERROR(AVERAGEIFS(Grades!$I$5:$I$304,Grades!$A$5:$A$304,$B26,Grades!$E$5:$E$304,D$9,Grades!$F$5:$F$304,$C$6),""))</f>
        <v/>
      </c>
      <c r="E26" s="19" t="str">
        <f aca="false">IF(OR($B26="",E$9=""),"",IFERROR(AVERAGEIFS(Grades!$I$5:$I$304,Grades!$A$5:$A$304,$B26,Grades!$E$5:$E$304,E$9,Grades!$F$5:$F$304,$C$6),""))</f>
        <v/>
      </c>
      <c r="F26" s="19" t="str">
        <f aca="false">IF(OR($B26="",F$9=""),"",IFERROR(AVERAGEIFS(Grades!$I$5:$I$304,Grades!$A$5:$A$304,$B26,Grades!$E$5:$E$304,F$9,Grades!$F$5:$F$304,$C$6),""))</f>
        <v/>
      </c>
      <c r="G26" s="19" t="str">
        <f aca="false">IF(OR($B26="",G$9=""),"",IFERROR(AVERAGEIFS(Grades!$I$5:$I$304,Grades!$A$5:$A$304,$B26,Grades!$E$5:$E$304,G$9,Grades!$F$5:$F$304,$C$6),""))</f>
        <v/>
      </c>
      <c r="H26" s="19" t="str">
        <f aca="false">IF(OR($B26="",H$9=""),"",IFERROR(AVERAGEIFS(Grades!$I$5:$I$304,Grades!$A$5:$A$304,$B26,Grades!$E$5:$E$304,H$9,Grades!$F$5:$F$304,$C$6),""))</f>
        <v/>
      </c>
      <c r="I26" s="19" t="str">
        <f aca="false">IF(OR($B26="",I$9=""),"",IFERROR(AVERAGEIFS(Grades!$I$5:$I$304,Grades!$A$5:$A$304,$B26,Grades!$E$5:$E$304,I$9,Grades!$F$5:$F$304,$C$6),""))</f>
        <v/>
      </c>
      <c r="J26" s="19" t="str">
        <f aca="false">IF(OR($B26="",J$9=""),"",IFERROR(AVERAGEIFS(Grades!$I$5:$I$304,Grades!$A$5:$A$304,$B26,Grades!$E$5:$E$304,J$9,Grades!$F$5:$F$304,$C$6),""))</f>
        <v/>
      </c>
      <c r="K26" s="19" t="str">
        <f aca="false">IF(OR($B26="",K$9=""),"",IFERROR(AVERAGEIFS(Grades!$I$5:$I$304,Grades!$A$5:$A$304,$B26,Grades!$E$5:$E$304,K$9,Grades!$F$5:$F$304,$C$6),""))</f>
        <v/>
      </c>
      <c r="L26" s="19" t="str">
        <f aca="false">IF(OR($B26="",L$9=""),"",IFERROR(AVERAGEIFS(Grades!$I$5:$I$304,Grades!$A$5:$A$304,$B26,Grades!$E$5:$E$304,L$9,Grades!$F$5:$F$304,$C$6),""))</f>
        <v/>
      </c>
      <c r="M26" s="19" t="str">
        <f aca="false">IF(OR($B26="",M$9=""),"",IFERROR(AVERAGEIFS(Grades!$I$5:$I$304,Grades!$A$5:$A$304,$B26,Grades!$E$5:$E$304,M$9,Grades!$F$5:$F$304,$C$6),""))</f>
        <v/>
      </c>
      <c r="N26" s="19" t="str">
        <f aca="false">IF(OR($B26="",N$9=""),"",IFERROR(AVERAGEIFS(Grades!$I$5:$I$304,Grades!$A$5:$A$304,$B26,Grades!$E$5:$E$304,N$9,Grades!$F$5:$F$304,$C$6),""))</f>
        <v/>
      </c>
      <c r="O26" s="19" t="str">
        <f aca="false">IF(OR($B26="",O$9=""),"",IFERROR(AVERAGEIFS(Grades!$I$5:$I$304,Grades!$A$5:$A$304,$B26,Grades!$E$5:$E$304,O$9,Grades!$F$5:$F$304,$C$6),""))</f>
        <v/>
      </c>
      <c r="P26" s="19" t="str">
        <f aca="false">IF(COUNT(D26:O26)=0,"",SUM(D26:O26))</f>
        <v/>
      </c>
      <c r="Q26" s="19" t="str">
        <f aca="false">IF(COUNT(D26:O26)=0,"",AVERAGE(D26:O26))</f>
        <v/>
      </c>
      <c r="R26" s="50" t="str">
        <f aca="false">IF(Q26="","",IF(Q26&gt;=Settings!$E$11,Settings!$F$11,IF(Q26&gt;=Settings!$E$12,Settings!$F$12,IF(Q26&gt;=Settings!$E$13,Settings!$F$13,IF(Q26&gt;=Settings!$E$14,Settings!$F$14,Settings!$F$15)))))</f>
        <v/>
      </c>
      <c r="S26" s="17" t="str">
        <f aca="false">IF(Q26="","",RANK(Q26,$Q$10:$Q$49))</f>
        <v/>
      </c>
    </row>
    <row r="27" customFormat="false" ht="19.5" hidden="false" customHeight="true" outlineLevel="0" collapsed="false">
      <c r="A27" s="17" t="str">
        <f aca="false">IF($B27="","",18)</f>
        <v/>
      </c>
      <c r="B27" s="17" t="str">
        <f aca="false">IFERROR(INDEX(Students!$A$5:$A$304,MATCH($C$4&amp;"|"&amp;$C$5&amp;"|"&amp;18,Students!$O$5:$O$304,0)),"")</f>
        <v/>
      </c>
      <c r="C27" s="16" t="str">
        <f aca="false">IF($B27="","",INDEX(Students!$B$5:$B$304,MATCH($B27,Students!$A$5:$A$304,0)))</f>
        <v/>
      </c>
      <c r="D27" s="19" t="str">
        <f aca="false">IF(OR($B27="",D$9=""),"",IFERROR(AVERAGEIFS(Grades!$I$5:$I$304,Grades!$A$5:$A$304,$B27,Grades!$E$5:$E$304,D$9,Grades!$F$5:$F$304,$C$6),""))</f>
        <v/>
      </c>
      <c r="E27" s="19" t="str">
        <f aca="false">IF(OR($B27="",E$9=""),"",IFERROR(AVERAGEIFS(Grades!$I$5:$I$304,Grades!$A$5:$A$304,$B27,Grades!$E$5:$E$304,E$9,Grades!$F$5:$F$304,$C$6),""))</f>
        <v/>
      </c>
      <c r="F27" s="19" t="str">
        <f aca="false">IF(OR($B27="",F$9=""),"",IFERROR(AVERAGEIFS(Grades!$I$5:$I$304,Grades!$A$5:$A$304,$B27,Grades!$E$5:$E$304,F$9,Grades!$F$5:$F$304,$C$6),""))</f>
        <v/>
      </c>
      <c r="G27" s="19" t="str">
        <f aca="false">IF(OR($B27="",G$9=""),"",IFERROR(AVERAGEIFS(Grades!$I$5:$I$304,Grades!$A$5:$A$304,$B27,Grades!$E$5:$E$304,G$9,Grades!$F$5:$F$304,$C$6),""))</f>
        <v/>
      </c>
      <c r="H27" s="19" t="str">
        <f aca="false">IF(OR($B27="",H$9=""),"",IFERROR(AVERAGEIFS(Grades!$I$5:$I$304,Grades!$A$5:$A$304,$B27,Grades!$E$5:$E$304,H$9,Grades!$F$5:$F$304,$C$6),""))</f>
        <v/>
      </c>
      <c r="I27" s="19" t="str">
        <f aca="false">IF(OR($B27="",I$9=""),"",IFERROR(AVERAGEIFS(Grades!$I$5:$I$304,Grades!$A$5:$A$304,$B27,Grades!$E$5:$E$304,I$9,Grades!$F$5:$F$304,$C$6),""))</f>
        <v/>
      </c>
      <c r="J27" s="19" t="str">
        <f aca="false">IF(OR($B27="",J$9=""),"",IFERROR(AVERAGEIFS(Grades!$I$5:$I$304,Grades!$A$5:$A$304,$B27,Grades!$E$5:$E$304,J$9,Grades!$F$5:$F$304,$C$6),""))</f>
        <v/>
      </c>
      <c r="K27" s="19" t="str">
        <f aca="false">IF(OR($B27="",K$9=""),"",IFERROR(AVERAGEIFS(Grades!$I$5:$I$304,Grades!$A$5:$A$304,$B27,Grades!$E$5:$E$304,K$9,Grades!$F$5:$F$304,$C$6),""))</f>
        <v/>
      </c>
      <c r="L27" s="19" t="str">
        <f aca="false">IF(OR($B27="",L$9=""),"",IFERROR(AVERAGEIFS(Grades!$I$5:$I$304,Grades!$A$5:$A$304,$B27,Grades!$E$5:$E$304,L$9,Grades!$F$5:$F$304,$C$6),""))</f>
        <v/>
      </c>
      <c r="M27" s="19" t="str">
        <f aca="false">IF(OR($B27="",M$9=""),"",IFERROR(AVERAGEIFS(Grades!$I$5:$I$304,Grades!$A$5:$A$304,$B27,Grades!$E$5:$E$304,M$9,Grades!$F$5:$F$304,$C$6),""))</f>
        <v/>
      </c>
      <c r="N27" s="19" t="str">
        <f aca="false">IF(OR($B27="",N$9=""),"",IFERROR(AVERAGEIFS(Grades!$I$5:$I$304,Grades!$A$5:$A$304,$B27,Grades!$E$5:$E$304,N$9,Grades!$F$5:$F$304,$C$6),""))</f>
        <v/>
      </c>
      <c r="O27" s="19" t="str">
        <f aca="false">IF(OR($B27="",O$9=""),"",IFERROR(AVERAGEIFS(Grades!$I$5:$I$304,Grades!$A$5:$A$304,$B27,Grades!$E$5:$E$304,O$9,Grades!$F$5:$F$304,$C$6),""))</f>
        <v/>
      </c>
      <c r="P27" s="19" t="str">
        <f aca="false">IF(COUNT(D27:O27)=0,"",SUM(D27:O27))</f>
        <v/>
      </c>
      <c r="Q27" s="19" t="str">
        <f aca="false">IF(COUNT(D27:O27)=0,"",AVERAGE(D27:O27))</f>
        <v/>
      </c>
      <c r="R27" s="50" t="str">
        <f aca="false">IF(Q27="","",IF(Q27&gt;=Settings!$E$11,Settings!$F$11,IF(Q27&gt;=Settings!$E$12,Settings!$F$12,IF(Q27&gt;=Settings!$E$13,Settings!$F$13,IF(Q27&gt;=Settings!$E$14,Settings!$F$14,Settings!$F$15)))))</f>
        <v/>
      </c>
      <c r="S27" s="17" t="str">
        <f aca="false">IF(Q27="","",RANK(Q27,$Q$10:$Q$49))</f>
        <v/>
      </c>
    </row>
    <row r="28" customFormat="false" ht="19.5" hidden="false" customHeight="true" outlineLevel="0" collapsed="false">
      <c r="A28" s="17" t="str">
        <f aca="false">IF($B28="","",19)</f>
        <v/>
      </c>
      <c r="B28" s="17" t="str">
        <f aca="false">IFERROR(INDEX(Students!$A$5:$A$304,MATCH($C$4&amp;"|"&amp;$C$5&amp;"|"&amp;19,Students!$O$5:$O$304,0)),"")</f>
        <v/>
      </c>
      <c r="C28" s="16" t="str">
        <f aca="false">IF($B28="","",INDEX(Students!$B$5:$B$304,MATCH($B28,Students!$A$5:$A$304,0)))</f>
        <v/>
      </c>
      <c r="D28" s="19" t="str">
        <f aca="false">IF(OR($B28="",D$9=""),"",IFERROR(AVERAGEIFS(Grades!$I$5:$I$304,Grades!$A$5:$A$304,$B28,Grades!$E$5:$E$304,D$9,Grades!$F$5:$F$304,$C$6),""))</f>
        <v/>
      </c>
      <c r="E28" s="19" t="str">
        <f aca="false">IF(OR($B28="",E$9=""),"",IFERROR(AVERAGEIFS(Grades!$I$5:$I$304,Grades!$A$5:$A$304,$B28,Grades!$E$5:$E$304,E$9,Grades!$F$5:$F$304,$C$6),""))</f>
        <v/>
      </c>
      <c r="F28" s="19" t="str">
        <f aca="false">IF(OR($B28="",F$9=""),"",IFERROR(AVERAGEIFS(Grades!$I$5:$I$304,Grades!$A$5:$A$304,$B28,Grades!$E$5:$E$304,F$9,Grades!$F$5:$F$304,$C$6),""))</f>
        <v/>
      </c>
      <c r="G28" s="19" t="str">
        <f aca="false">IF(OR($B28="",G$9=""),"",IFERROR(AVERAGEIFS(Grades!$I$5:$I$304,Grades!$A$5:$A$304,$B28,Grades!$E$5:$E$304,G$9,Grades!$F$5:$F$304,$C$6),""))</f>
        <v/>
      </c>
      <c r="H28" s="19" t="str">
        <f aca="false">IF(OR($B28="",H$9=""),"",IFERROR(AVERAGEIFS(Grades!$I$5:$I$304,Grades!$A$5:$A$304,$B28,Grades!$E$5:$E$304,H$9,Grades!$F$5:$F$304,$C$6),""))</f>
        <v/>
      </c>
      <c r="I28" s="19" t="str">
        <f aca="false">IF(OR($B28="",I$9=""),"",IFERROR(AVERAGEIFS(Grades!$I$5:$I$304,Grades!$A$5:$A$304,$B28,Grades!$E$5:$E$304,I$9,Grades!$F$5:$F$304,$C$6),""))</f>
        <v/>
      </c>
      <c r="J28" s="19" t="str">
        <f aca="false">IF(OR($B28="",J$9=""),"",IFERROR(AVERAGEIFS(Grades!$I$5:$I$304,Grades!$A$5:$A$304,$B28,Grades!$E$5:$E$304,J$9,Grades!$F$5:$F$304,$C$6),""))</f>
        <v/>
      </c>
      <c r="K28" s="19" t="str">
        <f aca="false">IF(OR($B28="",K$9=""),"",IFERROR(AVERAGEIFS(Grades!$I$5:$I$304,Grades!$A$5:$A$304,$B28,Grades!$E$5:$E$304,K$9,Grades!$F$5:$F$304,$C$6),""))</f>
        <v/>
      </c>
      <c r="L28" s="19" t="str">
        <f aca="false">IF(OR($B28="",L$9=""),"",IFERROR(AVERAGEIFS(Grades!$I$5:$I$304,Grades!$A$5:$A$304,$B28,Grades!$E$5:$E$304,L$9,Grades!$F$5:$F$304,$C$6),""))</f>
        <v/>
      </c>
      <c r="M28" s="19" t="str">
        <f aca="false">IF(OR($B28="",M$9=""),"",IFERROR(AVERAGEIFS(Grades!$I$5:$I$304,Grades!$A$5:$A$304,$B28,Grades!$E$5:$E$304,M$9,Grades!$F$5:$F$304,$C$6),""))</f>
        <v/>
      </c>
      <c r="N28" s="19" t="str">
        <f aca="false">IF(OR($B28="",N$9=""),"",IFERROR(AVERAGEIFS(Grades!$I$5:$I$304,Grades!$A$5:$A$304,$B28,Grades!$E$5:$E$304,N$9,Grades!$F$5:$F$304,$C$6),""))</f>
        <v/>
      </c>
      <c r="O28" s="19" t="str">
        <f aca="false">IF(OR($B28="",O$9=""),"",IFERROR(AVERAGEIFS(Grades!$I$5:$I$304,Grades!$A$5:$A$304,$B28,Grades!$E$5:$E$304,O$9,Grades!$F$5:$F$304,$C$6),""))</f>
        <v/>
      </c>
      <c r="P28" s="19" t="str">
        <f aca="false">IF(COUNT(D28:O28)=0,"",SUM(D28:O28))</f>
        <v/>
      </c>
      <c r="Q28" s="19" t="str">
        <f aca="false">IF(COUNT(D28:O28)=0,"",AVERAGE(D28:O28))</f>
        <v/>
      </c>
      <c r="R28" s="50" t="str">
        <f aca="false">IF(Q28="","",IF(Q28&gt;=Settings!$E$11,Settings!$F$11,IF(Q28&gt;=Settings!$E$12,Settings!$F$12,IF(Q28&gt;=Settings!$E$13,Settings!$F$13,IF(Q28&gt;=Settings!$E$14,Settings!$F$14,Settings!$F$15)))))</f>
        <v/>
      </c>
      <c r="S28" s="17" t="str">
        <f aca="false">IF(Q28="","",RANK(Q28,$Q$10:$Q$49))</f>
        <v/>
      </c>
    </row>
    <row r="29" customFormat="false" ht="19.5" hidden="false" customHeight="true" outlineLevel="0" collapsed="false">
      <c r="A29" s="17" t="str">
        <f aca="false">IF($B29="","",20)</f>
        <v/>
      </c>
      <c r="B29" s="17" t="str">
        <f aca="false">IFERROR(INDEX(Students!$A$5:$A$304,MATCH($C$4&amp;"|"&amp;$C$5&amp;"|"&amp;20,Students!$O$5:$O$304,0)),"")</f>
        <v/>
      </c>
      <c r="C29" s="16" t="str">
        <f aca="false">IF($B29="","",INDEX(Students!$B$5:$B$304,MATCH($B29,Students!$A$5:$A$304,0)))</f>
        <v/>
      </c>
      <c r="D29" s="19" t="str">
        <f aca="false">IF(OR($B29="",D$9=""),"",IFERROR(AVERAGEIFS(Grades!$I$5:$I$304,Grades!$A$5:$A$304,$B29,Grades!$E$5:$E$304,D$9,Grades!$F$5:$F$304,$C$6),""))</f>
        <v/>
      </c>
      <c r="E29" s="19" t="str">
        <f aca="false">IF(OR($B29="",E$9=""),"",IFERROR(AVERAGEIFS(Grades!$I$5:$I$304,Grades!$A$5:$A$304,$B29,Grades!$E$5:$E$304,E$9,Grades!$F$5:$F$304,$C$6),""))</f>
        <v/>
      </c>
      <c r="F29" s="19" t="str">
        <f aca="false">IF(OR($B29="",F$9=""),"",IFERROR(AVERAGEIFS(Grades!$I$5:$I$304,Grades!$A$5:$A$304,$B29,Grades!$E$5:$E$304,F$9,Grades!$F$5:$F$304,$C$6),""))</f>
        <v/>
      </c>
      <c r="G29" s="19" t="str">
        <f aca="false">IF(OR($B29="",G$9=""),"",IFERROR(AVERAGEIFS(Grades!$I$5:$I$304,Grades!$A$5:$A$304,$B29,Grades!$E$5:$E$304,G$9,Grades!$F$5:$F$304,$C$6),""))</f>
        <v/>
      </c>
      <c r="H29" s="19" t="str">
        <f aca="false">IF(OR($B29="",H$9=""),"",IFERROR(AVERAGEIFS(Grades!$I$5:$I$304,Grades!$A$5:$A$304,$B29,Grades!$E$5:$E$304,H$9,Grades!$F$5:$F$304,$C$6),""))</f>
        <v/>
      </c>
      <c r="I29" s="19" t="str">
        <f aca="false">IF(OR($B29="",I$9=""),"",IFERROR(AVERAGEIFS(Grades!$I$5:$I$304,Grades!$A$5:$A$304,$B29,Grades!$E$5:$E$304,I$9,Grades!$F$5:$F$304,$C$6),""))</f>
        <v/>
      </c>
      <c r="J29" s="19" t="str">
        <f aca="false">IF(OR($B29="",J$9=""),"",IFERROR(AVERAGEIFS(Grades!$I$5:$I$304,Grades!$A$5:$A$304,$B29,Grades!$E$5:$E$304,J$9,Grades!$F$5:$F$304,$C$6),""))</f>
        <v/>
      </c>
      <c r="K29" s="19" t="str">
        <f aca="false">IF(OR($B29="",K$9=""),"",IFERROR(AVERAGEIFS(Grades!$I$5:$I$304,Grades!$A$5:$A$304,$B29,Grades!$E$5:$E$304,K$9,Grades!$F$5:$F$304,$C$6),""))</f>
        <v/>
      </c>
      <c r="L29" s="19" t="str">
        <f aca="false">IF(OR($B29="",L$9=""),"",IFERROR(AVERAGEIFS(Grades!$I$5:$I$304,Grades!$A$5:$A$304,$B29,Grades!$E$5:$E$304,L$9,Grades!$F$5:$F$304,$C$6),""))</f>
        <v/>
      </c>
      <c r="M29" s="19" t="str">
        <f aca="false">IF(OR($B29="",M$9=""),"",IFERROR(AVERAGEIFS(Grades!$I$5:$I$304,Grades!$A$5:$A$304,$B29,Grades!$E$5:$E$304,M$9,Grades!$F$5:$F$304,$C$6),""))</f>
        <v/>
      </c>
      <c r="N29" s="19" t="str">
        <f aca="false">IF(OR($B29="",N$9=""),"",IFERROR(AVERAGEIFS(Grades!$I$5:$I$304,Grades!$A$5:$A$304,$B29,Grades!$E$5:$E$304,N$9,Grades!$F$5:$F$304,$C$6),""))</f>
        <v/>
      </c>
      <c r="O29" s="19" t="str">
        <f aca="false">IF(OR($B29="",O$9=""),"",IFERROR(AVERAGEIFS(Grades!$I$5:$I$304,Grades!$A$5:$A$304,$B29,Grades!$E$5:$E$304,O$9,Grades!$F$5:$F$304,$C$6),""))</f>
        <v/>
      </c>
      <c r="P29" s="19" t="str">
        <f aca="false">IF(COUNT(D29:O29)=0,"",SUM(D29:O29))</f>
        <v/>
      </c>
      <c r="Q29" s="19" t="str">
        <f aca="false">IF(COUNT(D29:O29)=0,"",AVERAGE(D29:O29))</f>
        <v/>
      </c>
      <c r="R29" s="50" t="str">
        <f aca="false">IF(Q29="","",IF(Q29&gt;=Settings!$E$11,Settings!$F$11,IF(Q29&gt;=Settings!$E$12,Settings!$F$12,IF(Q29&gt;=Settings!$E$13,Settings!$F$13,IF(Q29&gt;=Settings!$E$14,Settings!$F$14,Settings!$F$15)))))</f>
        <v/>
      </c>
      <c r="S29" s="17" t="str">
        <f aca="false">IF(Q29="","",RANK(Q29,$Q$10:$Q$49))</f>
        <v/>
      </c>
    </row>
    <row r="30" customFormat="false" ht="19.5" hidden="false" customHeight="true" outlineLevel="0" collapsed="false">
      <c r="A30" s="17" t="str">
        <f aca="false">IF($B30="","",21)</f>
        <v/>
      </c>
      <c r="B30" s="17" t="str">
        <f aca="false">IFERROR(INDEX(Students!$A$5:$A$304,MATCH($C$4&amp;"|"&amp;$C$5&amp;"|"&amp;21,Students!$O$5:$O$304,0)),"")</f>
        <v/>
      </c>
      <c r="C30" s="16" t="str">
        <f aca="false">IF($B30="","",INDEX(Students!$B$5:$B$304,MATCH($B30,Students!$A$5:$A$304,0)))</f>
        <v/>
      </c>
      <c r="D30" s="19" t="str">
        <f aca="false">IF(OR($B30="",D$9=""),"",IFERROR(AVERAGEIFS(Grades!$I$5:$I$304,Grades!$A$5:$A$304,$B30,Grades!$E$5:$E$304,D$9,Grades!$F$5:$F$304,$C$6),""))</f>
        <v/>
      </c>
      <c r="E30" s="19" t="str">
        <f aca="false">IF(OR($B30="",E$9=""),"",IFERROR(AVERAGEIFS(Grades!$I$5:$I$304,Grades!$A$5:$A$304,$B30,Grades!$E$5:$E$304,E$9,Grades!$F$5:$F$304,$C$6),""))</f>
        <v/>
      </c>
      <c r="F30" s="19" t="str">
        <f aca="false">IF(OR($B30="",F$9=""),"",IFERROR(AVERAGEIFS(Grades!$I$5:$I$304,Grades!$A$5:$A$304,$B30,Grades!$E$5:$E$304,F$9,Grades!$F$5:$F$304,$C$6),""))</f>
        <v/>
      </c>
      <c r="G30" s="19" t="str">
        <f aca="false">IF(OR($B30="",G$9=""),"",IFERROR(AVERAGEIFS(Grades!$I$5:$I$304,Grades!$A$5:$A$304,$B30,Grades!$E$5:$E$304,G$9,Grades!$F$5:$F$304,$C$6),""))</f>
        <v/>
      </c>
      <c r="H30" s="19" t="str">
        <f aca="false">IF(OR($B30="",H$9=""),"",IFERROR(AVERAGEIFS(Grades!$I$5:$I$304,Grades!$A$5:$A$304,$B30,Grades!$E$5:$E$304,H$9,Grades!$F$5:$F$304,$C$6),""))</f>
        <v/>
      </c>
      <c r="I30" s="19" t="str">
        <f aca="false">IF(OR($B30="",I$9=""),"",IFERROR(AVERAGEIFS(Grades!$I$5:$I$304,Grades!$A$5:$A$304,$B30,Grades!$E$5:$E$304,I$9,Grades!$F$5:$F$304,$C$6),""))</f>
        <v/>
      </c>
      <c r="J30" s="19" t="str">
        <f aca="false">IF(OR($B30="",J$9=""),"",IFERROR(AVERAGEIFS(Grades!$I$5:$I$304,Grades!$A$5:$A$304,$B30,Grades!$E$5:$E$304,J$9,Grades!$F$5:$F$304,$C$6),""))</f>
        <v/>
      </c>
      <c r="K30" s="19" t="str">
        <f aca="false">IF(OR($B30="",K$9=""),"",IFERROR(AVERAGEIFS(Grades!$I$5:$I$304,Grades!$A$5:$A$304,$B30,Grades!$E$5:$E$304,K$9,Grades!$F$5:$F$304,$C$6),""))</f>
        <v/>
      </c>
      <c r="L30" s="19" t="str">
        <f aca="false">IF(OR($B30="",L$9=""),"",IFERROR(AVERAGEIFS(Grades!$I$5:$I$304,Grades!$A$5:$A$304,$B30,Grades!$E$5:$E$304,L$9,Grades!$F$5:$F$304,$C$6),""))</f>
        <v/>
      </c>
      <c r="M30" s="19" t="str">
        <f aca="false">IF(OR($B30="",M$9=""),"",IFERROR(AVERAGEIFS(Grades!$I$5:$I$304,Grades!$A$5:$A$304,$B30,Grades!$E$5:$E$304,M$9,Grades!$F$5:$F$304,$C$6),""))</f>
        <v/>
      </c>
      <c r="N30" s="19" t="str">
        <f aca="false">IF(OR($B30="",N$9=""),"",IFERROR(AVERAGEIFS(Grades!$I$5:$I$304,Grades!$A$5:$A$304,$B30,Grades!$E$5:$E$304,N$9,Grades!$F$5:$F$304,$C$6),""))</f>
        <v/>
      </c>
      <c r="O30" s="19" t="str">
        <f aca="false">IF(OR($B30="",O$9=""),"",IFERROR(AVERAGEIFS(Grades!$I$5:$I$304,Grades!$A$5:$A$304,$B30,Grades!$E$5:$E$304,O$9,Grades!$F$5:$F$304,$C$6),""))</f>
        <v/>
      </c>
      <c r="P30" s="19" t="str">
        <f aca="false">IF(COUNT(D30:O30)=0,"",SUM(D30:O30))</f>
        <v/>
      </c>
      <c r="Q30" s="19" t="str">
        <f aca="false">IF(COUNT(D30:O30)=0,"",AVERAGE(D30:O30))</f>
        <v/>
      </c>
      <c r="R30" s="50" t="str">
        <f aca="false">IF(Q30="","",IF(Q30&gt;=Settings!$E$11,Settings!$F$11,IF(Q30&gt;=Settings!$E$12,Settings!$F$12,IF(Q30&gt;=Settings!$E$13,Settings!$F$13,IF(Q30&gt;=Settings!$E$14,Settings!$F$14,Settings!$F$15)))))</f>
        <v/>
      </c>
      <c r="S30" s="17" t="str">
        <f aca="false">IF(Q30="","",RANK(Q30,$Q$10:$Q$49))</f>
        <v/>
      </c>
    </row>
    <row r="31" customFormat="false" ht="19.5" hidden="false" customHeight="true" outlineLevel="0" collapsed="false">
      <c r="A31" s="17" t="str">
        <f aca="false">IF($B31="","",22)</f>
        <v/>
      </c>
      <c r="B31" s="17" t="str">
        <f aca="false">IFERROR(INDEX(Students!$A$5:$A$304,MATCH($C$4&amp;"|"&amp;$C$5&amp;"|"&amp;22,Students!$O$5:$O$304,0)),"")</f>
        <v/>
      </c>
      <c r="C31" s="16" t="str">
        <f aca="false">IF($B31="","",INDEX(Students!$B$5:$B$304,MATCH($B31,Students!$A$5:$A$304,0)))</f>
        <v/>
      </c>
      <c r="D31" s="19" t="str">
        <f aca="false">IF(OR($B31="",D$9=""),"",IFERROR(AVERAGEIFS(Grades!$I$5:$I$304,Grades!$A$5:$A$304,$B31,Grades!$E$5:$E$304,D$9,Grades!$F$5:$F$304,$C$6),""))</f>
        <v/>
      </c>
      <c r="E31" s="19" t="str">
        <f aca="false">IF(OR($B31="",E$9=""),"",IFERROR(AVERAGEIFS(Grades!$I$5:$I$304,Grades!$A$5:$A$304,$B31,Grades!$E$5:$E$304,E$9,Grades!$F$5:$F$304,$C$6),""))</f>
        <v/>
      </c>
      <c r="F31" s="19" t="str">
        <f aca="false">IF(OR($B31="",F$9=""),"",IFERROR(AVERAGEIFS(Grades!$I$5:$I$304,Grades!$A$5:$A$304,$B31,Grades!$E$5:$E$304,F$9,Grades!$F$5:$F$304,$C$6),""))</f>
        <v/>
      </c>
      <c r="G31" s="19" t="str">
        <f aca="false">IF(OR($B31="",G$9=""),"",IFERROR(AVERAGEIFS(Grades!$I$5:$I$304,Grades!$A$5:$A$304,$B31,Grades!$E$5:$E$304,G$9,Grades!$F$5:$F$304,$C$6),""))</f>
        <v/>
      </c>
      <c r="H31" s="19" t="str">
        <f aca="false">IF(OR($B31="",H$9=""),"",IFERROR(AVERAGEIFS(Grades!$I$5:$I$304,Grades!$A$5:$A$304,$B31,Grades!$E$5:$E$304,H$9,Grades!$F$5:$F$304,$C$6),""))</f>
        <v/>
      </c>
      <c r="I31" s="19" t="str">
        <f aca="false">IF(OR($B31="",I$9=""),"",IFERROR(AVERAGEIFS(Grades!$I$5:$I$304,Grades!$A$5:$A$304,$B31,Grades!$E$5:$E$304,I$9,Grades!$F$5:$F$304,$C$6),""))</f>
        <v/>
      </c>
      <c r="J31" s="19" t="str">
        <f aca="false">IF(OR($B31="",J$9=""),"",IFERROR(AVERAGEIFS(Grades!$I$5:$I$304,Grades!$A$5:$A$304,$B31,Grades!$E$5:$E$304,J$9,Grades!$F$5:$F$304,$C$6),""))</f>
        <v/>
      </c>
      <c r="K31" s="19" t="str">
        <f aca="false">IF(OR($B31="",K$9=""),"",IFERROR(AVERAGEIFS(Grades!$I$5:$I$304,Grades!$A$5:$A$304,$B31,Grades!$E$5:$E$304,K$9,Grades!$F$5:$F$304,$C$6),""))</f>
        <v/>
      </c>
      <c r="L31" s="19" t="str">
        <f aca="false">IF(OR($B31="",L$9=""),"",IFERROR(AVERAGEIFS(Grades!$I$5:$I$304,Grades!$A$5:$A$304,$B31,Grades!$E$5:$E$304,L$9,Grades!$F$5:$F$304,$C$6),""))</f>
        <v/>
      </c>
      <c r="M31" s="19" t="str">
        <f aca="false">IF(OR($B31="",M$9=""),"",IFERROR(AVERAGEIFS(Grades!$I$5:$I$304,Grades!$A$5:$A$304,$B31,Grades!$E$5:$E$304,M$9,Grades!$F$5:$F$304,$C$6),""))</f>
        <v/>
      </c>
      <c r="N31" s="19" t="str">
        <f aca="false">IF(OR($B31="",N$9=""),"",IFERROR(AVERAGEIFS(Grades!$I$5:$I$304,Grades!$A$5:$A$304,$B31,Grades!$E$5:$E$304,N$9,Grades!$F$5:$F$304,$C$6),""))</f>
        <v/>
      </c>
      <c r="O31" s="19" t="str">
        <f aca="false">IF(OR($B31="",O$9=""),"",IFERROR(AVERAGEIFS(Grades!$I$5:$I$304,Grades!$A$5:$A$304,$B31,Grades!$E$5:$E$304,O$9,Grades!$F$5:$F$304,$C$6),""))</f>
        <v/>
      </c>
      <c r="P31" s="19" t="str">
        <f aca="false">IF(COUNT(D31:O31)=0,"",SUM(D31:O31))</f>
        <v/>
      </c>
      <c r="Q31" s="19" t="str">
        <f aca="false">IF(COUNT(D31:O31)=0,"",AVERAGE(D31:O31))</f>
        <v/>
      </c>
      <c r="R31" s="50" t="str">
        <f aca="false">IF(Q31="","",IF(Q31&gt;=Settings!$E$11,Settings!$F$11,IF(Q31&gt;=Settings!$E$12,Settings!$F$12,IF(Q31&gt;=Settings!$E$13,Settings!$F$13,IF(Q31&gt;=Settings!$E$14,Settings!$F$14,Settings!$F$15)))))</f>
        <v/>
      </c>
      <c r="S31" s="17" t="str">
        <f aca="false">IF(Q31="","",RANK(Q31,$Q$10:$Q$49))</f>
        <v/>
      </c>
    </row>
    <row r="32" customFormat="false" ht="19.5" hidden="false" customHeight="true" outlineLevel="0" collapsed="false">
      <c r="A32" s="17" t="str">
        <f aca="false">IF($B32="","",23)</f>
        <v/>
      </c>
      <c r="B32" s="17" t="str">
        <f aca="false">IFERROR(INDEX(Students!$A$5:$A$304,MATCH($C$4&amp;"|"&amp;$C$5&amp;"|"&amp;23,Students!$O$5:$O$304,0)),"")</f>
        <v/>
      </c>
      <c r="C32" s="16" t="str">
        <f aca="false">IF($B32="","",INDEX(Students!$B$5:$B$304,MATCH($B32,Students!$A$5:$A$304,0)))</f>
        <v/>
      </c>
      <c r="D32" s="19" t="str">
        <f aca="false">IF(OR($B32="",D$9=""),"",IFERROR(AVERAGEIFS(Grades!$I$5:$I$304,Grades!$A$5:$A$304,$B32,Grades!$E$5:$E$304,D$9,Grades!$F$5:$F$304,$C$6),""))</f>
        <v/>
      </c>
      <c r="E32" s="19" t="str">
        <f aca="false">IF(OR($B32="",E$9=""),"",IFERROR(AVERAGEIFS(Grades!$I$5:$I$304,Grades!$A$5:$A$304,$B32,Grades!$E$5:$E$304,E$9,Grades!$F$5:$F$304,$C$6),""))</f>
        <v/>
      </c>
      <c r="F32" s="19" t="str">
        <f aca="false">IF(OR($B32="",F$9=""),"",IFERROR(AVERAGEIFS(Grades!$I$5:$I$304,Grades!$A$5:$A$304,$B32,Grades!$E$5:$E$304,F$9,Grades!$F$5:$F$304,$C$6),""))</f>
        <v/>
      </c>
      <c r="G32" s="19" t="str">
        <f aca="false">IF(OR($B32="",G$9=""),"",IFERROR(AVERAGEIFS(Grades!$I$5:$I$304,Grades!$A$5:$A$304,$B32,Grades!$E$5:$E$304,G$9,Grades!$F$5:$F$304,$C$6),""))</f>
        <v/>
      </c>
      <c r="H32" s="19" t="str">
        <f aca="false">IF(OR($B32="",H$9=""),"",IFERROR(AVERAGEIFS(Grades!$I$5:$I$304,Grades!$A$5:$A$304,$B32,Grades!$E$5:$E$304,H$9,Grades!$F$5:$F$304,$C$6),""))</f>
        <v/>
      </c>
      <c r="I32" s="19" t="str">
        <f aca="false">IF(OR($B32="",I$9=""),"",IFERROR(AVERAGEIFS(Grades!$I$5:$I$304,Grades!$A$5:$A$304,$B32,Grades!$E$5:$E$304,I$9,Grades!$F$5:$F$304,$C$6),""))</f>
        <v/>
      </c>
      <c r="J32" s="19" t="str">
        <f aca="false">IF(OR($B32="",J$9=""),"",IFERROR(AVERAGEIFS(Grades!$I$5:$I$304,Grades!$A$5:$A$304,$B32,Grades!$E$5:$E$304,J$9,Grades!$F$5:$F$304,$C$6),""))</f>
        <v/>
      </c>
      <c r="K32" s="19" t="str">
        <f aca="false">IF(OR($B32="",K$9=""),"",IFERROR(AVERAGEIFS(Grades!$I$5:$I$304,Grades!$A$5:$A$304,$B32,Grades!$E$5:$E$304,K$9,Grades!$F$5:$F$304,$C$6),""))</f>
        <v/>
      </c>
      <c r="L32" s="19" t="str">
        <f aca="false">IF(OR($B32="",L$9=""),"",IFERROR(AVERAGEIFS(Grades!$I$5:$I$304,Grades!$A$5:$A$304,$B32,Grades!$E$5:$E$304,L$9,Grades!$F$5:$F$304,$C$6),""))</f>
        <v/>
      </c>
      <c r="M32" s="19" t="str">
        <f aca="false">IF(OR($B32="",M$9=""),"",IFERROR(AVERAGEIFS(Grades!$I$5:$I$304,Grades!$A$5:$A$304,$B32,Grades!$E$5:$E$304,M$9,Grades!$F$5:$F$304,$C$6),""))</f>
        <v/>
      </c>
      <c r="N32" s="19" t="str">
        <f aca="false">IF(OR($B32="",N$9=""),"",IFERROR(AVERAGEIFS(Grades!$I$5:$I$304,Grades!$A$5:$A$304,$B32,Grades!$E$5:$E$304,N$9,Grades!$F$5:$F$304,$C$6),""))</f>
        <v/>
      </c>
      <c r="O32" s="19" t="str">
        <f aca="false">IF(OR($B32="",O$9=""),"",IFERROR(AVERAGEIFS(Grades!$I$5:$I$304,Grades!$A$5:$A$304,$B32,Grades!$E$5:$E$304,O$9,Grades!$F$5:$F$304,$C$6),""))</f>
        <v/>
      </c>
      <c r="P32" s="19" t="str">
        <f aca="false">IF(COUNT(D32:O32)=0,"",SUM(D32:O32))</f>
        <v/>
      </c>
      <c r="Q32" s="19" t="str">
        <f aca="false">IF(COUNT(D32:O32)=0,"",AVERAGE(D32:O32))</f>
        <v/>
      </c>
      <c r="R32" s="50" t="str">
        <f aca="false">IF(Q32="","",IF(Q32&gt;=Settings!$E$11,Settings!$F$11,IF(Q32&gt;=Settings!$E$12,Settings!$F$12,IF(Q32&gt;=Settings!$E$13,Settings!$F$13,IF(Q32&gt;=Settings!$E$14,Settings!$F$14,Settings!$F$15)))))</f>
        <v/>
      </c>
      <c r="S32" s="17" t="str">
        <f aca="false">IF(Q32="","",RANK(Q32,$Q$10:$Q$49))</f>
        <v/>
      </c>
    </row>
    <row r="33" customFormat="false" ht="19.5" hidden="false" customHeight="true" outlineLevel="0" collapsed="false">
      <c r="A33" s="17" t="str">
        <f aca="false">IF($B33="","",24)</f>
        <v/>
      </c>
      <c r="B33" s="17" t="str">
        <f aca="false">IFERROR(INDEX(Students!$A$5:$A$304,MATCH($C$4&amp;"|"&amp;$C$5&amp;"|"&amp;24,Students!$O$5:$O$304,0)),"")</f>
        <v/>
      </c>
      <c r="C33" s="16" t="str">
        <f aca="false">IF($B33="","",INDEX(Students!$B$5:$B$304,MATCH($B33,Students!$A$5:$A$304,0)))</f>
        <v/>
      </c>
      <c r="D33" s="19" t="str">
        <f aca="false">IF(OR($B33="",D$9=""),"",IFERROR(AVERAGEIFS(Grades!$I$5:$I$304,Grades!$A$5:$A$304,$B33,Grades!$E$5:$E$304,D$9,Grades!$F$5:$F$304,$C$6),""))</f>
        <v/>
      </c>
      <c r="E33" s="19" t="str">
        <f aca="false">IF(OR($B33="",E$9=""),"",IFERROR(AVERAGEIFS(Grades!$I$5:$I$304,Grades!$A$5:$A$304,$B33,Grades!$E$5:$E$304,E$9,Grades!$F$5:$F$304,$C$6),""))</f>
        <v/>
      </c>
      <c r="F33" s="19" t="str">
        <f aca="false">IF(OR($B33="",F$9=""),"",IFERROR(AVERAGEIFS(Grades!$I$5:$I$304,Grades!$A$5:$A$304,$B33,Grades!$E$5:$E$304,F$9,Grades!$F$5:$F$304,$C$6),""))</f>
        <v/>
      </c>
      <c r="G33" s="19" t="str">
        <f aca="false">IF(OR($B33="",G$9=""),"",IFERROR(AVERAGEIFS(Grades!$I$5:$I$304,Grades!$A$5:$A$304,$B33,Grades!$E$5:$E$304,G$9,Grades!$F$5:$F$304,$C$6),""))</f>
        <v/>
      </c>
      <c r="H33" s="19" t="str">
        <f aca="false">IF(OR($B33="",H$9=""),"",IFERROR(AVERAGEIFS(Grades!$I$5:$I$304,Grades!$A$5:$A$304,$B33,Grades!$E$5:$E$304,H$9,Grades!$F$5:$F$304,$C$6),""))</f>
        <v/>
      </c>
      <c r="I33" s="19" t="str">
        <f aca="false">IF(OR($B33="",I$9=""),"",IFERROR(AVERAGEIFS(Grades!$I$5:$I$304,Grades!$A$5:$A$304,$B33,Grades!$E$5:$E$304,I$9,Grades!$F$5:$F$304,$C$6),""))</f>
        <v/>
      </c>
      <c r="J33" s="19" t="str">
        <f aca="false">IF(OR($B33="",J$9=""),"",IFERROR(AVERAGEIFS(Grades!$I$5:$I$304,Grades!$A$5:$A$304,$B33,Grades!$E$5:$E$304,J$9,Grades!$F$5:$F$304,$C$6),""))</f>
        <v/>
      </c>
      <c r="K33" s="19" t="str">
        <f aca="false">IF(OR($B33="",K$9=""),"",IFERROR(AVERAGEIFS(Grades!$I$5:$I$304,Grades!$A$5:$A$304,$B33,Grades!$E$5:$E$304,K$9,Grades!$F$5:$F$304,$C$6),""))</f>
        <v/>
      </c>
      <c r="L33" s="19" t="str">
        <f aca="false">IF(OR($B33="",L$9=""),"",IFERROR(AVERAGEIFS(Grades!$I$5:$I$304,Grades!$A$5:$A$304,$B33,Grades!$E$5:$E$304,L$9,Grades!$F$5:$F$304,$C$6),""))</f>
        <v/>
      </c>
      <c r="M33" s="19" t="str">
        <f aca="false">IF(OR($B33="",M$9=""),"",IFERROR(AVERAGEIFS(Grades!$I$5:$I$304,Grades!$A$5:$A$304,$B33,Grades!$E$5:$E$304,M$9,Grades!$F$5:$F$304,$C$6),""))</f>
        <v/>
      </c>
      <c r="N33" s="19" t="str">
        <f aca="false">IF(OR($B33="",N$9=""),"",IFERROR(AVERAGEIFS(Grades!$I$5:$I$304,Grades!$A$5:$A$304,$B33,Grades!$E$5:$E$304,N$9,Grades!$F$5:$F$304,$C$6),""))</f>
        <v/>
      </c>
      <c r="O33" s="19" t="str">
        <f aca="false">IF(OR($B33="",O$9=""),"",IFERROR(AVERAGEIFS(Grades!$I$5:$I$304,Grades!$A$5:$A$304,$B33,Grades!$E$5:$E$304,O$9,Grades!$F$5:$F$304,$C$6),""))</f>
        <v/>
      </c>
      <c r="P33" s="19" t="str">
        <f aca="false">IF(COUNT(D33:O33)=0,"",SUM(D33:O33))</f>
        <v/>
      </c>
      <c r="Q33" s="19" t="str">
        <f aca="false">IF(COUNT(D33:O33)=0,"",AVERAGE(D33:O33))</f>
        <v/>
      </c>
      <c r="R33" s="50" t="str">
        <f aca="false">IF(Q33="","",IF(Q33&gt;=Settings!$E$11,Settings!$F$11,IF(Q33&gt;=Settings!$E$12,Settings!$F$12,IF(Q33&gt;=Settings!$E$13,Settings!$F$13,IF(Q33&gt;=Settings!$E$14,Settings!$F$14,Settings!$F$15)))))</f>
        <v/>
      </c>
      <c r="S33" s="17" t="str">
        <f aca="false">IF(Q33="","",RANK(Q33,$Q$10:$Q$49))</f>
        <v/>
      </c>
    </row>
    <row r="34" customFormat="false" ht="19.5" hidden="false" customHeight="true" outlineLevel="0" collapsed="false">
      <c r="A34" s="17" t="str">
        <f aca="false">IF($B34="","",25)</f>
        <v/>
      </c>
      <c r="B34" s="17" t="str">
        <f aca="false">IFERROR(INDEX(Students!$A$5:$A$304,MATCH($C$4&amp;"|"&amp;$C$5&amp;"|"&amp;25,Students!$O$5:$O$304,0)),"")</f>
        <v/>
      </c>
      <c r="C34" s="16" t="str">
        <f aca="false">IF($B34="","",INDEX(Students!$B$5:$B$304,MATCH($B34,Students!$A$5:$A$304,0)))</f>
        <v/>
      </c>
      <c r="D34" s="19" t="str">
        <f aca="false">IF(OR($B34="",D$9=""),"",IFERROR(AVERAGEIFS(Grades!$I$5:$I$304,Grades!$A$5:$A$304,$B34,Grades!$E$5:$E$304,D$9,Grades!$F$5:$F$304,$C$6),""))</f>
        <v/>
      </c>
      <c r="E34" s="19" t="str">
        <f aca="false">IF(OR($B34="",E$9=""),"",IFERROR(AVERAGEIFS(Grades!$I$5:$I$304,Grades!$A$5:$A$304,$B34,Grades!$E$5:$E$304,E$9,Grades!$F$5:$F$304,$C$6),""))</f>
        <v/>
      </c>
      <c r="F34" s="19" t="str">
        <f aca="false">IF(OR($B34="",F$9=""),"",IFERROR(AVERAGEIFS(Grades!$I$5:$I$304,Grades!$A$5:$A$304,$B34,Grades!$E$5:$E$304,F$9,Grades!$F$5:$F$304,$C$6),""))</f>
        <v/>
      </c>
      <c r="G34" s="19" t="str">
        <f aca="false">IF(OR($B34="",G$9=""),"",IFERROR(AVERAGEIFS(Grades!$I$5:$I$304,Grades!$A$5:$A$304,$B34,Grades!$E$5:$E$304,G$9,Grades!$F$5:$F$304,$C$6),""))</f>
        <v/>
      </c>
      <c r="H34" s="19" t="str">
        <f aca="false">IF(OR($B34="",H$9=""),"",IFERROR(AVERAGEIFS(Grades!$I$5:$I$304,Grades!$A$5:$A$304,$B34,Grades!$E$5:$E$304,H$9,Grades!$F$5:$F$304,$C$6),""))</f>
        <v/>
      </c>
      <c r="I34" s="19" t="str">
        <f aca="false">IF(OR($B34="",I$9=""),"",IFERROR(AVERAGEIFS(Grades!$I$5:$I$304,Grades!$A$5:$A$304,$B34,Grades!$E$5:$E$304,I$9,Grades!$F$5:$F$304,$C$6),""))</f>
        <v/>
      </c>
      <c r="J34" s="19" t="str">
        <f aca="false">IF(OR($B34="",J$9=""),"",IFERROR(AVERAGEIFS(Grades!$I$5:$I$304,Grades!$A$5:$A$304,$B34,Grades!$E$5:$E$304,J$9,Grades!$F$5:$F$304,$C$6),""))</f>
        <v/>
      </c>
      <c r="K34" s="19" t="str">
        <f aca="false">IF(OR($B34="",K$9=""),"",IFERROR(AVERAGEIFS(Grades!$I$5:$I$304,Grades!$A$5:$A$304,$B34,Grades!$E$5:$E$304,K$9,Grades!$F$5:$F$304,$C$6),""))</f>
        <v/>
      </c>
      <c r="L34" s="19" t="str">
        <f aca="false">IF(OR($B34="",L$9=""),"",IFERROR(AVERAGEIFS(Grades!$I$5:$I$304,Grades!$A$5:$A$304,$B34,Grades!$E$5:$E$304,L$9,Grades!$F$5:$F$304,$C$6),""))</f>
        <v/>
      </c>
      <c r="M34" s="19" t="str">
        <f aca="false">IF(OR($B34="",M$9=""),"",IFERROR(AVERAGEIFS(Grades!$I$5:$I$304,Grades!$A$5:$A$304,$B34,Grades!$E$5:$E$304,M$9,Grades!$F$5:$F$304,$C$6),""))</f>
        <v/>
      </c>
      <c r="N34" s="19" t="str">
        <f aca="false">IF(OR($B34="",N$9=""),"",IFERROR(AVERAGEIFS(Grades!$I$5:$I$304,Grades!$A$5:$A$304,$B34,Grades!$E$5:$E$304,N$9,Grades!$F$5:$F$304,$C$6),""))</f>
        <v/>
      </c>
      <c r="O34" s="19" t="str">
        <f aca="false">IF(OR($B34="",O$9=""),"",IFERROR(AVERAGEIFS(Grades!$I$5:$I$304,Grades!$A$5:$A$304,$B34,Grades!$E$5:$E$304,O$9,Grades!$F$5:$F$304,$C$6),""))</f>
        <v/>
      </c>
      <c r="P34" s="19" t="str">
        <f aca="false">IF(COUNT(D34:O34)=0,"",SUM(D34:O34))</f>
        <v/>
      </c>
      <c r="Q34" s="19" t="str">
        <f aca="false">IF(COUNT(D34:O34)=0,"",AVERAGE(D34:O34))</f>
        <v/>
      </c>
      <c r="R34" s="50" t="str">
        <f aca="false">IF(Q34="","",IF(Q34&gt;=Settings!$E$11,Settings!$F$11,IF(Q34&gt;=Settings!$E$12,Settings!$F$12,IF(Q34&gt;=Settings!$E$13,Settings!$F$13,IF(Q34&gt;=Settings!$E$14,Settings!$F$14,Settings!$F$15)))))</f>
        <v/>
      </c>
      <c r="S34" s="17" t="str">
        <f aca="false">IF(Q34="","",RANK(Q34,$Q$10:$Q$49))</f>
        <v/>
      </c>
    </row>
    <row r="35" customFormat="false" ht="19.5" hidden="false" customHeight="true" outlineLevel="0" collapsed="false">
      <c r="A35" s="17" t="str">
        <f aca="false">IF($B35="","",26)</f>
        <v/>
      </c>
      <c r="B35" s="17" t="str">
        <f aca="false">IFERROR(INDEX(Students!$A$5:$A$304,MATCH($C$4&amp;"|"&amp;$C$5&amp;"|"&amp;26,Students!$O$5:$O$304,0)),"")</f>
        <v/>
      </c>
      <c r="C35" s="16" t="str">
        <f aca="false">IF($B35="","",INDEX(Students!$B$5:$B$304,MATCH($B35,Students!$A$5:$A$304,0)))</f>
        <v/>
      </c>
      <c r="D35" s="19" t="str">
        <f aca="false">IF(OR($B35="",D$9=""),"",IFERROR(AVERAGEIFS(Grades!$I$5:$I$304,Grades!$A$5:$A$304,$B35,Grades!$E$5:$E$304,D$9,Grades!$F$5:$F$304,$C$6),""))</f>
        <v/>
      </c>
      <c r="E35" s="19" t="str">
        <f aca="false">IF(OR($B35="",E$9=""),"",IFERROR(AVERAGEIFS(Grades!$I$5:$I$304,Grades!$A$5:$A$304,$B35,Grades!$E$5:$E$304,E$9,Grades!$F$5:$F$304,$C$6),""))</f>
        <v/>
      </c>
      <c r="F35" s="19" t="str">
        <f aca="false">IF(OR($B35="",F$9=""),"",IFERROR(AVERAGEIFS(Grades!$I$5:$I$304,Grades!$A$5:$A$304,$B35,Grades!$E$5:$E$304,F$9,Grades!$F$5:$F$304,$C$6),""))</f>
        <v/>
      </c>
      <c r="G35" s="19" t="str">
        <f aca="false">IF(OR($B35="",G$9=""),"",IFERROR(AVERAGEIFS(Grades!$I$5:$I$304,Grades!$A$5:$A$304,$B35,Grades!$E$5:$E$304,G$9,Grades!$F$5:$F$304,$C$6),""))</f>
        <v/>
      </c>
      <c r="H35" s="19" t="str">
        <f aca="false">IF(OR($B35="",H$9=""),"",IFERROR(AVERAGEIFS(Grades!$I$5:$I$304,Grades!$A$5:$A$304,$B35,Grades!$E$5:$E$304,H$9,Grades!$F$5:$F$304,$C$6),""))</f>
        <v/>
      </c>
      <c r="I35" s="19" t="str">
        <f aca="false">IF(OR($B35="",I$9=""),"",IFERROR(AVERAGEIFS(Grades!$I$5:$I$304,Grades!$A$5:$A$304,$B35,Grades!$E$5:$E$304,I$9,Grades!$F$5:$F$304,$C$6),""))</f>
        <v/>
      </c>
      <c r="J35" s="19" t="str">
        <f aca="false">IF(OR($B35="",J$9=""),"",IFERROR(AVERAGEIFS(Grades!$I$5:$I$304,Grades!$A$5:$A$304,$B35,Grades!$E$5:$E$304,J$9,Grades!$F$5:$F$304,$C$6),""))</f>
        <v/>
      </c>
      <c r="K35" s="19" t="str">
        <f aca="false">IF(OR($B35="",K$9=""),"",IFERROR(AVERAGEIFS(Grades!$I$5:$I$304,Grades!$A$5:$A$304,$B35,Grades!$E$5:$E$304,K$9,Grades!$F$5:$F$304,$C$6),""))</f>
        <v/>
      </c>
      <c r="L35" s="19" t="str">
        <f aca="false">IF(OR($B35="",L$9=""),"",IFERROR(AVERAGEIFS(Grades!$I$5:$I$304,Grades!$A$5:$A$304,$B35,Grades!$E$5:$E$304,L$9,Grades!$F$5:$F$304,$C$6),""))</f>
        <v/>
      </c>
      <c r="M35" s="19" t="str">
        <f aca="false">IF(OR($B35="",M$9=""),"",IFERROR(AVERAGEIFS(Grades!$I$5:$I$304,Grades!$A$5:$A$304,$B35,Grades!$E$5:$E$304,M$9,Grades!$F$5:$F$304,$C$6),""))</f>
        <v/>
      </c>
      <c r="N35" s="19" t="str">
        <f aca="false">IF(OR($B35="",N$9=""),"",IFERROR(AVERAGEIFS(Grades!$I$5:$I$304,Grades!$A$5:$A$304,$B35,Grades!$E$5:$E$304,N$9,Grades!$F$5:$F$304,$C$6),""))</f>
        <v/>
      </c>
      <c r="O35" s="19" t="str">
        <f aca="false">IF(OR($B35="",O$9=""),"",IFERROR(AVERAGEIFS(Grades!$I$5:$I$304,Grades!$A$5:$A$304,$B35,Grades!$E$5:$E$304,O$9,Grades!$F$5:$F$304,$C$6),""))</f>
        <v/>
      </c>
      <c r="P35" s="19" t="str">
        <f aca="false">IF(COUNT(D35:O35)=0,"",SUM(D35:O35))</f>
        <v/>
      </c>
      <c r="Q35" s="19" t="str">
        <f aca="false">IF(COUNT(D35:O35)=0,"",AVERAGE(D35:O35))</f>
        <v/>
      </c>
      <c r="R35" s="50" t="str">
        <f aca="false">IF(Q35="","",IF(Q35&gt;=Settings!$E$11,Settings!$F$11,IF(Q35&gt;=Settings!$E$12,Settings!$F$12,IF(Q35&gt;=Settings!$E$13,Settings!$F$13,IF(Q35&gt;=Settings!$E$14,Settings!$F$14,Settings!$F$15)))))</f>
        <v/>
      </c>
      <c r="S35" s="17" t="str">
        <f aca="false">IF(Q35="","",RANK(Q35,$Q$10:$Q$49))</f>
        <v/>
      </c>
    </row>
    <row r="36" customFormat="false" ht="19.5" hidden="false" customHeight="true" outlineLevel="0" collapsed="false">
      <c r="A36" s="17" t="str">
        <f aca="false">IF($B36="","",27)</f>
        <v/>
      </c>
      <c r="B36" s="17" t="str">
        <f aca="false">IFERROR(INDEX(Students!$A$5:$A$304,MATCH($C$4&amp;"|"&amp;$C$5&amp;"|"&amp;27,Students!$O$5:$O$304,0)),"")</f>
        <v/>
      </c>
      <c r="C36" s="16" t="str">
        <f aca="false">IF($B36="","",INDEX(Students!$B$5:$B$304,MATCH($B36,Students!$A$5:$A$304,0)))</f>
        <v/>
      </c>
      <c r="D36" s="19" t="str">
        <f aca="false">IF(OR($B36="",D$9=""),"",IFERROR(AVERAGEIFS(Grades!$I$5:$I$304,Grades!$A$5:$A$304,$B36,Grades!$E$5:$E$304,D$9,Grades!$F$5:$F$304,$C$6),""))</f>
        <v/>
      </c>
      <c r="E36" s="19" t="str">
        <f aca="false">IF(OR($B36="",E$9=""),"",IFERROR(AVERAGEIFS(Grades!$I$5:$I$304,Grades!$A$5:$A$304,$B36,Grades!$E$5:$E$304,E$9,Grades!$F$5:$F$304,$C$6),""))</f>
        <v/>
      </c>
      <c r="F36" s="19" t="str">
        <f aca="false">IF(OR($B36="",F$9=""),"",IFERROR(AVERAGEIFS(Grades!$I$5:$I$304,Grades!$A$5:$A$304,$B36,Grades!$E$5:$E$304,F$9,Grades!$F$5:$F$304,$C$6),""))</f>
        <v/>
      </c>
      <c r="G36" s="19" t="str">
        <f aca="false">IF(OR($B36="",G$9=""),"",IFERROR(AVERAGEIFS(Grades!$I$5:$I$304,Grades!$A$5:$A$304,$B36,Grades!$E$5:$E$304,G$9,Grades!$F$5:$F$304,$C$6),""))</f>
        <v/>
      </c>
      <c r="H36" s="19" t="str">
        <f aca="false">IF(OR($B36="",H$9=""),"",IFERROR(AVERAGEIFS(Grades!$I$5:$I$304,Grades!$A$5:$A$304,$B36,Grades!$E$5:$E$304,H$9,Grades!$F$5:$F$304,$C$6),""))</f>
        <v/>
      </c>
      <c r="I36" s="19" t="str">
        <f aca="false">IF(OR($B36="",I$9=""),"",IFERROR(AVERAGEIFS(Grades!$I$5:$I$304,Grades!$A$5:$A$304,$B36,Grades!$E$5:$E$304,I$9,Grades!$F$5:$F$304,$C$6),""))</f>
        <v/>
      </c>
      <c r="J36" s="19" t="str">
        <f aca="false">IF(OR($B36="",J$9=""),"",IFERROR(AVERAGEIFS(Grades!$I$5:$I$304,Grades!$A$5:$A$304,$B36,Grades!$E$5:$E$304,J$9,Grades!$F$5:$F$304,$C$6),""))</f>
        <v/>
      </c>
      <c r="K36" s="19" t="str">
        <f aca="false">IF(OR($B36="",K$9=""),"",IFERROR(AVERAGEIFS(Grades!$I$5:$I$304,Grades!$A$5:$A$304,$B36,Grades!$E$5:$E$304,K$9,Grades!$F$5:$F$304,$C$6),""))</f>
        <v/>
      </c>
      <c r="L36" s="19" t="str">
        <f aca="false">IF(OR($B36="",L$9=""),"",IFERROR(AVERAGEIFS(Grades!$I$5:$I$304,Grades!$A$5:$A$304,$B36,Grades!$E$5:$E$304,L$9,Grades!$F$5:$F$304,$C$6),""))</f>
        <v/>
      </c>
      <c r="M36" s="19" t="str">
        <f aca="false">IF(OR($B36="",M$9=""),"",IFERROR(AVERAGEIFS(Grades!$I$5:$I$304,Grades!$A$5:$A$304,$B36,Grades!$E$5:$E$304,M$9,Grades!$F$5:$F$304,$C$6),""))</f>
        <v/>
      </c>
      <c r="N36" s="19" t="str">
        <f aca="false">IF(OR($B36="",N$9=""),"",IFERROR(AVERAGEIFS(Grades!$I$5:$I$304,Grades!$A$5:$A$304,$B36,Grades!$E$5:$E$304,N$9,Grades!$F$5:$F$304,$C$6),""))</f>
        <v/>
      </c>
      <c r="O36" s="19" t="str">
        <f aca="false">IF(OR($B36="",O$9=""),"",IFERROR(AVERAGEIFS(Grades!$I$5:$I$304,Grades!$A$5:$A$304,$B36,Grades!$E$5:$E$304,O$9,Grades!$F$5:$F$304,$C$6),""))</f>
        <v/>
      </c>
      <c r="P36" s="19" t="str">
        <f aca="false">IF(COUNT(D36:O36)=0,"",SUM(D36:O36))</f>
        <v/>
      </c>
      <c r="Q36" s="19" t="str">
        <f aca="false">IF(COUNT(D36:O36)=0,"",AVERAGE(D36:O36))</f>
        <v/>
      </c>
      <c r="R36" s="50" t="str">
        <f aca="false">IF(Q36="","",IF(Q36&gt;=Settings!$E$11,Settings!$F$11,IF(Q36&gt;=Settings!$E$12,Settings!$F$12,IF(Q36&gt;=Settings!$E$13,Settings!$F$13,IF(Q36&gt;=Settings!$E$14,Settings!$F$14,Settings!$F$15)))))</f>
        <v/>
      </c>
      <c r="S36" s="17" t="str">
        <f aca="false">IF(Q36="","",RANK(Q36,$Q$10:$Q$49))</f>
        <v/>
      </c>
    </row>
    <row r="37" customFormat="false" ht="19.5" hidden="false" customHeight="true" outlineLevel="0" collapsed="false">
      <c r="A37" s="17" t="str">
        <f aca="false">IF($B37="","",28)</f>
        <v/>
      </c>
      <c r="B37" s="17" t="str">
        <f aca="false">IFERROR(INDEX(Students!$A$5:$A$304,MATCH($C$4&amp;"|"&amp;$C$5&amp;"|"&amp;28,Students!$O$5:$O$304,0)),"")</f>
        <v/>
      </c>
      <c r="C37" s="16" t="str">
        <f aca="false">IF($B37="","",INDEX(Students!$B$5:$B$304,MATCH($B37,Students!$A$5:$A$304,0)))</f>
        <v/>
      </c>
      <c r="D37" s="19" t="str">
        <f aca="false">IF(OR($B37="",D$9=""),"",IFERROR(AVERAGEIFS(Grades!$I$5:$I$304,Grades!$A$5:$A$304,$B37,Grades!$E$5:$E$304,D$9,Grades!$F$5:$F$304,$C$6),""))</f>
        <v/>
      </c>
      <c r="E37" s="19" t="str">
        <f aca="false">IF(OR($B37="",E$9=""),"",IFERROR(AVERAGEIFS(Grades!$I$5:$I$304,Grades!$A$5:$A$304,$B37,Grades!$E$5:$E$304,E$9,Grades!$F$5:$F$304,$C$6),""))</f>
        <v/>
      </c>
      <c r="F37" s="19" t="str">
        <f aca="false">IF(OR($B37="",F$9=""),"",IFERROR(AVERAGEIFS(Grades!$I$5:$I$304,Grades!$A$5:$A$304,$B37,Grades!$E$5:$E$304,F$9,Grades!$F$5:$F$304,$C$6),""))</f>
        <v/>
      </c>
      <c r="G37" s="19" t="str">
        <f aca="false">IF(OR($B37="",G$9=""),"",IFERROR(AVERAGEIFS(Grades!$I$5:$I$304,Grades!$A$5:$A$304,$B37,Grades!$E$5:$E$304,G$9,Grades!$F$5:$F$304,$C$6),""))</f>
        <v/>
      </c>
      <c r="H37" s="19" t="str">
        <f aca="false">IF(OR($B37="",H$9=""),"",IFERROR(AVERAGEIFS(Grades!$I$5:$I$304,Grades!$A$5:$A$304,$B37,Grades!$E$5:$E$304,H$9,Grades!$F$5:$F$304,$C$6),""))</f>
        <v/>
      </c>
      <c r="I37" s="19" t="str">
        <f aca="false">IF(OR($B37="",I$9=""),"",IFERROR(AVERAGEIFS(Grades!$I$5:$I$304,Grades!$A$5:$A$304,$B37,Grades!$E$5:$E$304,I$9,Grades!$F$5:$F$304,$C$6),""))</f>
        <v/>
      </c>
      <c r="J37" s="19" t="str">
        <f aca="false">IF(OR($B37="",J$9=""),"",IFERROR(AVERAGEIFS(Grades!$I$5:$I$304,Grades!$A$5:$A$304,$B37,Grades!$E$5:$E$304,J$9,Grades!$F$5:$F$304,$C$6),""))</f>
        <v/>
      </c>
      <c r="K37" s="19" t="str">
        <f aca="false">IF(OR($B37="",K$9=""),"",IFERROR(AVERAGEIFS(Grades!$I$5:$I$304,Grades!$A$5:$A$304,$B37,Grades!$E$5:$E$304,K$9,Grades!$F$5:$F$304,$C$6),""))</f>
        <v/>
      </c>
      <c r="L37" s="19" t="str">
        <f aca="false">IF(OR($B37="",L$9=""),"",IFERROR(AVERAGEIFS(Grades!$I$5:$I$304,Grades!$A$5:$A$304,$B37,Grades!$E$5:$E$304,L$9,Grades!$F$5:$F$304,$C$6),""))</f>
        <v/>
      </c>
      <c r="M37" s="19" t="str">
        <f aca="false">IF(OR($B37="",M$9=""),"",IFERROR(AVERAGEIFS(Grades!$I$5:$I$304,Grades!$A$5:$A$304,$B37,Grades!$E$5:$E$304,M$9,Grades!$F$5:$F$304,$C$6),""))</f>
        <v/>
      </c>
      <c r="N37" s="19" t="str">
        <f aca="false">IF(OR($B37="",N$9=""),"",IFERROR(AVERAGEIFS(Grades!$I$5:$I$304,Grades!$A$5:$A$304,$B37,Grades!$E$5:$E$304,N$9,Grades!$F$5:$F$304,$C$6),""))</f>
        <v/>
      </c>
      <c r="O37" s="19" t="str">
        <f aca="false">IF(OR($B37="",O$9=""),"",IFERROR(AVERAGEIFS(Grades!$I$5:$I$304,Grades!$A$5:$A$304,$B37,Grades!$E$5:$E$304,O$9,Grades!$F$5:$F$304,$C$6),""))</f>
        <v/>
      </c>
      <c r="P37" s="19" t="str">
        <f aca="false">IF(COUNT(D37:O37)=0,"",SUM(D37:O37))</f>
        <v/>
      </c>
      <c r="Q37" s="19" t="str">
        <f aca="false">IF(COUNT(D37:O37)=0,"",AVERAGE(D37:O37))</f>
        <v/>
      </c>
      <c r="R37" s="50" t="str">
        <f aca="false">IF(Q37="","",IF(Q37&gt;=Settings!$E$11,Settings!$F$11,IF(Q37&gt;=Settings!$E$12,Settings!$F$12,IF(Q37&gt;=Settings!$E$13,Settings!$F$13,IF(Q37&gt;=Settings!$E$14,Settings!$F$14,Settings!$F$15)))))</f>
        <v/>
      </c>
      <c r="S37" s="17" t="str">
        <f aca="false">IF(Q37="","",RANK(Q37,$Q$10:$Q$49))</f>
        <v/>
      </c>
    </row>
    <row r="38" customFormat="false" ht="19.5" hidden="false" customHeight="true" outlineLevel="0" collapsed="false">
      <c r="A38" s="17" t="str">
        <f aca="false">IF($B38="","",29)</f>
        <v/>
      </c>
      <c r="B38" s="17" t="str">
        <f aca="false">IFERROR(INDEX(Students!$A$5:$A$304,MATCH($C$4&amp;"|"&amp;$C$5&amp;"|"&amp;29,Students!$O$5:$O$304,0)),"")</f>
        <v/>
      </c>
      <c r="C38" s="16" t="str">
        <f aca="false">IF($B38="","",INDEX(Students!$B$5:$B$304,MATCH($B38,Students!$A$5:$A$304,0)))</f>
        <v/>
      </c>
      <c r="D38" s="19" t="str">
        <f aca="false">IF(OR($B38="",D$9=""),"",IFERROR(AVERAGEIFS(Grades!$I$5:$I$304,Grades!$A$5:$A$304,$B38,Grades!$E$5:$E$304,D$9,Grades!$F$5:$F$304,$C$6),""))</f>
        <v/>
      </c>
      <c r="E38" s="19" t="str">
        <f aca="false">IF(OR($B38="",E$9=""),"",IFERROR(AVERAGEIFS(Grades!$I$5:$I$304,Grades!$A$5:$A$304,$B38,Grades!$E$5:$E$304,E$9,Grades!$F$5:$F$304,$C$6),""))</f>
        <v/>
      </c>
      <c r="F38" s="19" t="str">
        <f aca="false">IF(OR($B38="",F$9=""),"",IFERROR(AVERAGEIFS(Grades!$I$5:$I$304,Grades!$A$5:$A$304,$B38,Grades!$E$5:$E$304,F$9,Grades!$F$5:$F$304,$C$6),""))</f>
        <v/>
      </c>
      <c r="G38" s="19" t="str">
        <f aca="false">IF(OR($B38="",G$9=""),"",IFERROR(AVERAGEIFS(Grades!$I$5:$I$304,Grades!$A$5:$A$304,$B38,Grades!$E$5:$E$304,G$9,Grades!$F$5:$F$304,$C$6),""))</f>
        <v/>
      </c>
      <c r="H38" s="19" t="str">
        <f aca="false">IF(OR($B38="",H$9=""),"",IFERROR(AVERAGEIFS(Grades!$I$5:$I$304,Grades!$A$5:$A$304,$B38,Grades!$E$5:$E$304,H$9,Grades!$F$5:$F$304,$C$6),""))</f>
        <v/>
      </c>
      <c r="I38" s="19" t="str">
        <f aca="false">IF(OR($B38="",I$9=""),"",IFERROR(AVERAGEIFS(Grades!$I$5:$I$304,Grades!$A$5:$A$304,$B38,Grades!$E$5:$E$304,I$9,Grades!$F$5:$F$304,$C$6),""))</f>
        <v/>
      </c>
      <c r="J38" s="19" t="str">
        <f aca="false">IF(OR($B38="",J$9=""),"",IFERROR(AVERAGEIFS(Grades!$I$5:$I$304,Grades!$A$5:$A$304,$B38,Grades!$E$5:$E$304,J$9,Grades!$F$5:$F$304,$C$6),""))</f>
        <v/>
      </c>
      <c r="K38" s="19" t="str">
        <f aca="false">IF(OR($B38="",K$9=""),"",IFERROR(AVERAGEIFS(Grades!$I$5:$I$304,Grades!$A$5:$A$304,$B38,Grades!$E$5:$E$304,K$9,Grades!$F$5:$F$304,$C$6),""))</f>
        <v/>
      </c>
      <c r="L38" s="19" t="str">
        <f aca="false">IF(OR($B38="",L$9=""),"",IFERROR(AVERAGEIFS(Grades!$I$5:$I$304,Grades!$A$5:$A$304,$B38,Grades!$E$5:$E$304,L$9,Grades!$F$5:$F$304,$C$6),""))</f>
        <v/>
      </c>
      <c r="M38" s="19" t="str">
        <f aca="false">IF(OR($B38="",M$9=""),"",IFERROR(AVERAGEIFS(Grades!$I$5:$I$304,Grades!$A$5:$A$304,$B38,Grades!$E$5:$E$304,M$9,Grades!$F$5:$F$304,$C$6),""))</f>
        <v/>
      </c>
      <c r="N38" s="19" t="str">
        <f aca="false">IF(OR($B38="",N$9=""),"",IFERROR(AVERAGEIFS(Grades!$I$5:$I$304,Grades!$A$5:$A$304,$B38,Grades!$E$5:$E$304,N$9,Grades!$F$5:$F$304,$C$6),""))</f>
        <v/>
      </c>
      <c r="O38" s="19" t="str">
        <f aca="false">IF(OR($B38="",O$9=""),"",IFERROR(AVERAGEIFS(Grades!$I$5:$I$304,Grades!$A$5:$A$304,$B38,Grades!$E$5:$E$304,O$9,Grades!$F$5:$F$304,$C$6),""))</f>
        <v/>
      </c>
      <c r="P38" s="19" t="str">
        <f aca="false">IF(COUNT(D38:O38)=0,"",SUM(D38:O38))</f>
        <v/>
      </c>
      <c r="Q38" s="19" t="str">
        <f aca="false">IF(COUNT(D38:O38)=0,"",AVERAGE(D38:O38))</f>
        <v/>
      </c>
      <c r="R38" s="50" t="str">
        <f aca="false">IF(Q38="","",IF(Q38&gt;=Settings!$E$11,Settings!$F$11,IF(Q38&gt;=Settings!$E$12,Settings!$F$12,IF(Q38&gt;=Settings!$E$13,Settings!$F$13,IF(Q38&gt;=Settings!$E$14,Settings!$F$14,Settings!$F$15)))))</f>
        <v/>
      </c>
      <c r="S38" s="17" t="str">
        <f aca="false">IF(Q38="","",RANK(Q38,$Q$10:$Q$49))</f>
        <v/>
      </c>
    </row>
    <row r="39" customFormat="false" ht="19.5" hidden="false" customHeight="true" outlineLevel="0" collapsed="false">
      <c r="A39" s="17" t="str">
        <f aca="false">IF($B39="","",30)</f>
        <v/>
      </c>
      <c r="B39" s="17" t="str">
        <f aca="false">IFERROR(INDEX(Students!$A$5:$A$304,MATCH($C$4&amp;"|"&amp;$C$5&amp;"|"&amp;30,Students!$O$5:$O$304,0)),"")</f>
        <v/>
      </c>
      <c r="C39" s="16" t="str">
        <f aca="false">IF($B39="","",INDEX(Students!$B$5:$B$304,MATCH($B39,Students!$A$5:$A$304,0)))</f>
        <v/>
      </c>
      <c r="D39" s="19" t="str">
        <f aca="false">IF(OR($B39="",D$9=""),"",IFERROR(AVERAGEIFS(Grades!$I$5:$I$304,Grades!$A$5:$A$304,$B39,Grades!$E$5:$E$304,D$9,Grades!$F$5:$F$304,$C$6),""))</f>
        <v/>
      </c>
      <c r="E39" s="19" t="str">
        <f aca="false">IF(OR($B39="",E$9=""),"",IFERROR(AVERAGEIFS(Grades!$I$5:$I$304,Grades!$A$5:$A$304,$B39,Grades!$E$5:$E$304,E$9,Grades!$F$5:$F$304,$C$6),""))</f>
        <v/>
      </c>
      <c r="F39" s="19" t="str">
        <f aca="false">IF(OR($B39="",F$9=""),"",IFERROR(AVERAGEIFS(Grades!$I$5:$I$304,Grades!$A$5:$A$304,$B39,Grades!$E$5:$E$304,F$9,Grades!$F$5:$F$304,$C$6),""))</f>
        <v/>
      </c>
      <c r="G39" s="19" t="str">
        <f aca="false">IF(OR($B39="",G$9=""),"",IFERROR(AVERAGEIFS(Grades!$I$5:$I$304,Grades!$A$5:$A$304,$B39,Grades!$E$5:$E$304,G$9,Grades!$F$5:$F$304,$C$6),""))</f>
        <v/>
      </c>
      <c r="H39" s="19" t="str">
        <f aca="false">IF(OR($B39="",H$9=""),"",IFERROR(AVERAGEIFS(Grades!$I$5:$I$304,Grades!$A$5:$A$304,$B39,Grades!$E$5:$E$304,H$9,Grades!$F$5:$F$304,$C$6),""))</f>
        <v/>
      </c>
      <c r="I39" s="19" t="str">
        <f aca="false">IF(OR($B39="",I$9=""),"",IFERROR(AVERAGEIFS(Grades!$I$5:$I$304,Grades!$A$5:$A$304,$B39,Grades!$E$5:$E$304,I$9,Grades!$F$5:$F$304,$C$6),""))</f>
        <v/>
      </c>
      <c r="J39" s="19" t="str">
        <f aca="false">IF(OR($B39="",J$9=""),"",IFERROR(AVERAGEIFS(Grades!$I$5:$I$304,Grades!$A$5:$A$304,$B39,Grades!$E$5:$E$304,J$9,Grades!$F$5:$F$304,$C$6),""))</f>
        <v/>
      </c>
      <c r="K39" s="19" t="str">
        <f aca="false">IF(OR($B39="",K$9=""),"",IFERROR(AVERAGEIFS(Grades!$I$5:$I$304,Grades!$A$5:$A$304,$B39,Grades!$E$5:$E$304,K$9,Grades!$F$5:$F$304,$C$6),""))</f>
        <v/>
      </c>
      <c r="L39" s="19" t="str">
        <f aca="false">IF(OR($B39="",L$9=""),"",IFERROR(AVERAGEIFS(Grades!$I$5:$I$304,Grades!$A$5:$A$304,$B39,Grades!$E$5:$E$304,L$9,Grades!$F$5:$F$304,$C$6),""))</f>
        <v/>
      </c>
      <c r="M39" s="19" t="str">
        <f aca="false">IF(OR($B39="",M$9=""),"",IFERROR(AVERAGEIFS(Grades!$I$5:$I$304,Grades!$A$5:$A$304,$B39,Grades!$E$5:$E$304,M$9,Grades!$F$5:$F$304,$C$6),""))</f>
        <v/>
      </c>
      <c r="N39" s="19" t="str">
        <f aca="false">IF(OR($B39="",N$9=""),"",IFERROR(AVERAGEIFS(Grades!$I$5:$I$304,Grades!$A$5:$A$304,$B39,Grades!$E$5:$E$304,N$9,Grades!$F$5:$F$304,$C$6),""))</f>
        <v/>
      </c>
      <c r="O39" s="19" t="str">
        <f aca="false">IF(OR($B39="",O$9=""),"",IFERROR(AVERAGEIFS(Grades!$I$5:$I$304,Grades!$A$5:$A$304,$B39,Grades!$E$5:$E$304,O$9,Grades!$F$5:$F$304,$C$6),""))</f>
        <v/>
      </c>
      <c r="P39" s="19" t="str">
        <f aca="false">IF(COUNT(D39:O39)=0,"",SUM(D39:O39))</f>
        <v/>
      </c>
      <c r="Q39" s="19" t="str">
        <f aca="false">IF(COUNT(D39:O39)=0,"",AVERAGE(D39:O39))</f>
        <v/>
      </c>
      <c r="R39" s="50" t="str">
        <f aca="false">IF(Q39="","",IF(Q39&gt;=Settings!$E$11,Settings!$F$11,IF(Q39&gt;=Settings!$E$12,Settings!$F$12,IF(Q39&gt;=Settings!$E$13,Settings!$F$13,IF(Q39&gt;=Settings!$E$14,Settings!$F$14,Settings!$F$15)))))</f>
        <v/>
      </c>
      <c r="S39" s="17" t="str">
        <f aca="false">IF(Q39="","",RANK(Q39,$Q$10:$Q$49))</f>
        <v/>
      </c>
    </row>
    <row r="40" customFormat="false" ht="19.5" hidden="false" customHeight="true" outlineLevel="0" collapsed="false">
      <c r="A40" s="17" t="str">
        <f aca="false">IF($B40="","",31)</f>
        <v/>
      </c>
      <c r="B40" s="17" t="str">
        <f aca="false">IFERROR(INDEX(Students!$A$5:$A$304,MATCH($C$4&amp;"|"&amp;$C$5&amp;"|"&amp;31,Students!$O$5:$O$304,0)),"")</f>
        <v/>
      </c>
      <c r="C40" s="16" t="str">
        <f aca="false">IF($B40="","",INDEX(Students!$B$5:$B$304,MATCH($B40,Students!$A$5:$A$304,0)))</f>
        <v/>
      </c>
      <c r="D40" s="19" t="str">
        <f aca="false">IF(OR($B40="",D$9=""),"",IFERROR(AVERAGEIFS(Grades!$I$5:$I$304,Grades!$A$5:$A$304,$B40,Grades!$E$5:$E$304,D$9,Grades!$F$5:$F$304,$C$6),""))</f>
        <v/>
      </c>
      <c r="E40" s="19" t="str">
        <f aca="false">IF(OR($B40="",E$9=""),"",IFERROR(AVERAGEIFS(Grades!$I$5:$I$304,Grades!$A$5:$A$304,$B40,Grades!$E$5:$E$304,E$9,Grades!$F$5:$F$304,$C$6),""))</f>
        <v/>
      </c>
      <c r="F40" s="19" t="str">
        <f aca="false">IF(OR($B40="",F$9=""),"",IFERROR(AVERAGEIFS(Grades!$I$5:$I$304,Grades!$A$5:$A$304,$B40,Grades!$E$5:$E$304,F$9,Grades!$F$5:$F$304,$C$6),""))</f>
        <v/>
      </c>
      <c r="G40" s="19" t="str">
        <f aca="false">IF(OR($B40="",G$9=""),"",IFERROR(AVERAGEIFS(Grades!$I$5:$I$304,Grades!$A$5:$A$304,$B40,Grades!$E$5:$E$304,G$9,Grades!$F$5:$F$304,$C$6),""))</f>
        <v/>
      </c>
      <c r="H40" s="19" t="str">
        <f aca="false">IF(OR($B40="",H$9=""),"",IFERROR(AVERAGEIFS(Grades!$I$5:$I$304,Grades!$A$5:$A$304,$B40,Grades!$E$5:$E$304,H$9,Grades!$F$5:$F$304,$C$6),""))</f>
        <v/>
      </c>
      <c r="I40" s="19" t="str">
        <f aca="false">IF(OR($B40="",I$9=""),"",IFERROR(AVERAGEIFS(Grades!$I$5:$I$304,Grades!$A$5:$A$304,$B40,Grades!$E$5:$E$304,I$9,Grades!$F$5:$F$304,$C$6),""))</f>
        <v/>
      </c>
      <c r="J40" s="19" t="str">
        <f aca="false">IF(OR($B40="",J$9=""),"",IFERROR(AVERAGEIFS(Grades!$I$5:$I$304,Grades!$A$5:$A$304,$B40,Grades!$E$5:$E$304,J$9,Grades!$F$5:$F$304,$C$6),""))</f>
        <v/>
      </c>
      <c r="K40" s="19" t="str">
        <f aca="false">IF(OR($B40="",K$9=""),"",IFERROR(AVERAGEIFS(Grades!$I$5:$I$304,Grades!$A$5:$A$304,$B40,Grades!$E$5:$E$304,K$9,Grades!$F$5:$F$304,$C$6),""))</f>
        <v/>
      </c>
      <c r="L40" s="19" t="str">
        <f aca="false">IF(OR($B40="",L$9=""),"",IFERROR(AVERAGEIFS(Grades!$I$5:$I$304,Grades!$A$5:$A$304,$B40,Grades!$E$5:$E$304,L$9,Grades!$F$5:$F$304,$C$6),""))</f>
        <v/>
      </c>
      <c r="M40" s="19" t="str">
        <f aca="false">IF(OR($B40="",M$9=""),"",IFERROR(AVERAGEIFS(Grades!$I$5:$I$304,Grades!$A$5:$A$304,$B40,Grades!$E$5:$E$304,M$9,Grades!$F$5:$F$304,$C$6),""))</f>
        <v/>
      </c>
      <c r="N40" s="19" t="str">
        <f aca="false">IF(OR($B40="",N$9=""),"",IFERROR(AVERAGEIFS(Grades!$I$5:$I$304,Grades!$A$5:$A$304,$B40,Grades!$E$5:$E$304,N$9,Grades!$F$5:$F$304,$C$6),""))</f>
        <v/>
      </c>
      <c r="O40" s="19" t="str">
        <f aca="false">IF(OR($B40="",O$9=""),"",IFERROR(AVERAGEIFS(Grades!$I$5:$I$304,Grades!$A$5:$A$304,$B40,Grades!$E$5:$E$304,O$9,Grades!$F$5:$F$304,$C$6),""))</f>
        <v/>
      </c>
      <c r="P40" s="19" t="str">
        <f aca="false">IF(COUNT(D40:O40)=0,"",SUM(D40:O40))</f>
        <v/>
      </c>
      <c r="Q40" s="19" t="str">
        <f aca="false">IF(COUNT(D40:O40)=0,"",AVERAGE(D40:O40))</f>
        <v/>
      </c>
      <c r="R40" s="50" t="str">
        <f aca="false">IF(Q40="","",IF(Q40&gt;=Settings!$E$11,Settings!$F$11,IF(Q40&gt;=Settings!$E$12,Settings!$F$12,IF(Q40&gt;=Settings!$E$13,Settings!$F$13,IF(Q40&gt;=Settings!$E$14,Settings!$F$14,Settings!$F$15)))))</f>
        <v/>
      </c>
      <c r="S40" s="17" t="str">
        <f aca="false">IF(Q40="","",RANK(Q40,$Q$10:$Q$49))</f>
        <v/>
      </c>
    </row>
    <row r="41" customFormat="false" ht="19.5" hidden="false" customHeight="true" outlineLevel="0" collapsed="false">
      <c r="A41" s="17" t="str">
        <f aca="false">IF($B41="","",32)</f>
        <v/>
      </c>
      <c r="B41" s="17" t="str">
        <f aca="false">IFERROR(INDEX(Students!$A$5:$A$304,MATCH($C$4&amp;"|"&amp;$C$5&amp;"|"&amp;32,Students!$O$5:$O$304,0)),"")</f>
        <v/>
      </c>
      <c r="C41" s="16" t="str">
        <f aca="false">IF($B41="","",INDEX(Students!$B$5:$B$304,MATCH($B41,Students!$A$5:$A$304,0)))</f>
        <v/>
      </c>
      <c r="D41" s="19" t="str">
        <f aca="false">IF(OR($B41="",D$9=""),"",IFERROR(AVERAGEIFS(Grades!$I$5:$I$304,Grades!$A$5:$A$304,$B41,Grades!$E$5:$E$304,D$9,Grades!$F$5:$F$304,$C$6),""))</f>
        <v/>
      </c>
      <c r="E41" s="19" t="str">
        <f aca="false">IF(OR($B41="",E$9=""),"",IFERROR(AVERAGEIFS(Grades!$I$5:$I$304,Grades!$A$5:$A$304,$B41,Grades!$E$5:$E$304,E$9,Grades!$F$5:$F$304,$C$6),""))</f>
        <v/>
      </c>
      <c r="F41" s="19" t="str">
        <f aca="false">IF(OR($B41="",F$9=""),"",IFERROR(AVERAGEIFS(Grades!$I$5:$I$304,Grades!$A$5:$A$304,$B41,Grades!$E$5:$E$304,F$9,Grades!$F$5:$F$304,$C$6),""))</f>
        <v/>
      </c>
      <c r="G41" s="19" t="str">
        <f aca="false">IF(OR($B41="",G$9=""),"",IFERROR(AVERAGEIFS(Grades!$I$5:$I$304,Grades!$A$5:$A$304,$B41,Grades!$E$5:$E$304,G$9,Grades!$F$5:$F$304,$C$6),""))</f>
        <v/>
      </c>
      <c r="H41" s="19" t="str">
        <f aca="false">IF(OR($B41="",H$9=""),"",IFERROR(AVERAGEIFS(Grades!$I$5:$I$304,Grades!$A$5:$A$304,$B41,Grades!$E$5:$E$304,H$9,Grades!$F$5:$F$304,$C$6),""))</f>
        <v/>
      </c>
      <c r="I41" s="19" t="str">
        <f aca="false">IF(OR($B41="",I$9=""),"",IFERROR(AVERAGEIFS(Grades!$I$5:$I$304,Grades!$A$5:$A$304,$B41,Grades!$E$5:$E$304,I$9,Grades!$F$5:$F$304,$C$6),""))</f>
        <v/>
      </c>
      <c r="J41" s="19" t="str">
        <f aca="false">IF(OR($B41="",J$9=""),"",IFERROR(AVERAGEIFS(Grades!$I$5:$I$304,Grades!$A$5:$A$304,$B41,Grades!$E$5:$E$304,J$9,Grades!$F$5:$F$304,$C$6),""))</f>
        <v/>
      </c>
      <c r="K41" s="19" t="str">
        <f aca="false">IF(OR($B41="",K$9=""),"",IFERROR(AVERAGEIFS(Grades!$I$5:$I$304,Grades!$A$5:$A$304,$B41,Grades!$E$5:$E$304,K$9,Grades!$F$5:$F$304,$C$6),""))</f>
        <v/>
      </c>
      <c r="L41" s="19" t="str">
        <f aca="false">IF(OR($B41="",L$9=""),"",IFERROR(AVERAGEIFS(Grades!$I$5:$I$304,Grades!$A$5:$A$304,$B41,Grades!$E$5:$E$304,L$9,Grades!$F$5:$F$304,$C$6),""))</f>
        <v/>
      </c>
      <c r="M41" s="19" t="str">
        <f aca="false">IF(OR($B41="",M$9=""),"",IFERROR(AVERAGEIFS(Grades!$I$5:$I$304,Grades!$A$5:$A$304,$B41,Grades!$E$5:$E$304,M$9,Grades!$F$5:$F$304,$C$6),""))</f>
        <v/>
      </c>
      <c r="N41" s="19" t="str">
        <f aca="false">IF(OR($B41="",N$9=""),"",IFERROR(AVERAGEIFS(Grades!$I$5:$I$304,Grades!$A$5:$A$304,$B41,Grades!$E$5:$E$304,N$9,Grades!$F$5:$F$304,$C$6),""))</f>
        <v/>
      </c>
      <c r="O41" s="19" t="str">
        <f aca="false">IF(OR($B41="",O$9=""),"",IFERROR(AVERAGEIFS(Grades!$I$5:$I$304,Grades!$A$5:$A$304,$B41,Grades!$E$5:$E$304,O$9,Grades!$F$5:$F$304,$C$6),""))</f>
        <v/>
      </c>
      <c r="P41" s="19" t="str">
        <f aca="false">IF(COUNT(D41:O41)=0,"",SUM(D41:O41))</f>
        <v/>
      </c>
      <c r="Q41" s="19" t="str">
        <f aca="false">IF(COUNT(D41:O41)=0,"",AVERAGE(D41:O41))</f>
        <v/>
      </c>
      <c r="R41" s="50" t="str">
        <f aca="false">IF(Q41="","",IF(Q41&gt;=Settings!$E$11,Settings!$F$11,IF(Q41&gt;=Settings!$E$12,Settings!$F$12,IF(Q41&gt;=Settings!$E$13,Settings!$F$13,IF(Q41&gt;=Settings!$E$14,Settings!$F$14,Settings!$F$15)))))</f>
        <v/>
      </c>
      <c r="S41" s="17" t="str">
        <f aca="false">IF(Q41="","",RANK(Q41,$Q$10:$Q$49))</f>
        <v/>
      </c>
    </row>
    <row r="42" customFormat="false" ht="19.5" hidden="false" customHeight="true" outlineLevel="0" collapsed="false">
      <c r="A42" s="17" t="str">
        <f aca="false">IF($B42="","",33)</f>
        <v/>
      </c>
      <c r="B42" s="17" t="str">
        <f aca="false">IFERROR(INDEX(Students!$A$5:$A$304,MATCH($C$4&amp;"|"&amp;$C$5&amp;"|"&amp;33,Students!$O$5:$O$304,0)),"")</f>
        <v/>
      </c>
      <c r="C42" s="16" t="str">
        <f aca="false">IF($B42="","",INDEX(Students!$B$5:$B$304,MATCH($B42,Students!$A$5:$A$304,0)))</f>
        <v/>
      </c>
      <c r="D42" s="19" t="str">
        <f aca="false">IF(OR($B42="",D$9=""),"",IFERROR(AVERAGEIFS(Grades!$I$5:$I$304,Grades!$A$5:$A$304,$B42,Grades!$E$5:$E$304,D$9,Grades!$F$5:$F$304,$C$6),""))</f>
        <v/>
      </c>
      <c r="E42" s="19" t="str">
        <f aca="false">IF(OR($B42="",E$9=""),"",IFERROR(AVERAGEIFS(Grades!$I$5:$I$304,Grades!$A$5:$A$304,$B42,Grades!$E$5:$E$304,E$9,Grades!$F$5:$F$304,$C$6),""))</f>
        <v/>
      </c>
      <c r="F42" s="19" t="str">
        <f aca="false">IF(OR($B42="",F$9=""),"",IFERROR(AVERAGEIFS(Grades!$I$5:$I$304,Grades!$A$5:$A$304,$B42,Grades!$E$5:$E$304,F$9,Grades!$F$5:$F$304,$C$6),""))</f>
        <v/>
      </c>
      <c r="G42" s="19" t="str">
        <f aca="false">IF(OR($B42="",G$9=""),"",IFERROR(AVERAGEIFS(Grades!$I$5:$I$304,Grades!$A$5:$A$304,$B42,Grades!$E$5:$E$304,G$9,Grades!$F$5:$F$304,$C$6),""))</f>
        <v/>
      </c>
      <c r="H42" s="19" t="str">
        <f aca="false">IF(OR($B42="",H$9=""),"",IFERROR(AVERAGEIFS(Grades!$I$5:$I$304,Grades!$A$5:$A$304,$B42,Grades!$E$5:$E$304,H$9,Grades!$F$5:$F$304,$C$6),""))</f>
        <v/>
      </c>
      <c r="I42" s="19" t="str">
        <f aca="false">IF(OR($B42="",I$9=""),"",IFERROR(AVERAGEIFS(Grades!$I$5:$I$304,Grades!$A$5:$A$304,$B42,Grades!$E$5:$E$304,I$9,Grades!$F$5:$F$304,$C$6),""))</f>
        <v/>
      </c>
      <c r="J42" s="19" t="str">
        <f aca="false">IF(OR($B42="",J$9=""),"",IFERROR(AVERAGEIFS(Grades!$I$5:$I$304,Grades!$A$5:$A$304,$B42,Grades!$E$5:$E$304,J$9,Grades!$F$5:$F$304,$C$6),""))</f>
        <v/>
      </c>
      <c r="K42" s="19" t="str">
        <f aca="false">IF(OR($B42="",K$9=""),"",IFERROR(AVERAGEIFS(Grades!$I$5:$I$304,Grades!$A$5:$A$304,$B42,Grades!$E$5:$E$304,K$9,Grades!$F$5:$F$304,$C$6),""))</f>
        <v/>
      </c>
      <c r="L42" s="19" t="str">
        <f aca="false">IF(OR($B42="",L$9=""),"",IFERROR(AVERAGEIFS(Grades!$I$5:$I$304,Grades!$A$5:$A$304,$B42,Grades!$E$5:$E$304,L$9,Grades!$F$5:$F$304,$C$6),""))</f>
        <v/>
      </c>
      <c r="M42" s="19" t="str">
        <f aca="false">IF(OR($B42="",M$9=""),"",IFERROR(AVERAGEIFS(Grades!$I$5:$I$304,Grades!$A$5:$A$304,$B42,Grades!$E$5:$E$304,M$9,Grades!$F$5:$F$304,$C$6),""))</f>
        <v/>
      </c>
      <c r="N42" s="19" t="str">
        <f aca="false">IF(OR($B42="",N$9=""),"",IFERROR(AVERAGEIFS(Grades!$I$5:$I$304,Grades!$A$5:$A$304,$B42,Grades!$E$5:$E$304,N$9,Grades!$F$5:$F$304,$C$6),""))</f>
        <v/>
      </c>
      <c r="O42" s="19" t="str">
        <f aca="false">IF(OR($B42="",O$9=""),"",IFERROR(AVERAGEIFS(Grades!$I$5:$I$304,Grades!$A$5:$A$304,$B42,Grades!$E$5:$E$304,O$9,Grades!$F$5:$F$304,$C$6),""))</f>
        <v/>
      </c>
      <c r="P42" s="19" t="str">
        <f aca="false">IF(COUNT(D42:O42)=0,"",SUM(D42:O42))</f>
        <v/>
      </c>
      <c r="Q42" s="19" t="str">
        <f aca="false">IF(COUNT(D42:O42)=0,"",AVERAGE(D42:O42))</f>
        <v/>
      </c>
      <c r="R42" s="50" t="str">
        <f aca="false">IF(Q42="","",IF(Q42&gt;=Settings!$E$11,Settings!$F$11,IF(Q42&gt;=Settings!$E$12,Settings!$F$12,IF(Q42&gt;=Settings!$E$13,Settings!$F$13,IF(Q42&gt;=Settings!$E$14,Settings!$F$14,Settings!$F$15)))))</f>
        <v/>
      </c>
      <c r="S42" s="17" t="str">
        <f aca="false">IF(Q42="","",RANK(Q42,$Q$10:$Q$49))</f>
        <v/>
      </c>
    </row>
    <row r="43" customFormat="false" ht="19.5" hidden="false" customHeight="true" outlineLevel="0" collapsed="false">
      <c r="A43" s="17" t="str">
        <f aca="false">IF($B43="","",34)</f>
        <v/>
      </c>
      <c r="B43" s="17" t="str">
        <f aca="false">IFERROR(INDEX(Students!$A$5:$A$304,MATCH($C$4&amp;"|"&amp;$C$5&amp;"|"&amp;34,Students!$O$5:$O$304,0)),"")</f>
        <v/>
      </c>
      <c r="C43" s="16" t="str">
        <f aca="false">IF($B43="","",INDEX(Students!$B$5:$B$304,MATCH($B43,Students!$A$5:$A$304,0)))</f>
        <v/>
      </c>
      <c r="D43" s="19" t="str">
        <f aca="false">IF(OR($B43="",D$9=""),"",IFERROR(AVERAGEIFS(Grades!$I$5:$I$304,Grades!$A$5:$A$304,$B43,Grades!$E$5:$E$304,D$9,Grades!$F$5:$F$304,$C$6),""))</f>
        <v/>
      </c>
      <c r="E43" s="19" t="str">
        <f aca="false">IF(OR($B43="",E$9=""),"",IFERROR(AVERAGEIFS(Grades!$I$5:$I$304,Grades!$A$5:$A$304,$B43,Grades!$E$5:$E$304,E$9,Grades!$F$5:$F$304,$C$6),""))</f>
        <v/>
      </c>
      <c r="F43" s="19" t="str">
        <f aca="false">IF(OR($B43="",F$9=""),"",IFERROR(AVERAGEIFS(Grades!$I$5:$I$304,Grades!$A$5:$A$304,$B43,Grades!$E$5:$E$304,F$9,Grades!$F$5:$F$304,$C$6),""))</f>
        <v/>
      </c>
      <c r="G43" s="19" t="str">
        <f aca="false">IF(OR($B43="",G$9=""),"",IFERROR(AVERAGEIFS(Grades!$I$5:$I$304,Grades!$A$5:$A$304,$B43,Grades!$E$5:$E$304,G$9,Grades!$F$5:$F$304,$C$6),""))</f>
        <v/>
      </c>
      <c r="H43" s="19" t="str">
        <f aca="false">IF(OR($B43="",H$9=""),"",IFERROR(AVERAGEIFS(Grades!$I$5:$I$304,Grades!$A$5:$A$304,$B43,Grades!$E$5:$E$304,H$9,Grades!$F$5:$F$304,$C$6),""))</f>
        <v/>
      </c>
      <c r="I43" s="19" t="str">
        <f aca="false">IF(OR($B43="",I$9=""),"",IFERROR(AVERAGEIFS(Grades!$I$5:$I$304,Grades!$A$5:$A$304,$B43,Grades!$E$5:$E$304,I$9,Grades!$F$5:$F$304,$C$6),""))</f>
        <v/>
      </c>
      <c r="J43" s="19" t="str">
        <f aca="false">IF(OR($B43="",J$9=""),"",IFERROR(AVERAGEIFS(Grades!$I$5:$I$304,Grades!$A$5:$A$304,$B43,Grades!$E$5:$E$304,J$9,Grades!$F$5:$F$304,$C$6),""))</f>
        <v/>
      </c>
      <c r="K43" s="19" t="str">
        <f aca="false">IF(OR($B43="",K$9=""),"",IFERROR(AVERAGEIFS(Grades!$I$5:$I$304,Grades!$A$5:$A$304,$B43,Grades!$E$5:$E$304,K$9,Grades!$F$5:$F$304,$C$6),""))</f>
        <v/>
      </c>
      <c r="L43" s="19" t="str">
        <f aca="false">IF(OR($B43="",L$9=""),"",IFERROR(AVERAGEIFS(Grades!$I$5:$I$304,Grades!$A$5:$A$304,$B43,Grades!$E$5:$E$304,L$9,Grades!$F$5:$F$304,$C$6),""))</f>
        <v/>
      </c>
      <c r="M43" s="19" t="str">
        <f aca="false">IF(OR($B43="",M$9=""),"",IFERROR(AVERAGEIFS(Grades!$I$5:$I$304,Grades!$A$5:$A$304,$B43,Grades!$E$5:$E$304,M$9,Grades!$F$5:$F$304,$C$6),""))</f>
        <v/>
      </c>
      <c r="N43" s="19" t="str">
        <f aca="false">IF(OR($B43="",N$9=""),"",IFERROR(AVERAGEIFS(Grades!$I$5:$I$304,Grades!$A$5:$A$304,$B43,Grades!$E$5:$E$304,N$9,Grades!$F$5:$F$304,$C$6),""))</f>
        <v/>
      </c>
      <c r="O43" s="19" t="str">
        <f aca="false">IF(OR($B43="",O$9=""),"",IFERROR(AVERAGEIFS(Grades!$I$5:$I$304,Grades!$A$5:$A$304,$B43,Grades!$E$5:$E$304,O$9,Grades!$F$5:$F$304,$C$6),""))</f>
        <v/>
      </c>
      <c r="P43" s="19" t="str">
        <f aca="false">IF(COUNT(D43:O43)=0,"",SUM(D43:O43))</f>
        <v/>
      </c>
      <c r="Q43" s="19" t="str">
        <f aca="false">IF(COUNT(D43:O43)=0,"",AVERAGE(D43:O43))</f>
        <v/>
      </c>
      <c r="R43" s="50" t="str">
        <f aca="false">IF(Q43="","",IF(Q43&gt;=Settings!$E$11,Settings!$F$11,IF(Q43&gt;=Settings!$E$12,Settings!$F$12,IF(Q43&gt;=Settings!$E$13,Settings!$F$13,IF(Q43&gt;=Settings!$E$14,Settings!$F$14,Settings!$F$15)))))</f>
        <v/>
      </c>
      <c r="S43" s="17" t="str">
        <f aca="false">IF(Q43="","",RANK(Q43,$Q$10:$Q$49))</f>
        <v/>
      </c>
    </row>
    <row r="44" customFormat="false" ht="19.5" hidden="false" customHeight="true" outlineLevel="0" collapsed="false">
      <c r="A44" s="17" t="str">
        <f aca="false">IF($B44="","",35)</f>
        <v/>
      </c>
      <c r="B44" s="17" t="str">
        <f aca="false">IFERROR(INDEX(Students!$A$5:$A$304,MATCH($C$4&amp;"|"&amp;$C$5&amp;"|"&amp;35,Students!$O$5:$O$304,0)),"")</f>
        <v/>
      </c>
      <c r="C44" s="16" t="str">
        <f aca="false">IF($B44="","",INDEX(Students!$B$5:$B$304,MATCH($B44,Students!$A$5:$A$304,0)))</f>
        <v/>
      </c>
      <c r="D44" s="19" t="str">
        <f aca="false">IF(OR($B44="",D$9=""),"",IFERROR(AVERAGEIFS(Grades!$I$5:$I$304,Grades!$A$5:$A$304,$B44,Grades!$E$5:$E$304,D$9,Grades!$F$5:$F$304,$C$6),""))</f>
        <v/>
      </c>
      <c r="E44" s="19" t="str">
        <f aca="false">IF(OR($B44="",E$9=""),"",IFERROR(AVERAGEIFS(Grades!$I$5:$I$304,Grades!$A$5:$A$304,$B44,Grades!$E$5:$E$304,E$9,Grades!$F$5:$F$304,$C$6),""))</f>
        <v/>
      </c>
      <c r="F44" s="19" t="str">
        <f aca="false">IF(OR($B44="",F$9=""),"",IFERROR(AVERAGEIFS(Grades!$I$5:$I$304,Grades!$A$5:$A$304,$B44,Grades!$E$5:$E$304,F$9,Grades!$F$5:$F$304,$C$6),""))</f>
        <v/>
      </c>
      <c r="G44" s="19" t="str">
        <f aca="false">IF(OR($B44="",G$9=""),"",IFERROR(AVERAGEIFS(Grades!$I$5:$I$304,Grades!$A$5:$A$304,$B44,Grades!$E$5:$E$304,G$9,Grades!$F$5:$F$304,$C$6),""))</f>
        <v/>
      </c>
      <c r="H44" s="19" t="str">
        <f aca="false">IF(OR($B44="",H$9=""),"",IFERROR(AVERAGEIFS(Grades!$I$5:$I$304,Grades!$A$5:$A$304,$B44,Grades!$E$5:$E$304,H$9,Grades!$F$5:$F$304,$C$6),""))</f>
        <v/>
      </c>
      <c r="I44" s="19" t="str">
        <f aca="false">IF(OR($B44="",I$9=""),"",IFERROR(AVERAGEIFS(Grades!$I$5:$I$304,Grades!$A$5:$A$304,$B44,Grades!$E$5:$E$304,I$9,Grades!$F$5:$F$304,$C$6),""))</f>
        <v/>
      </c>
      <c r="J44" s="19" t="str">
        <f aca="false">IF(OR($B44="",J$9=""),"",IFERROR(AVERAGEIFS(Grades!$I$5:$I$304,Grades!$A$5:$A$304,$B44,Grades!$E$5:$E$304,J$9,Grades!$F$5:$F$304,$C$6),""))</f>
        <v/>
      </c>
      <c r="K44" s="19" t="str">
        <f aca="false">IF(OR($B44="",K$9=""),"",IFERROR(AVERAGEIFS(Grades!$I$5:$I$304,Grades!$A$5:$A$304,$B44,Grades!$E$5:$E$304,K$9,Grades!$F$5:$F$304,$C$6),""))</f>
        <v/>
      </c>
      <c r="L44" s="19" t="str">
        <f aca="false">IF(OR($B44="",L$9=""),"",IFERROR(AVERAGEIFS(Grades!$I$5:$I$304,Grades!$A$5:$A$304,$B44,Grades!$E$5:$E$304,L$9,Grades!$F$5:$F$304,$C$6),""))</f>
        <v/>
      </c>
      <c r="M44" s="19" t="str">
        <f aca="false">IF(OR($B44="",M$9=""),"",IFERROR(AVERAGEIFS(Grades!$I$5:$I$304,Grades!$A$5:$A$304,$B44,Grades!$E$5:$E$304,M$9,Grades!$F$5:$F$304,$C$6),""))</f>
        <v/>
      </c>
      <c r="N44" s="19" t="str">
        <f aca="false">IF(OR($B44="",N$9=""),"",IFERROR(AVERAGEIFS(Grades!$I$5:$I$304,Grades!$A$5:$A$304,$B44,Grades!$E$5:$E$304,N$9,Grades!$F$5:$F$304,$C$6),""))</f>
        <v/>
      </c>
      <c r="O44" s="19" t="str">
        <f aca="false">IF(OR($B44="",O$9=""),"",IFERROR(AVERAGEIFS(Grades!$I$5:$I$304,Grades!$A$5:$A$304,$B44,Grades!$E$5:$E$304,O$9,Grades!$F$5:$F$304,$C$6),""))</f>
        <v/>
      </c>
      <c r="P44" s="19" t="str">
        <f aca="false">IF(COUNT(D44:O44)=0,"",SUM(D44:O44))</f>
        <v/>
      </c>
      <c r="Q44" s="19" t="str">
        <f aca="false">IF(COUNT(D44:O44)=0,"",AVERAGE(D44:O44))</f>
        <v/>
      </c>
      <c r="R44" s="50" t="str">
        <f aca="false">IF(Q44="","",IF(Q44&gt;=Settings!$E$11,Settings!$F$11,IF(Q44&gt;=Settings!$E$12,Settings!$F$12,IF(Q44&gt;=Settings!$E$13,Settings!$F$13,IF(Q44&gt;=Settings!$E$14,Settings!$F$14,Settings!$F$15)))))</f>
        <v/>
      </c>
      <c r="S44" s="17" t="str">
        <f aca="false">IF(Q44="","",RANK(Q44,$Q$10:$Q$49))</f>
        <v/>
      </c>
    </row>
    <row r="45" customFormat="false" ht="19.5" hidden="false" customHeight="true" outlineLevel="0" collapsed="false">
      <c r="A45" s="17" t="str">
        <f aca="false">IF($B45="","",36)</f>
        <v/>
      </c>
      <c r="B45" s="17" t="str">
        <f aca="false">IFERROR(INDEX(Students!$A$5:$A$304,MATCH($C$4&amp;"|"&amp;$C$5&amp;"|"&amp;36,Students!$O$5:$O$304,0)),"")</f>
        <v/>
      </c>
      <c r="C45" s="16" t="str">
        <f aca="false">IF($B45="","",INDEX(Students!$B$5:$B$304,MATCH($B45,Students!$A$5:$A$304,0)))</f>
        <v/>
      </c>
      <c r="D45" s="19" t="str">
        <f aca="false">IF(OR($B45="",D$9=""),"",IFERROR(AVERAGEIFS(Grades!$I$5:$I$304,Grades!$A$5:$A$304,$B45,Grades!$E$5:$E$304,D$9,Grades!$F$5:$F$304,$C$6),""))</f>
        <v/>
      </c>
      <c r="E45" s="19" t="str">
        <f aca="false">IF(OR($B45="",E$9=""),"",IFERROR(AVERAGEIFS(Grades!$I$5:$I$304,Grades!$A$5:$A$304,$B45,Grades!$E$5:$E$304,E$9,Grades!$F$5:$F$304,$C$6),""))</f>
        <v/>
      </c>
      <c r="F45" s="19" t="str">
        <f aca="false">IF(OR($B45="",F$9=""),"",IFERROR(AVERAGEIFS(Grades!$I$5:$I$304,Grades!$A$5:$A$304,$B45,Grades!$E$5:$E$304,F$9,Grades!$F$5:$F$304,$C$6),""))</f>
        <v/>
      </c>
      <c r="G45" s="19" t="str">
        <f aca="false">IF(OR($B45="",G$9=""),"",IFERROR(AVERAGEIFS(Grades!$I$5:$I$304,Grades!$A$5:$A$304,$B45,Grades!$E$5:$E$304,G$9,Grades!$F$5:$F$304,$C$6),""))</f>
        <v/>
      </c>
      <c r="H45" s="19" t="str">
        <f aca="false">IF(OR($B45="",H$9=""),"",IFERROR(AVERAGEIFS(Grades!$I$5:$I$304,Grades!$A$5:$A$304,$B45,Grades!$E$5:$E$304,H$9,Grades!$F$5:$F$304,$C$6),""))</f>
        <v/>
      </c>
      <c r="I45" s="19" t="str">
        <f aca="false">IF(OR($B45="",I$9=""),"",IFERROR(AVERAGEIFS(Grades!$I$5:$I$304,Grades!$A$5:$A$304,$B45,Grades!$E$5:$E$304,I$9,Grades!$F$5:$F$304,$C$6),""))</f>
        <v/>
      </c>
      <c r="J45" s="19" t="str">
        <f aca="false">IF(OR($B45="",J$9=""),"",IFERROR(AVERAGEIFS(Grades!$I$5:$I$304,Grades!$A$5:$A$304,$B45,Grades!$E$5:$E$304,J$9,Grades!$F$5:$F$304,$C$6),""))</f>
        <v/>
      </c>
      <c r="K45" s="19" t="str">
        <f aca="false">IF(OR($B45="",K$9=""),"",IFERROR(AVERAGEIFS(Grades!$I$5:$I$304,Grades!$A$5:$A$304,$B45,Grades!$E$5:$E$304,K$9,Grades!$F$5:$F$304,$C$6),""))</f>
        <v/>
      </c>
      <c r="L45" s="19" t="str">
        <f aca="false">IF(OR($B45="",L$9=""),"",IFERROR(AVERAGEIFS(Grades!$I$5:$I$304,Grades!$A$5:$A$304,$B45,Grades!$E$5:$E$304,L$9,Grades!$F$5:$F$304,$C$6),""))</f>
        <v/>
      </c>
      <c r="M45" s="19" t="str">
        <f aca="false">IF(OR($B45="",M$9=""),"",IFERROR(AVERAGEIFS(Grades!$I$5:$I$304,Grades!$A$5:$A$304,$B45,Grades!$E$5:$E$304,M$9,Grades!$F$5:$F$304,$C$6),""))</f>
        <v/>
      </c>
      <c r="N45" s="19" t="str">
        <f aca="false">IF(OR($B45="",N$9=""),"",IFERROR(AVERAGEIFS(Grades!$I$5:$I$304,Grades!$A$5:$A$304,$B45,Grades!$E$5:$E$304,N$9,Grades!$F$5:$F$304,$C$6),""))</f>
        <v/>
      </c>
      <c r="O45" s="19" t="str">
        <f aca="false">IF(OR($B45="",O$9=""),"",IFERROR(AVERAGEIFS(Grades!$I$5:$I$304,Grades!$A$5:$A$304,$B45,Grades!$E$5:$E$304,O$9,Grades!$F$5:$F$304,$C$6),""))</f>
        <v/>
      </c>
      <c r="P45" s="19" t="str">
        <f aca="false">IF(COUNT(D45:O45)=0,"",SUM(D45:O45))</f>
        <v/>
      </c>
      <c r="Q45" s="19" t="str">
        <f aca="false">IF(COUNT(D45:O45)=0,"",AVERAGE(D45:O45))</f>
        <v/>
      </c>
      <c r="R45" s="50" t="str">
        <f aca="false">IF(Q45="","",IF(Q45&gt;=Settings!$E$11,Settings!$F$11,IF(Q45&gt;=Settings!$E$12,Settings!$F$12,IF(Q45&gt;=Settings!$E$13,Settings!$F$13,IF(Q45&gt;=Settings!$E$14,Settings!$F$14,Settings!$F$15)))))</f>
        <v/>
      </c>
      <c r="S45" s="17" t="str">
        <f aca="false">IF(Q45="","",RANK(Q45,$Q$10:$Q$49))</f>
        <v/>
      </c>
    </row>
    <row r="46" customFormat="false" ht="19.5" hidden="false" customHeight="true" outlineLevel="0" collapsed="false">
      <c r="A46" s="17" t="str">
        <f aca="false">IF($B46="","",37)</f>
        <v/>
      </c>
      <c r="B46" s="17" t="str">
        <f aca="false">IFERROR(INDEX(Students!$A$5:$A$304,MATCH($C$4&amp;"|"&amp;$C$5&amp;"|"&amp;37,Students!$O$5:$O$304,0)),"")</f>
        <v/>
      </c>
      <c r="C46" s="16" t="str">
        <f aca="false">IF($B46="","",INDEX(Students!$B$5:$B$304,MATCH($B46,Students!$A$5:$A$304,0)))</f>
        <v/>
      </c>
      <c r="D46" s="19" t="str">
        <f aca="false">IF(OR($B46="",D$9=""),"",IFERROR(AVERAGEIFS(Grades!$I$5:$I$304,Grades!$A$5:$A$304,$B46,Grades!$E$5:$E$304,D$9,Grades!$F$5:$F$304,$C$6),""))</f>
        <v/>
      </c>
      <c r="E46" s="19" t="str">
        <f aca="false">IF(OR($B46="",E$9=""),"",IFERROR(AVERAGEIFS(Grades!$I$5:$I$304,Grades!$A$5:$A$304,$B46,Grades!$E$5:$E$304,E$9,Grades!$F$5:$F$304,$C$6),""))</f>
        <v/>
      </c>
      <c r="F46" s="19" t="str">
        <f aca="false">IF(OR($B46="",F$9=""),"",IFERROR(AVERAGEIFS(Grades!$I$5:$I$304,Grades!$A$5:$A$304,$B46,Grades!$E$5:$E$304,F$9,Grades!$F$5:$F$304,$C$6),""))</f>
        <v/>
      </c>
      <c r="G46" s="19" t="str">
        <f aca="false">IF(OR($B46="",G$9=""),"",IFERROR(AVERAGEIFS(Grades!$I$5:$I$304,Grades!$A$5:$A$304,$B46,Grades!$E$5:$E$304,G$9,Grades!$F$5:$F$304,$C$6),""))</f>
        <v/>
      </c>
      <c r="H46" s="19" t="str">
        <f aca="false">IF(OR($B46="",H$9=""),"",IFERROR(AVERAGEIFS(Grades!$I$5:$I$304,Grades!$A$5:$A$304,$B46,Grades!$E$5:$E$304,H$9,Grades!$F$5:$F$304,$C$6),""))</f>
        <v/>
      </c>
      <c r="I46" s="19" t="str">
        <f aca="false">IF(OR($B46="",I$9=""),"",IFERROR(AVERAGEIFS(Grades!$I$5:$I$304,Grades!$A$5:$A$304,$B46,Grades!$E$5:$E$304,I$9,Grades!$F$5:$F$304,$C$6),""))</f>
        <v/>
      </c>
      <c r="J46" s="19" t="str">
        <f aca="false">IF(OR($B46="",J$9=""),"",IFERROR(AVERAGEIFS(Grades!$I$5:$I$304,Grades!$A$5:$A$304,$B46,Grades!$E$5:$E$304,J$9,Grades!$F$5:$F$304,$C$6),""))</f>
        <v/>
      </c>
      <c r="K46" s="19" t="str">
        <f aca="false">IF(OR($B46="",K$9=""),"",IFERROR(AVERAGEIFS(Grades!$I$5:$I$304,Grades!$A$5:$A$304,$B46,Grades!$E$5:$E$304,K$9,Grades!$F$5:$F$304,$C$6),""))</f>
        <v/>
      </c>
      <c r="L46" s="19" t="str">
        <f aca="false">IF(OR($B46="",L$9=""),"",IFERROR(AVERAGEIFS(Grades!$I$5:$I$304,Grades!$A$5:$A$304,$B46,Grades!$E$5:$E$304,L$9,Grades!$F$5:$F$304,$C$6),""))</f>
        <v/>
      </c>
      <c r="M46" s="19" t="str">
        <f aca="false">IF(OR($B46="",M$9=""),"",IFERROR(AVERAGEIFS(Grades!$I$5:$I$304,Grades!$A$5:$A$304,$B46,Grades!$E$5:$E$304,M$9,Grades!$F$5:$F$304,$C$6),""))</f>
        <v/>
      </c>
      <c r="N46" s="19" t="str">
        <f aca="false">IF(OR($B46="",N$9=""),"",IFERROR(AVERAGEIFS(Grades!$I$5:$I$304,Grades!$A$5:$A$304,$B46,Grades!$E$5:$E$304,N$9,Grades!$F$5:$F$304,$C$6),""))</f>
        <v/>
      </c>
      <c r="O46" s="19" t="str">
        <f aca="false">IF(OR($B46="",O$9=""),"",IFERROR(AVERAGEIFS(Grades!$I$5:$I$304,Grades!$A$5:$A$304,$B46,Grades!$E$5:$E$304,O$9,Grades!$F$5:$F$304,$C$6),""))</f>
        <v/>
      </c>
      <c r="P46" s="19" t="str">
        <f aca="false">IF(COUNT(D46:O46)=0,"",SUM(D46:O46))</f>
        <v/>
      </c>
      <c r="Q46" s="19" t="str">
        <f aca="false">IF(COUNT(D46:O46)=0,"",AVERAGE(D46:O46))</f>
        <v/>
      </c>
      <c r="R46" s="50" t="str">
        <f aca="false">IF(Q46="","",IF(Q46&gt;=Settings!$E$11,Settings!$F$11,IF(Q46&gt;=Settings!$E$12,Settings!$F$12,IF(Q46&gt;=Settings!$E$13,Settings!$F$13,IF(Q46&gt;=Settings!$E$14,Settings!$F$14,Settings!$F$15)))))</f>
        <v/>
      </c>
      <c r="S46" s="17" t="str">
        <f aca="false">IF(Q46="","",RANK(Q46,$Q$10:$Q$49))</f>
        <v/>
      </c>
    </row>
    <row r="47" customFormat="false" ht="19.5" hidden="false" customHeight="true" outlineLevel="0" collapsed="false">
      <c r="A47" s="17" t="str">
        <f aca="false">IF($B47="","",38)</f>
        <v/>
      </c>
      <c r="B47" s="17" t="str">
        <f aca="false">IFERROR(INDEX(Students!$A$5:$A$304,MATCH($C$4&amp;"|"&amp;$C$5&amp;"|"&amp;38,Students!$O$5:$O$304,0)),"")</f>
        <v/>
      </c>
      <c r="C47" s="16" t="str">
        <f aca="false">IF($B47="","",INDEX(Students!$B$5:$B$304,MATCH($B47,Students!$A$5:$A$304,0)))</f>
        <v/>
      </c>
      <c r="D47" s="19" t="str">
        <f aca="false">IF(OR($B47="",D$9=""),"",IFERROR(AVERAGEIFS(Grades!$I$5:$I$304,Grades!$A$5:$A$304,$B47,Grades!$E$5:$E$304,D$9,Grades!$F$5:$F$304,$C$6),""))</f>
        <v/>
      </c>
      <c r="E47" s="19" t="str">
        <f aca="false">IF(OR($B47="",E$9=""),"",IFERROR(AVERAGEIFS(Grades!$I$5:$I$304,Grades!$A$5:$A$304,$B47,Grades!$E$5:$E$304,E$9,Grades!$F$5:$F$304,$C$6),""))</f>
        <v/>
      </c>
      <c r="F47" s="19" t="str">
        <f aca="false">IF(OR($B47="",F$9=""),"",IFERROR(AVERAGEIFS(Grades!$I$5:$I$304,Grades!$A$5:$A$304,$B47,Grades!$E$5:$E$304,F$9,Grades!$F$5:$F$304,$C$6),""))</f>
        <v/>
      </c>
      <c r="G47" s="19" t="str">
        <f aca="false">IF(OR($B47="",G$9=""),"",IFERROR(AVERAGEIFS(Grades!$I$5:$I$304,Grades!$A$5:$A$304,$B47,Grades!$E$5:$E$304,G$9,Grades!$F$5:$F$304,$C$6),""))</f>
        <v/>
      </c>
      <c r="H47" s="19" t="str">
        <f aca="false">IF(OR($B47="",H$9=""),"",IFERROR(AVERAGEIFS(Grades!$I$5:$I$304,Grades!$A$5:$A$304,$B47,Grades!$E$5:$E$304,H$9,Grades!$F$5:$F$304,$C$6),""))</f>
        <v/>
      </c>
      <c r="I47" s="19" t="str">
        <f aca="false">IF(OR($B47="",I$9=""),"",IFERROR(AVERAGEIFS(Grades!$I$5:$I$304,Grades!$A$5:$A$304,$B47,Grades!$E$5:$E$304,I$9,Grades!$F$5:$F$304,$C$6),""))</f>
        <v/>
      </c>
      <c r="J47" s="19" t="str">
        <f aca="false">IF(OR($B47="",J$9=""),"",IFERROR(AVERAGEIFS(Grades!$I$5:$I$304,Grades!$A$5:$A$304,$B47,Grades!$E$5:$E$304,J$9,Grades!$F$5:$F$304,$C$6),""))</f>
        <v/>
      </c>
      <c r="K47" s="19" t="str">
        <f aca="false">IF(OR($B47="",K$9=""),"",IFERROR(AVERAGEIFS(Grades!$I$5:$I$304,Grades!$A$5:$A$304,$B47,Grades!$E$5:$E$304,K$9,Grades!$F$5:$F$304,$C$6),""))</f>
        <v/>
      </c>
      <c r="L47" s="19" t="str">
        <f aca="false">IF(OR($B47="",L$9=""),"",IFERROR(AVERAGEIFS(Grades!$I$5:$I$304,Grades!$A$5:$A$304,$B47,Grades!$E$5:$E$304,L$9,Grades!$F$5:$F$304,$C$6),""))</f>
        <v/>
      </c>
      <c r="M47" s="19" t="str">
        <f aca="false">IF(OR($B47="",M$9=""),"",IFERROR(AVERAGEIFS(Grades!$I$5:$I$304,Grades!$A$5:$A$304,$B47,Grades!$E$5:$E$304,M$9,Grades!$F$5:$F$304,$C$6),""))</f>
        <v/>
      </c>
      <c r="N47" s="19" t="str">
        <f aca="false">IF(OR($B47="",N$9=""),"",IFERROR(AVERAGEIFS(Grades!$I$5:$I$304,Grades!$A$5:$A$304,$B47,Grades!$E$5:$E$304,N$9,Grades!$F$5:$F$304,$C$6),""))</f>
        <v/>
      </c>
      <c r="O47" s="19" t="str">
        <f aca="false">IF(OR($B47="",O$9=""),"",IFERROR(AVERAGEIFS(Grades!$I$5:$I$304,Grades!$A$5:$A$304,$B47,Grades!$E$5:$E$304,O$9,Grades!$F$5:$F$304,$C$6),""))</f>
        <v/>
      </c>
      <c r="P47" s="19" t="str">
        <f aca="false">IF(COUNT(D47:O47)=0,"",SUM(D47:O47))</f>
        <v/>
      </c>
      <c r="Q47" s="19" t="str">
        <f aca="false">IF(COUNT(D47:O47)=0,"",AVERAGE(D47:O47))</f>
        <v/>
      </c>
      <c r="R47" s="50" t="str">
        <f aca="false">IF(Q47="","",IF(Q47&gt;=Settings!$E$11,Settings!$F$11,IF(Q47&gt;=Settings!$E$12,Settings!$F$12,IF(Q47&gt;=Settings!$E$13,Settings!$F$13,IF(Q47&gt;=Settings!$E$14,Settings!$F$14,Settings!$F$15)))))</f>
        <v/>
      </c>
      <c r="S47" s="17" t="str">
        <f aca="false">IF(Q47="","",RANK(Q47,$Q$10:$Q$49))</f>
        <v/>
      </c>
    </row>
    <row r="48" customFormat="false" ht="19.5" hidden="false" customHeight="true" outlineLevel="0" collapsed="false">
      <c r="A48" s="17" t="str">
        <f aca="false">IF($B48="","",39)</f>
        <v/>
      </c>
      <c r="B48" s="17" t="str">
        <f aca="false">IFERROR(INDEX(Students!$A$5:$A$304,MATCH($C$4&amp;"|"&amp;$C$5&amp;"|"&amp;39,Students!$O$5:$O$304,0)),"")</f>
        <v/>
      </c>
      <c r="C48" s="16" t="str">
        <f aca="false">IF($B48="","",INDEX(Students!$B$5:$B$304,MATCH($B48,Students!$A$5:$A$304,0)))</f>
        <v/>
      </c>
      <c r="D48" s="19" t="str">
        <f aca="false">IF(OR($B48="",D$9=""),"",IFERROR(AVERAGEIFS(Grades!$I$5:$I$304,Grades!$A$5:$A$304,$B48,Grades!$E$5:$E$304,D$9,Grades!$F$5:$F$304,$C$6),""))</f>
        <v/>
      </c>
      <c r="E48" s="19" t="str">
        <f aca="false">IF(OR($B48="",E$9=""),"",IFERROR(AVERAGEIFS(Grades!$I$5:$I$304,Grades!$A$5:$A$304,$B48,Grades!$E$5:$E$304,E$9,Grades!$F$5:$F$304,$C$6),""))</f>
        <v/>
      </c>
      <c r="F48" s="19" t="str">
        <f aca="false">IF(OR($B48="",F$9=""),"",IFERROR(AVERAGEIFS(Grades!$I$5:$I$304,Grades!$A$5:$A$304,$B48,Grades!$E$5:$E$304,F$9,Grades!$F$5:$F$304,$C$6),""))</f>
        <v/>
      </c>
      <c r="G48" s="19" t="str">
        <f aca="false">IF(OR($B48="",G$9=""),"",IFERROR(AVERAGEIFS(Grades!$I$5:$I$304,Grades!$A$5:$A$304,$B48,Grades!$E$5:$E$304,G$9,Grades!$F$5:$F$304,$C$6),""))</f>
        <v/>
      </c>
      <c r="H48" s="19" t="str">
        <f aca="false">IF(OR($B48="",H$9=""),"",IFERROR(AVERAGEIFS(Grades!$I$5:$I$304,Grades!$A$5:$A$304,$B48,Grades!$E$5:$E$304,H$9,Grades!$F$5:$F$304,$C$6),""))</f>
        <v/>
      </c>
      <c r="I48" s="19" t="str">
        <f aca="false">IF(OR($B48="",I$9=""),"",IFERROR(AVERAGEIFS(Grades!$I$5:$I$304,Grades!$A$5:$A$304,$B48,Grades!$E$5:$E$304,I$9,Grades!$F$5:$F$304,$C$6),""))</f>
        <v/>
      </c>
      <c r="J48" s="19" t="str">
        <f aca="false">IF(OR($B48="",J$9=""),"",IFERROR(AVERAGEIFS(Grades!$I$5:$I$304,Grades!$A$5:$A$304,$B48,Grades!$E$5:$E$304,J$9,Grades!$F$5:$F$304,$C$6),""))</f>
        <v/>
      </c>
      <c r="K48" s="19" t="str">
        <f aca="false">IF(OR($B48="",K$9=""),"",IFERROR(AVERAGEIFS(Grades!$I$5:$I$304,Grades!$A$5:$A$304,$B48,Grades!$E$5:$E$304,K$9,Grades!$F$5:$F$304,$C$6),""))</f>
        <v/>
      </c>
      <c r="L48" s="19" t="str">
        <f aca="false">IF(OR($B48="",L$9=""),"",IFERROR(AVERAGEIFS(Grades!$I$5:$I$304,Grades!$A$5:$A$304,$B48,Grades!$E$5:$E$304,L$9,Grades!$F$5:$F$304,$C$6),""))</f>
        <v/>
      </c>
      <c r="M48" s="19" t="str">
        <f aca="false">IF(OR($B48="",M$9=""),"",IFERROR(AVERAGEIFS(Grades!$I$5:$I$304,Grades!$A$5:$A$304,$B48,Grades!$E$5:$E$304,M$9,Grades!$F$5:$F$304,$C$6),""))</f>
        <v/>
      </c>
      <c r="N48" s="19" t="str">
        <f aca="false">IF(OR($B48="",N$9=""),"",IFERROR(AVERAGEIFS(Grades!$I$5:$I$304,Grades!$A$5:$A$304,$B48,Grades!$E$5:$E$304,N$9,Grades!$F$5:$F$304,$C$6),""))</f>
        <v/>
      </c>
      <c r="O48" s="19" t="str">
        <f aca="false">IF(OR($B48="",O$9=""),"",IFERROR(AVERAGEIFS(Grades!$I$5:$I$304,Grades!$A$5:$A$304,$B48,Grades!$E$5:$E$304,O$9,Grades!$F$5:$F$304,$C$6),""))</f>
        <v/>
      </c>
      <c r="P48" s="19" t="str">
        <f aca="false">IF(COUNT(D48:O48)=0,"",SUM(D48:O48))</f>
        <v/>
      </c>
      <c r="Q48" s="19" t="str">
        <f aca="false">IF(COUNT(D48:O48)=0,"",AVERAGE(D48:O48))</f>
        <v/>
      </c>
      <c r="R48" s="50" t="str">
        <f aca="false">IF(Q48="","",IF(Q48&gt;=Settings!$E$11,Settings!$F$11,IF(Q48&gt;=Settings!$E$12,Settings!$F$12,IF(Q48&gt;=Settings!$E$13,Settings!$F$13,IF(Q48&gt;=Settings!$E$14,Settings!$F$14,Settings!$F$15)))))</f>
        <v/>
      </c>
      <c r="S48" s="17" t="str">
        <f aca="false">IF(Q48="","",RANK(Q48,$Q$10:$Q$49))</f>
        <v/>
      </c>
    </row>
    <row r="49" customFormat="false" ht="19.5" hidden="false" customHeight="true" outlineLevel="0" collapsed="false">
      <c r="A49" s="17" t="str">
        <f aca="false">IF($B49="","",40)</f>
        <v/>
      </c>
      <c r="B49" s="17" t="str">
        <f aca="false">IFERROR(INDEX(Students!$A$5:$A$304,MATCH($C$4&amp;"|"&amp;$C$5&amp;"|"&amp;40,Students!$O$5:$O$304,0)),"")</f>
        <v/>
      </c>
      <c r="C49" s="16" t="str">
        <f aca="false">IF($B49="","",INDEX(Students!$B$5:$B$304,MATCH($B49,Students!$A$5:$A$304,0)))</f>
        <v/>
      </c>
      <c r="D49" s="19" t="str">
        <f aca="false">IF(OR($B49="",D$9=""),"",IFERROR(AVERAGEIFS(Grades!$I$5:$I$304,Grades!$A$5:$A$304,$B49,Grades!$E$5:$E$304,D$9,Grades!$F$5:$F$304,$C$6),""))</f>
        <v/>
      </c>
      <c r="E49" s="19" t="str">
        <f aca="false">IF(OR($B49="",E$9=""),"",IFERROR(AVERAGEIFS(Grades!$I$5:$I$304,Grades!$A$5:$A$304,$B49,Grades!$E$5:$E$304,E$9,Grades!$F$5:$F$304,$C$6),""))</f>
        <v/>
      </c>
      <c r="F49" s="19" t="str">
        <f aca="false">IF(OR($B49="",F$9=""),"",IFERROR(AVERAGEIFS(Grades!$I$5:$I$304,Grades!$A$5:$A$304,$B49,Grades!$E$5:$E$304,F$9,Grades!$F$5:$F$304,$C$6),""))</f>
        <v/>
      </c>
      <c r="G49" s="19" t="str">
        <f aca="false">IF(OR($B49="",G$9=""),"",IFERROR(AVERAGEIFS(Grades!$I$5:$I$304,Grades!$A$5:$A$304,$B49,Grades!$E$5:$E$304,G$9,Grades!$F$5:$F$304,$C$6),""))</f>
        <v/>
      </c>
      <c r="H49" s="19" t="str">
        <f aca="false">IF(OR($B49="",H$9=""),"",IFERROR(AVERAGEIFS(Grades!$I$5:$I$304,Grades!$A$5:$A$304,$B49,Grades!$E$5:$E$304,H$9,Grades!$F$5:$F$304,$C$6),""))</f>
        <v/>
      </c>
      <c r="I49" s="19" t="str">
        <f aca="false">IF(OR($B49="",I$9=""),"",IFERROR(AVERAGEIFS(Grades!$I$5:$I$304,Grades!$A$5:$A$304,$B49,Grades!$E$5:$E$304,I$9,Grades!$F$5:$F$304,$C$6),""))</f>
        <v/>
      </c>
      <c r="J49" s="19" t="str">
        <f aca="false">IF(OR($B49="",J$9=""),"",IFERROR(AVERAGEIFS(Grades!$I$5:$I$304,Grades!$A$5:$A$304,$B49,Grades!$E$5:$E$304,J$9,Grades!$F$5:$F$304,$C$6),""))</f>
        <v/>
      </c>
      <c r="K49" s="19" t="str">
        <f aca="false">IF(OR($B49="",K$9=""),"",IFERROR(AVERAGEIFS(Grades!$I$5:$I$304,Grades!$A$5:$A$304,$B49,Grades!$E$5:$E$304,K$9,Grades!$F$5:$F$304,$C$6),""))</f>
        <v/>
      </c>
      <c r="L49" s="19" t="str">
        <f aca="false">IF(OR($B49="",L$9=""),"",IFERROR(AVERAGEIFS(Grades!$I$5:$I$304,Grades!$A$5:$A$304,$B49,Grades!$E$5:$E$304,L$9,Grades!$F$5:$F$304,$C$6),""))</f>
        <v/>
      </c>
      <c r="M49" s="19" t="str">
        <f aca="false">IF(OR($B49="",M$9=""),"",IFERROR(AVERAGEIFS(Grades!$I$5:$I$304,Grades!$A$5:$A$304,$B49,Grades!$E$5:$E$304,M$9,Grades!$F$5:$F$304,$C$6),""))</f>
        <v/>
      </c>
      <c r="N49" s="19" t="str">
        <f aca="false">IF(OR($B49="",N$9=""),"",IFERROR(AVERAGEIFS(Grades!$I$5:$I$304,Grades!$A$5:$A$304,$B49,Grades!$E$5:$E$304,N$9,Grades!$F$5:$F$304,$C$6),""))</f>
        <v/>
      </c>
      <c r="O49" s="19" t="str">
        <f aca="false">IF(OR($B49="",O$9=""),"",IFERROR(AVERAGEIFS(Grades!$I$5:$I$304,Grades!$A$5:$A$304,$B49,Grades!$E$5:$E$304,O$9,Grades!$F$5:$F$304,$C$6),""))</f>
        <v/>
      </c>
      <c r="P49" s="19" t="str">
        <f aca="false">IF(COUNT(D49:O49)=0,"",SUM(D49:O49))</f>
        <v/>
      </c>
      <c r="Q49" s="19" t="str">
        <f aca="false">IF(COUNT(D49:O49)=0,"",AVERAGE(D49:O49))</f>
        <v/>
      </c>
      <c r="R49" s="50" t="str">
        <f aca="false">IF(Q49="","",IF(Q49&gt;=Settings!$E$11,Settings!$F$11,IF(Q49&gt;=Settings!$E$12,Settings!$F$12,IF(Q49&gt;=Settings!$E$13,Settings!$F$13,IF(Q49&gt;=Settings!$E$14,Settings!$F$14,Settings!$F$15)))))</f>
        <v/>
      </c>
      <c r="S49" s="17" t="str">
        <f aca="false">IF(Q49="","",RANK(Q49,$Q$10:$Q$49))</f>
        <v/>
      </c>
    </row>
  </sheetData>
  <mergeCells count="10">
    <mergeCell ref="A1:S1"/>
    <mergeCell ref="A2:S2"/>
    <mergeCell ref="A3:S3"/>
    <mergeCell ref="A4:B4"/>
    <mergeCell ref="D4:H4"/>
    <mergeCell ref="U4:AA4"/>
    <mergeCell ref="A5:B5"/>
    <mergeCell ref="D5:H5"/>
    <mergeCell ref="U5:AA5"/>
    <mergeCell ref="A6:B6"/>
  </mergeCells>
  <conditionalFormatting sqref="D9:O9">
    <cfRule type="expression" priority="2" aboveAverage="0" equalAverage="0" bottom="0" percent="0" rank="0" text="" dxfId="4">
      <formula>D9&lt;&gt;""</formula>
    </cfRule>
  </conditionalFormatting>
  <conditionalFormatting sqref="A10:S49">
    <cfRule type="expression" priority="3" aboveAverage="0" equalAverage="0" bottom="0" percent="0" rank="0" text="" dxfId="0">
      <formula>AND(MOD(ROW(),2)=0,$B10&lt;&gt;"")</formula>
    </cfRule>
  </conditionalFormatting>
  <conditionalFormatting sqref="S10:S49">
    <cfRule type="expression" priority="4" aboveAverage="0" equalAverage="0" bottom="0" percent="0" rank="0" text="" dxfId="5">
      <formula>AND(ISNUMBER($S10),$S10&lt;=3)</formula>
    </cfRule>
  </conditionalFormatting>
  <conditionalFormatting sqref="R10:R49">
    <cfRule type="expression" priority="5" aboveAverage="0" equalAverage="0" bottom="0" percent="0" rank="0" text="" dxfId="6">
      <formula>$R10="A"</formula>
    </cfRule>
    <cfRule type="expression" priority="6" aboveAverage="0" equalAverage="0" bottom="0" percent="0" rank="0" text="" dxfId="6">
      <formula>$R10="B"</formula>
    </cfRule>
    <cfRule type="expression" priority="7" aboveAverage="0" equalAverage="0" bottom="0" percent="0" rank="0" text="" dxfId="5">
      <formula>$R10="C"</formula>
    </cfRule>
    <cfRule type="expression" priority="8" aboveAverage="0" equalAverage="0" bottom="0" percent="0" rank="0" text="" dxfId="5">
      <formula>$R10="D"</formula>
    </cfRule>
    <cfRule type="expression" priority="9" aboveAverage="0" equalAverage="0" bottom="0" percent="0" rank="0" text="" dxfId="7">
      <formula>$R10="F"</formula>
    </cfRule>
  </conditionalFormatting>
  <conditionalFormatting sqref="D10:O49">
    <cfRule type="expression" priority="10" aboveAverage="0" equalAverage="0" bottom="0" percent="0" rank="0" text="" dxfId="8">
      <formula>AND(ISNUMBER(D10),D10&lt;50)</formula>
    </cfRule>
  </conditionalFormatting>
  <dataValidations count="3">
    <dataValidation allowBlank="true" error="Choose from the list." errorStyle="stop" errorTitle="Invalid" operator="between" showDropDown="false" showErrorMessage="true" showInputMessage="false" sqref="C4" type="list">
      <formula1>Schools!$A$5:$A$304</formula1>
      <formula2>0</formula2>
    </dataValidation>
    <dataValidation allowBlank="true" error="Choose from the list." errorStyle="stop" errorTitle="Invalid" operator="between" showDropDown="false" showErrorMessage="true" showInputMessage="false" sqref="C5" type="list">
      <formula1>Settings!$B$11:$B$30</formula1>
      <formula2>0</formula2>
    </dataValidation>
    <dataValidation allowBlank="true" error="Choose from the list." errorStyle="stop" errorTitle="Invalid" operator="between" showDropDown="false" showErrorMessage="true" showInputMessage="false" sqref="C6" type="list">
      <formula1>Settings!$A$11:$A$14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98B"/>
    <pageSetUpPr fitToPage="tru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28"/>
    <col collapsed="false" customWidth="true" hidden="false" outlineLevel="0" max="4" min="4" style="1" width="9"/>
    <col collapsed="false" customWidth="true" hidden="false" outlineLevel="0" max="5" min="5" style="1" width="14"/>
    <col collapsed="false" customWidth="true" hidden="false" outlineLevel="0" max="6" min="6" style="1" width="24"/>
    <col collapsed="false" customWidth="true" hidden="false" outlineLevel="0" max="7" min="7" style="1" width="16"/>
    <col collapsed="false" customWidth="true" hidden="false" outlineLevel="0" max="8" min="8" style="1" width="22"/>
    <col collapsed="false" customWidth="true" hidden="false" outlineLevel="0" max="10" min="10" style="1" width="30"/>
  </cols>
  <sheetData>
    <row r="1" customFormat="false" ht="42" hidden="false" customHeight="true" outlineLevel="0" collapsed="false">
      <c r="A1" s="2" t="s">
        <v>155</v>
      </c>
      <c r="B1" s="2"/>
      <c r="C1" s="2"/>
      <c r="D1" s="2"/>
      <c r="E1" s="2"/>
      <c r="F1" s="2"/>
      <c r="G1" s="2"/>
      <c r="H1" s="2"/>
    </row>
    <row r="2" customFormat="false" ht="19.5" hidden="false" customHeight="true" outlineLevel="0" collapsed="false">
      <c r="A2" s="3" t="s">
        <v>156</v>
      </c>
      <c r="B2" s="3"/>
      <c r="C2" s="3"/>
      <c r="D2" s="3"/>
      <c r="E2" s="3"/>
      <c r="F2" s="3"/>
      <c r="G2" s="3"/>
      <c r="H2" s="3"/>
    </row>
    <row r="3" customFormat="false" ht="3.75" hidden="false" customHeight="true" outlineLevel="0" collapsed="false">
      <c r="A3" s="4"/>
      <c r="B3" s="4"/>
      <c r="C3" s="4"/>
      <c r="D3" s="4"/>
      <c r="E3" s="4"/>
      <c r="F3" s="4"/>
      <c r="G3" s="4"/>
      <c r="H3" s="4"/>
    </row>
    <row r="4" customFormat="false" ht="21.75" hidden="false" customHeight="true" outlineLevel="0" collapsed="false">
      <c r="A4" s="24" t="s">
        <v>142</v>
      </c>
      <c r="B4" s="24"/>
      <c r="C4" s="42" t="s">
        <v>143</v>
      </c>
      <c r="D4" s="43" t="str">
        <f aca="false">IF($C$4="","",IFERROR(INDEX(Schools!$B$5:$B$304,MATCH($C$4,Schools!$A$5:$A$304,0)),"School not found"))</f>
        <v>Example Primary School</v>
      </c>
      <c r="E4" s="43"/>
      <c r="F4" s="43"/>
      <c r="G4" s="43"/>
      <c r="H4" s="43"/>
    </row>
    <row r="5" customFormat="false" ht="21.75" hidden="false" customHeight="true" outlineLevel="0" collapsed="false">
      <c r="A5" s="24" t="s">
        <v>121</v>
      </c>
      <c r="B5" s="24"/>
      <c r="C5" s="42" t="s">
        <v>145</v>
      </c>
      <c r="D5" s="45" t="str">
        <f aca="false">IF($C$5="","",COUNTIFS(Students!$E$5:$E$304,$C$4,Students!$F$5:$F$304,$C$5,Students!$K$5:$K$304,"Active")&amp;" of "&amp;Settings!$B$7&amp;" places used  |  "&amp;Settings!B5)</f>
        <v>1 of 40 places used  |  2026/2027</v>
      </c>
      <c r="E5" s="45"/>
      <c r="F5" s="45"/>
      <c r="G5" s="45"/>
      <c r="H5" s="45"/>
    </row>
    <row r="7" customFormat="false" ht="15" hidden="false" customHeight="true" outlineLevel="0" collapsed="false">
      <c r="A7" s="21" t="s">
        <v>157</v>
      </c>
    </row>
    <row r="8" customFormat="false" ht="7.5" hidden="false" customHeight="true" outlineLevel="0" collapsed="false"/>
    <row r="9" customFormat="false" ht="27.75" hidden="false" customHeight="true" outlineLevel="0" collapsed="false">
      <c r="A9" s="34" t="s">
        <v>149</v>
      </c>
      <c r="B9" s="34" t="s">
        <v>150</v>
      </c>
      <c r="C9" s="34" t="s">
        <v>158</v>
      </c>
      <c r="D9" s="34" t="s">
        <v>159</v>
      </c>
      <c r="E9" s="34" t="s">
        <v>160</v>
      </c>
      <c r="F9" s="34" t="s">
        <v>161</v>
      </c>
      <c r="G9" s="34" t="s">
        <v>162</v>
      </c>
      <c r="H9" s="34" t="s">
        <v>163</v>
      </c>
    </row>
    <row r="10" customFormat="false" ht="19.5" hidden="false" customHeight="true" outlineLevel="0" collapsed="false">
      <c r="A10" s="17" t="n">
        <f aca="false">IF($B10="","",1)</f>
        <v>1</v>
      </c>
      <c r="B10" s="17" t="str">
        <f aca="false">IFERROR(INDEX(Students!$A$5:$A$304,MATCH($C$4&amp;"|"&amp;$C$5&amp;"|"&amp;1,Students!$O$5:$O$304,0)),"")</f>
        <v>S0001</v>
      </c>
      <c r="C10" s="16" t="str">
        <f aca="false">IF($B10="","",IFERROR(IF(INDEX(Students!$B$5:$B$304,MATCH($B10,Students!$A$5:$A$304,0))="","",INDEX(Students!$B$5:$B$304,MATCH($B10,Students!$A$5:$A$304,0))),""))</f>
        <v>Aminata Conteh</v>
      </c>
      <c r="D10" s="17" t="str">
        <f aca="false">IF($B10="","",IFERROR(IF(INDEX(Students!$C$5:$C$304,MATCH($B10,Students!$A$5:$A$304,0))="","",INDEX(Students!$C$5:$C$304,MATCH($B10,Students!$A$5:$A$304,0))),""))</f>
        <v>F</v>
      </c>
      <c r="E10" s="51" t="n">
        <f aca="false">IF($B10="","",IFERROR(IF(INDEX(Students!$D$5:$D$304,MATCH($B10,Students!$A$5:$A$304,0))="","",INDEX(Students!$D$5:$D$304,MATCH($B10,Students!$A$5:$A$304,0))),""))</f>
        <v>41771</v>
      </c>
      <c r="F10" s="16" t="str">
        <f aca="false">IF($B10="","",IFERROR(IF(INDEX(Students!$G$5:$G$304,MATCH($B10,Students!$A$5:$A$304,0))="","",INDEX(Students!$G$5:$G$304,MATCH($B10,Students!$A$5:$A$304,0))),""))</f>
        <v>Fatmata Conteh</v>
      </c>
      <c r="G10" s="17" t="str">
        <f aca="false">IF($B10="","",IFERROR(IF(INDEX(Students!$H$5:$H$304,MATCH($B10,Students!$A$5:$A$304,0))="","",INDEX(Students!$H$5:$H$304,MATCH($B10,Students!$A$5:$A$304,0))),""))</f>
        <v>+232 78 000000</v>
      </c>
      <c r="H10" s="52"/>
    </row>
    <row r="11" customFormat="false" ht="19.5" hidden="false" customHeight="true" outlineLevel="0" collapsed="false">
      <c r="A11" s="17" t="str">
        <f aca="false">IF($B11="","",2)</f>
        <v/>
      </c>
      <c r="B11" s="17" t="str">
        <f aca="false">IFERROR(INDEX(Students!$A$5:$A$304,MATCH($C$4&amp;"|"&amp;$C$5&amp;"|"&amp;2,Students!$O$5:$O$304,0)),"")</f>
        <v/>
      </c>
      <c r="C11" s="16" t="str">
        <f aca="false">IF($B11="","",IFERROR(IF(INDEX(Students!$B$5:$B$304,MATCH($B11,Students!$A$5:$A$304,0))="","",INDEX(Students!$B$5:$B$304,MATCH($B11,Students!$A$5:$A$304,0))),""))</f>
        <v/>
      </c>
      <c r="D11" s="17" t="str">
        <f aca="false">IF($B11="","",IFERROR(IF(INDEX(Students!$C$5:$C$304,MATCH($B11,Students!$A$5:$A$304,0))="","",INDEX(Students!$C$5:$C$304,MATCH($B11,Students!$A$5:$A$304,0))),""))</f>
        <v/>
      </c>
      <c r="E11" s="51" t="str">
        <f aca="false">IF($B11="","",IFERROR(IF(INDEX(Students!$D$5:$D$304,MATCH($B11,Students!$A$5:$A$304,0))="","",INDEX(Students!$D$5:$D$304,MATCH($B11,Students!$A$5:$A$304,0))),""))</f>
        <v/>
      </c>
      <c r="F11" s="16" t="str">
        <f aca="false">IF($B11="","",IFERROR(IF(INDEX(Students!$G$5:$G$304,MATCH($B11,Students!$A$5:$A$304,0))="","",INDEX(Students!$G$5:$G$304,MATCH($B11,Students!$A$5:$A$304,0))),""))</f>
        <v/>
      </c>
      <c r="G11" s="17" t="str">
        <f aca="false">IF($B11="","",IFERROR(IF(INDEX(Students!$H$5:$H$304,MATCH($B11,Students!$A$5:$A$304,0))="","",INDEX(Students!$H$5:$H$304,MATCH($B11,Students!$A$5:$A$304,0))),""))</f>
        <v/>
      </c>
      <c r="H11" s="52"/>
    </row>
    <row r="12" customFormat="false" ht="19.5" hidden="false" customHeight="true" outlineLevel="0" collapsed="false">
      <c r="A12" s="17" t="str">
        <f aca="false">IF($B12="","",3)</f>
        <v/>
      </c>
      <c r="B12" s="17" t="str">
        <f aca="false">IFERROR(INDEX(Students!$A$5:$A$304,MATCH($C$4&amp;"|"&amp;$C$5&amp;"|"&amp;3,Students!$O$5:$O$304,0)),"")</f>
        <v/>
      </c>
      <c r="C12" s="16" t="str">
        <f aca="false">IF($B12="","",IFERROR(IF(INDEX(Students!$B$5:$B$304,MATCH($B12,Students!$A$5:$A$304,0))="","",INDEX(Students!$B$5:$B$304,MATCH($B12,Students!$A$5:$A$304,0))),""))</f>
        <v/>
      </c>
      <c r="D12" s="17" t="str">
        <f aca="false">IF($B12="","",IFERROR(IF(INDEX(Students!$C$5:$C$304,MATCH($B12,Students!$A$5:$A$304,0))="","",INDEX(Students!$C$5:$C$304,MATCH($B12,Students!$A$5:$A$304,0))),""))</f>
        <v/>
      </c>
      <c r="E12" s="51" t="str">
        <f aca="false">IF($B12="","",IFERROR(IF(INDEX(Students!$D$5:$D$304,MATCH($B12,Students!$A$5:$A$304,0))="","",INDEX(Students!$D$5:$D$304,MATCH($B12,Students!$A$5:$A$304,0))),""))</f>
        <v/>
      </c>
      <c r="F12" s="16" t="str">
        <f aca="false">IF($B12="","",IFERROR(IF(INDEX(Students!$G$5:$G$304,MATCH($B12,Students!$A$5:$A$304,0))="","",INDEX(Students!$G$5:$G$304,MATCH($B12,Students!$A$5:$A$304,0))),""))</f>
        <v/>
      </c>
      <c r="G12" s="17" t="str">
        <f aca="false">IF($B12="","",IFERROR(IF(INDEX(Students!$H$5:$H$304,MATCH($B12,Students!$A$5:$A$304,0))="","",INDEX(Students!$H$5:$H$304,MATCH($B12,Students!$A$5:$A$304,0))),""))</f>
        <v/>
      </c>
      <c r="H12" s="52"/>
    </row>
    <row r="13" customFormat="false" ht="19.5" hidden="false" customHeight="true" outlineLevel="0" collapsed="false">
      <c r="A13" s="17" t="str">
        <f aca="false">IF($B13="","",4)</f>
        <v/>
      </c>
      <c r="B13" s="17" t="str">
        <f aca="false">IFERROR(INDEX(Students!$A$5:$A$304,MATCH($C$4&amp;"|"&amp;$C$5&amp;"|"&amp;4,Students!$O$5:$O$304,0)),"")</f>
        <v/>
      </c>
      <c r="C13" s="16" t="str">
        <f aca="false">IF($B13="","",IFERROR(IF(INDEX(Students!$B$5:$B$304,MATCH($B13,Students!$A$5:$A$304,0))="","",INDEX(Students!$B$5:$B$304,MATCH($B13,Students!$A$5:$A$304,0))),""))</f>
        <v/>
      </c>
      <c r="D13" s="17" t="str">
        <f aca="false">IF($B13="","",IFERROR(IF(INDEX(Students!$C$5:$C$304,MATCH($B13,Students!$A$5:$A$304,0))="","",INDEX(Students!$C$5:$C$304,MATCH($B13,Students!$A$5:$A$304,0))),""))</f>
        <v/>
      </c>
      <c r="E13" s="51" t="str">
        <f aca="false">IF($B13="","",IFERROR(IF(INDEX(Students!$D$5:$D$304,MATCH($B13,Students!$A$5:$A$304,0))="","",INDEX(Students!$D$5:$D$304,MATCH($B13,Students!$A$5:$A$304,0))),""))</f>
        <v/>
      </c>
      <c r="F13" s="16" t="str">
        <f aca="false">IF($B13="","",IFERROR(IF(INDEX(Students!$G$5:$G$304,MATCH($B13,Students!$A$5:$A$304,0))="","",INDEX(Students!$G$5:$G$304,MATCH($B13,Students!$A$5:$A$304,0))),""))</f>
        <v/>
      </c>
      <c r="G13" s="17" t="str">
        <f aca="false">IF($B13="","",IFERROR(IF(INDEX(Students!$H$5:$H$304,MATCH($B13,Students!$A$5:$A$304,0))="","",INDEX(Students!$H$5:$H$304,MATCH($B13,Students!$A$5:$A$304,0))),""))</f>
        <v/>
      </c>
      <c r="H13" s="52"/>
    </row>
    <row r="14" customFormat="false" ht="19.5" hidden="false" customHeight="true" outlineLevel="0" collapsed="false">
      <c r="A14" s="17" t="str">
        <f aca="false">IF($B14="","",5)</f>
        <v/>
      </c>
      <c r="B14" s="17" t="str">
        <f aca="false">IFERROR(INDEX(Students!$A$5:$A$304,MATCH($C$4&amp;"|"&amp;$C$5&amp;"|"&amp;5,Students!$O$5:$O$304,0)),"")</f>
        <v/>
      </c>
      <c r="C14" s="16" t="str">
        <f aca="false">IF($B14="","",IFERROR(IF(INDEX(Students!$B$5:$B$304,MATCH($B14,Students!$A$5:$A$304,0))="","",INDEX(Students!$B$5:$B$304,MATCH($B14,Students!$A$5:$A$304,0))),""))</f>
        <v/>
      </c>
      <c r="D14" s="17" t="str">
        <f aca="false">IF($B14="","",IFERROR(IF(INDEX(Students!$C$5:$C$304,MATCH($B14,Students!$A$5:$A$304,0))="","",INDEX(Students!$C$5:$C$304,MATCH($B14,Students!$A$5:$A$304,0))),""))</f>
        <v/>
      </c>
      <c r="E14" s="51" t="str">
        <f aca="false">IF($B14="","",IFERROR(IF(INDEX(Students!$D$5:$D$304,MATCH($B14,Students!$A$5:$A$304,0))="","",INDEX(Students!$D$5:$D$304,MATCH($B14,Students!$A$5:$A$304,0))),""))</f>
        <v/>
      </c>
      <c r="F14" s="16" t="str">
        <f aca="false">IF($B14="","",IFERROR(IF(INDEX(Students!$G$5:$G$304,MATCH($B14,Students!$A$5:$A$304,0))="","",INDEX(Students!$G$5:$G$304,MATCH($B14,Students!$A$5:$A$304,0))),""))</f>
        <v/>
      </c>
      <c r="G14" s="17" t="str">
        <f aca="false">IF($B14="","",IFERROR(IF(INDEX(Students!$H$5:$H$304,MATCH($B14,Students!$A$5:$A$304,0))="","",INDEX(Students!$H$5:$H$304,MATCH($B14,Students!$A$5:$A$304,0))),""))</f>
        <v/>
      </c>
      <c r="H14" s="52"/>
    </row>
    <row r="15" customFormat="false" ht="19.5" hidden="false" customHeight="true" outlineLevel="0" collapsed="false">
      <c r="A15" s="17" t="str">
        <f aca="false">IF($B15="","",6)</f>
        <v/>
      </c>
      <c r="B15" s="17" t="str">
        <f aca="false">IFERROR(INDEX(Students!$A$5:$A$304,MATCH($C$4&amp;"|"&amp;$C$5&amp;"|"&amp;6,Students!$O$5:$O$304,0)),"")</f>
        <v/>
      </c>
      <c r="C15" s="16" t="str">
        <f aca="false">IF($B15="","",IFERROR(IF(INDEX(Students!$B$5:$B$304,MATCH($B15,Students!$A$5:$A$304,0))="","",INDEX(Students!$B$5:$B$304,MATCH($B15,Students!$A$5:$A$304,0))),""))</f>
        <v/>
      </c>
      <c r="D15" s="17" t="str">
        <f aca="false">IF($B15="","",IFERROR(IF(INDEX(Students!$C$5:$C$304,MATCH($B15,Students!$A$5:$A$304,0))="","",INDEX(Students!$C$5:$C$304,MATCH($B15,Students!$A$5:$A$304,0))),""))</f>
        <v/>
      </c>
      <c r="E15" s="51" t="str">
        <f aca="false">IF($B15="","",IFERROR(IF(INDEX(Students!$D$5:$D$304,MATCH($B15,Students!$A$5:$A$304,0))="","",INDEX(Students!$D$5:$D$304,MATCH($B15,Students!$A$5:$A$304,0))),""))</f>
        <v/>
      </c>
      <c r="F15" s="16" t="str">
        <f aca="false">IF($B15="","",IFERROR(IF(INDEX(Students!$G$5:$G$304,MATCH($B15,Students!$A$5:$A$304,0))="","",INDEX(Students!$G$5:$G$304,MATCH($B15,Students!$A$5:$A$304,0))),""))</f>
        <v/>
      </c>
      <c r="G15" s="17" t="str">
        <f aca="false">IF($B15="","",IFERROR(IF(INDEX(Students!$H$5:$H$304,MATCH($B15,Students!$A$5:$A$304,0))="","",INDEX(Students!$H$5:$H$304,MATCH($B15,Students!$A$5:$A$304,0))),""))</f>
        <v/>
      </c>
      <c r="H15" s="52"/>
    </row>
    <row r="16" customFormat="false" ht="19.5" hidden="false" customHeight="true" outlineLevel="0" collapsed="false">
      <c r="A16" s="17" t="str">
        <f aca="false">IF($B16="","",7)</f>
        <v/>
      </c>
      <c r="B16" s="17" t="str">
        <f aca="false">IFERROR(INDEX(Students!$A$5:$A$304,MATCH($C$4&amp;"|"&amp;$C$5&amp;"|"&amp;7,Students!$O$5:$O$304,0)),"")</f>
        <v/>
      </c>
      <c r="C16" s="16" t="str">
        <f aca="false">IF($B16="","",IFERROR(IF(INDEX(Students!$B$5:$B$304,MATCH($B16,Students!$A$5:$A$304,0))="","",INDEX(Students!$B$5:$B$304,MATCH($B16,Students!$A$5:$A$304,0))),""))</f>
        <v/>
      </c>
      <c r="D16" s="17" t="str">
        <f aca="false">IF($B16="","",IFERROR(IF(INDEX(Students!$C$5:$C$304,MATCH($B16,Students!$A$5:$A$304,0))="","",INDEX(Students!$C$5:$C$304,MATCH($B16,Students!$A$5:$A$304,0))),""))</f>
        <v/>
      </c>
      <c r="E16" s="51" t="str">
        <f aca="false">IF($B16="","",IFERROR(IF(INDEX(Students!$D$5:$D$304,MATCH($B16,Students!$A$5:$A$304,0))="","",INDEX(Students!$D$5:$D$304,MATCH($B16,Students!$A$5:$A$304,0))),""))</f>
        <v/>
      </c>
      <c r="F16" s="16" t="str">
        <f aca="false">IF($B16="","",IFERROR(IF(INDEX(Students!$G$5:$G$304,MATCH($B16,Students!$A$5:$A$304,0))="","",INDEX(Students!$G$5:$G$304,MATCH($B16,Students!$A$5:$A$304,0))),""))</f>
        <v/>
      </c>
      <c r="G16" s="17" t="str">
        <f aca="false">IF($B16="","",IFERROR(IF(INDEX(Students!$H$5:$H$304,MATCH($B16,Students!$A$5:$A$304,0))="","",INDEX(Students!$H$5:$H$304,MATCH($B16,Students!$A$5:$A$304,0))),""))</f>
        <v/>
      </c>
      <c r="H16" s="52"/>
    </row>
    <row r="17" customFormat="false" ht="19.5" hidden="false" customHeight="true" outlineLevel="0" collapsed="false">
      <c r="A17" s="17" t="str">
        <f aca="false">IF($B17="","",8)</f>
        <v/>
      </c>
      <c r="B17" s="17" t="str">
        <f aca="false">IFERROR(INDEX(Students!$A$5:$A$304,MATCH($C$4&amp;"|"&amp;$C$5&amp;"|"&amp;8,Students!$O$5:$O$304,0)),"")</f>
        <v/>
      </c>
      <c r="C17" s="16" t="str">
        <f aca="false">IF($B17="","",IFERROR(IF(INDEX(Students!$B$5:$B$304,MATCH($B17,Students!$A$5:$A$304,0))="","",INDEX(Students!$B$5:$B$304,MATCH($B17,Students!$A$5:$A$304,0))),""))</f>
        <v/>
      </c>
      <c r="D17" s="17" t="str">
        <f aca="false">IF($B17="","",IFERROR(IF(INDEX(Students!$C$5:$C$304,MATCH($B17,Students!$A$5:$A$304,0))="","",INDEX(Students!$C$5:$C$304,MATCH($B17,Students!$A$5:$A$304,0))),""))</f>
        <v/>
      </c>
      <c r="E17" s="51" t="str">
        <f aca="false">IF($B17="","",IFERROR(IF(INDEX(Students!$D$5:$D$304,MATCH($B17,Students!$A$5:$A$304,0))="","",INDEX(Students!$D$5:$D$304,MATCH($B17,Students!$A$5:$A$304,0))),""))</f>
        <v/>
      </c>
      <c r="F17" s="16" t="str">
        <f aca="false">IF($B17="","",IFERROR(IF(INDEX(Students!$G$5:$G$304,MATCH($B17,Students!$A$5:$A$304,0))="","",INDEX(Students!$G$5:$G$304,MATCH($B17,Students!$A$5:$A$304,0))),""))</f>
        <v/>
      </c>
      <c r="G17" s="17" t="str">
        <f aca="false">IF($B17="","",IFERROR(IF(INDEX(Students!$H$5:$H$304,MATCH($B17,Students!$A$5:$A$304,0))="","",INDEX(Students!$H$5:$H$304,MATCH($B17,Students!$A$5:$A$304,0))),""))</f>
        <v/>
      </c>
      <c r="H17" s="52"/>
    </row>
    <row r="18" customFormat="false" ht="19.5" hidden="false" customHeight="true" outlineLevel="0" collapsed="false">
      <c r="A18" s="17" t="str">
        <f aca="false">IF($B18="","",9)</f>
        <v/>
      </c>
      <c r="B18" s="17" t="str">
        <f aca="false">IFERROR(INDEX(Students!$A$5:$A$304,MATCH($C$4&amp;"|"&amp;$C$5&amp;"|"&amp;9,Students!$O$5:$O$304,0)),"")</f>
        <v/>
      </c>
      <c r="C18" s="16" t="str">
        <f aca="false">IF($B18="","",IFERROR(IF(INDEX(Students!$B$5:$B$304,MATCH($B18,Students!$A$5:$A$304,0))="","",INDEX(Students!$B$5:$B$304,MATCH($B18,Students!$A$5:$A$304,0))),""))</f>
        <v/>
      </c>
      <c r="D18" s="17" t="str">
        <f aca="false">IF($B18="","",IFERROR(IF(INDEX(Students!$C$5:$C$304,MATCH($B18,Students!$A$5:$A$304,0))="","",INDEX(Students!$C$5:$C$304,MATCH($B18,Students!$A$5:$A$304,0))),""))</f>
        <v/>
      </c>
      <c r="E18" s="51" t="str">
        <f aca="false">IF($B18="","",IFERROR(IF(INDEX(Students!$D$5:$D$304,MATCH($B18,Students!$A$5:$A$304,0))="","",INDEX(Students!$D$5:$D$304,MATCH($B18,Students!$A$5:$A$304,0))),""))</f>
        <v/>
      </c>
      <c r="F18" s="16" t="str">
        <f aca="false">IF($B18="","",IFERROR(IF(INDEX(Students!$G$5:$G$304,MATCH($B18,Students!$A$5:$A$304,0))="","",INDEX(Students!$G$5:$G$304,MATCH($B18,Students!$A$5:$A$304,0))),""))</f>
        <v/>
      </c>
      <c r="G18" s="17" t="str">
        <f aca="false">IF($B18="","",IFERROR(IF(INDEX(Students!$H$5:$H$304,MATCH($B18,Students!$A$5:$A$304,0))="","",INDEX(Students!$H$5:$H$304,MATCH($B18,Students!$A$5:$A$304,0))),""))</f>
        <v/>
      </c>
      <c r="H18" s="52"/>
    </row>
    <row r="19" customFormat="false" ht="19.5" hidden="false" customHeight="true" outlineLevel="0" collapsed="false">
      <c r="A19" s="17" t="str">
        <f aca="false">IF($B19="","",10)</f>
        <v/>
      </c>
      <c r="B19" s="17" t="str">
        <f aca="false">IFERROR(INDEX(Students!$A$5:$A$304,MATCH($C$4&amp;"|"&amp;$C$5&amp;"|"&amp;10,Students!$O$5:$O$304,0)),"")</f>
        <v/>
      </c>
      <c r="C19" s="16" t="str">
        <f aca="false">IF($B19="","",IFERROR(IF(INDEX(Students!$B$5:$B$304,MATCH($B19,Students!$A$5:$A$304,0))="","",INDEX(Students!$B$5:$B$304,MATCH($B19,Students!$A$5:$A$304,0))),""))</f>
        <v/>
      </c>
      <c r="D19" s="17" t="str">
        <f aca="false">IF($B19="","",IFERROR(IF(INDEX(Students!$C$5:$C$304,MATCH($B19,Students!$A$5:$A$304,0))="","",INDEX(Students!$C$5:$C$304,MATCH($B19,Students!$A$5:$A$304,0))),""))</f>
        <v/>
      </c>
      <c r="E19" s="51" t="str">
        <f aca="false">IF($B19="","",IFERROR(IF(INDEX(Students!$D$5:$D$304,MATCH($B19,Students!$A$5:$A$304,0))="","",INDEX(Students!$D$5:$D$304,MATCH($B19,Students!$A$5:$A$304,0))),""))</f>
        <v/>
      </c>
      <c r="F19" s="16" t="str">
        <f aca="false">IF($B19="","",IFERROR(IF(INDEX(Students!$G$5:$G$304,MATCH($B19,Students!$A$5:$A$304,0))="","",INDEX(Students!$G$5:$G$304,MATCH($B19,Students!$A$5:$A$304,0))),""))</f>
        <v/>
      </c>
      <c r="G19" s="17" t="str">
        <f aca="false">IF($B19="","",IFERROR(IF(INDEX(Students!$H$5:$H$304,MATCH($B19,Students!$A$5:$A$304,0))="","",INDEX(Students!$H$5:$H$304,MATCH($B19,Students!$A$5:$A$304,0))),""))</f>
        <v/>
      </c>
      <c r="H19" s="52"/>
    </row>
    <row r="20" customFormat="false" ht="19.5" hidden="false" customHeight="true" outlineLevel="0" collapsed="false">
      <c r="A20" s="17" t="str">
        <f aca="false">IF($B20="","",11)</f>
        <v/>
      </c>
      <c r="B20" s="17" t="str">
        <f aca="false">IFERROR(INDEX(Students!$A$5:$A$304,MATCH($C$4&amp;"|"&amp;$C$5&amp;"|"&amp;11,Students!$O$5:$O$304,0)),"")</f>
        <v/>
      </c>
      <c r="C20" s="16" t="str">
        <f aca="false">IF($B20="","",IFERROR(IF(INDEX(Students!$B$5:$B$304,MATCH($B20,Students!$A$5:$A$304,0))="","",INDEX(Students!$B$5:$B$304,MATCH($B20,Students!$A$5:$A$304,0))),""))</f>
        <v/>
      </c>
      <c r="D20" s="17" t="str">
        <f aca="false">IF($B20="","",IFERROR(IF(INDEX(Students!$C$5:$C$304,MATCH($B20,Students!$A$5:$A$304,0))="","",INDEX(Students!$C$5:$C$304,MATCH($B20,Students!$A$5:$A$304,0))),""))</f>
        <v/>
      </c>
      <c r="E20" s="51" t="str">
        <f aca="false">IF($B20="","",IFERROR(IF(INDEX(Students!$D$5:$D$304,MATCH($B20,Students!$A$5:$A$304,0))="","",INDEX(Students!$D$5:$D$304,MATCH($B20,Students!$A$5:$A$304,0))),""))</f>
        <v/>
      </c>
      <c r="F20" s="16" t="str">
        <f aca="false">IF($B20="","",IFERROR(IF(INDEX(Students!$G$5:$G$304,MATCH($B20,Students!$A$5:$A$304,0))="","",INDEX(Students!$G$5:$G$304,MATCH($B20,Students!$A$5:$A$304,0))),""))</f>
        <v/>
      </c>
      <c r="G20" s="17" t="str">
        <f aca="false">IF($B20="","",IFERROR(IF(INDEX(Students!$H$5:$H$304,MATCH($B20,Students!$A$5:$A$304,0))="","",INDEX(Students!$H$5:$H$304,MATCH($B20,Students!$A$5:$A$304,0))),""))</f>
        <v/>
      </c>
      <c r="H20" s="52"/>
    </row>
    <row r="21" customFormat="false" ht="19.5" hidden="false" customHeight="true" outlineLevel="0" collapsed="false">
      <c r="A21" s="17" t="str">
        <f aca="false">IF($B21="","",12)</f>
        <v/>
      </c>
      <c r="B21" s="17" t="str">
        <f aca="false">IFERROR(INDEX(Students!$A$5:$A$304,MATCH($C$4&amp;"|"&amp;$C$5&amp;"|"&amp;12,Students!$O$5:$O$304,0)),"")</f>
        <v/>
      </c>
      <c r="C21" s="16" t="str">
        <f aca="false">IF($B21="","",IFERROR(IF(INDEX(Students!$B$5:$B$304,MATCH($B21,Students!$A$5:$A$304,0))="","",INDEX(Students!$B$5:$B$304,MATCH($B21,Students!$A$5:$A$304,0))),""))</f>
        <v/>
      </c>
      <c r="D21" s="17" t="str">
        <f aca="false">IF($B21="","",IFERROR(IF(INDEX(Students!$C$5:$C$304,MATCH($B21,Students!$A$5:$A$304,0))="","",INDEX(Students!$C$5:$C$304,MATCH($B21,Students!$A$5:$A$304,0))),""))</f>
        <v/>
      </c>
      <c r="E21" s="51" t="str">
        <f aca="false">IF($B21="","",IFERROR(IF(INDEX(Students!$D$5:$D$304,MATCH($B21,Students!$A$5:$A$304,0))="","",INDEX(Students!$D$5:$D$304,MATCH($B21,Students!$A$5:$A$304,0))),""))</f>
        <v/>
      </c>
      <c r="F21" s="16" t="str">
        <f aca="false">IF($B21="","",IFERROR(IF(INDEX(Students!$G$5:$G$304,MATCH($B21,Students!$A$5:$A$304,0))="","",INDEX(Students!$G$5:$G$304,MATCH($B21,Students!$A$5:$A$304,0))),""))</f>
        <v/>
      </c>
      <c r="G21" s="17" t="str">
        <f aca="false">IF($B21="","",IFERROR(IF(INDEX(Students!$H$5:$H$304,MATCH($B21,Students!$A$5:$A$304,0))="","",INDEX(Students!$H$5:$H$304,MATCH($B21,Students!$A$5:$A$304,0))),""))</f>
        <v/>
      </c>
      <c r="H21" s="52"/>
    </row>
    <row r="22" customFormat="false" ht="19.5" hidden="false" customHeight="true" outlineLevel="0" collapsed="false">
      <c r="A22" s="17" t="str">
        <f aca="false">IF($B22="","",13)</f>
        <v/>
      </c>
      <c r="B22" s="17" t="str">
        <f aca="false">IFERROR(INDEX(Students!$A$5:$A$304,MATCH($C$4&amp;"|"&amp;$C$5&amp;"|"&amp;13,Students!$O$5:$O$304,0)),"")</f>
        <v/>
      </c>
      <c r="C22" s="16" t="str">
        <f aca="false">IF($B22="","",IFERROR(IF(INDEX(Students!$B$5:$B$304,MATCH($B22,Students!$A$5:$A$304,0))="","",INDEX(Students!$B$5:$B$304,MATCH($B22,Students!$A$5:$A$304,0))),""))</f>
        <v/>
      </c>
      <c r="D22" s="17" t="str">
        <f aca="false">IF($B22="","",IFERROR(IF(INDEX(Students!$C$5:$C$304,MATCH($B22,Students!$A$5:$A$304,0))="","",INDEX(Students!$C$5:$C$304,MATCH($B22,Students!$A$5:$A$304,0))),""))</f>
        <v/>
      </c>
      <c r="E22" s="51" t="str">
        <f aca="false">IF($B22="","",IFERROR(IF(INDEX(Students!$D$5:$D$304,MATCH($B22,Students!$A$5:$A$304,0))="","",INDEX(Students!$D$5:$D$304,MATCH($B22,Students!$A$5:$A$304,0))),""))</f>
        <v/>
      </c>
      <c r="F22" s="16" t="str">
        <f aca="false">IF($B22="","",IFERROR(IF(INDEX(Students!$G$5:$G$304,MATCH($B22,Students!$A$5:$A$304,0))="","",INDEX(Students!$G$5:$G$304,MATCH($B22,Students!$A$5:$A$304,0))),""))</f>
        <v/>
      </c>
      <c r="G22" s="17" t="str">
        <f aca="false">IF($B22="","",IFERROR(IF(INDEX(Students!$H$5:$H$304,MATCH($B22,Students!$A$5:$A$304,0))="","",INDEX(Students!$H$5:$H$304,MATCH($B22,Students!$A$5:$A$304,0))),""))</f>
        <v/>
      </c>
      <c r="H22" s="52"/>
    </row>
    <row r="23" customFormat="false" ht="19.5" hidden="false" customHeight="true" outlineLevel="0" collapsed="false">
      <c r="A23" s="17" t="str">
        <f aca="false">IF($B23="","",14)</f>
        <v/>
      </c>
      <c r="B23" s="17" t="str">
        <f aca="false">IFERROR(INDEX(Students!$A$5:$A$304,MATCH($C$4&amp;"|"&amp;$C$5&amp;"|"&amp;14,Students!$O$5:$O$304,0)),"")</f>
        <v/>
      </c>
      <c r="C23" s="16" t="str">
        <f aca="false">IF($B23="","",IFERROR(IF(INDEX(Students!$B$5:$B$304,MATCH($B23,Students!$A$5:$A$304,0))="","",INDEX(Students!$B$5:$B$304,MATCH($B23,Students!$A$5:$A$304,0))),""))</f>
        <v/>
      </c>
      <c r="D23" s="17" t="str">
        <f aca="false">IF($B23="","",IFERROR(IF(INDEX(Students!$C$5:$C$304,MATCH($B23,Students!$A$5:$A$304,0))="","",INDEX(Students!$C$5:$C$304,MATCH($B23,Students!$A$5:$A$304,0))),""))</f>
        <v/>
      </c>
      <c r="E23" s="51" t="str">
        <f aca="false">IF($B23="","",IFERROR(IF(INDEX(Students!$D$5:$D$304,MATCH($B23,Students!$A$5:$A$304,0))="","",INDEX(Students!$D$5:$D$304,MATCH($B23,Students!$A$5:$A$304,0))),""))</f>
        <v/>
      </c>
      <c r="F23" s="16" t="str">
        <f aca="false">IF($B23="","",IFERROR(IF(INDEX(Students!$G$5:$G$304,MATCH($B23,Students!$A$5:$A$304,0))="","",INDEX(Students!$G$5:$G$304,MATCH($B23,Students!$A$5:$A$304,0))),""))</f>
        <v/>
      </c>
      <c r="G23" s="17" t="str">
        <f aca="false">IF($B23="","",IFERROR(IF(INDEX(Students!$H$5:$H$304,MATCH($B23,Students!$A$5:$A$304,0))="","",INDEX(Students!$H$5:$H$304,MATCH($B23,Students!$A$5:$A$304,0))),""))</f>
        <v/>
      </c>
      <c r="H23" s="52"/>
    </row>
    <row r="24" customFormat="false" ht="19.5" hidden="false" customHeight="true" outlineLevel="0" collapsed="false">
      <c r="A24" s="17" t="str">
        <f aca="false">IF($B24="","",15)</f>
        <v/>
      </c>
      <c r="B24" s="17" t="str">
        <f aca="false">IFERROR(INDEX(Students!$A$5:$A$304,MATCH($C$4&amp;"|"&amp;$C$5&amp;"|"&amp;15,Students!$O$5:$O$304,0)),"")</f>
        <v/>
      </c>
      <c r="C24" s="16" t="str">
        <f aca="false">IF($B24="","",IFERROR(IF(INDEX(Students!$B$5:$B$304,MATCH($B24,Students!$A$5:$A$304,0))="","",INDEX(Students!$B$5:$B$304,MATCH($B24,Students!$A$5:$A$304,0))),""))</f>
        <v/>
      </c>
      <c r="D24" s="17" t="str">
        <f aca="false">IF($B24="","",IFERROR(IF(INDEX(Students!$C$5:$C$304,MATCH($B24,Students!$A$5:$A$304,0))="","",INDEX(Students!$C$5:$C$304,MATCH($B24,Students!$A$5:$A$304,0))),""))</f>
        <v/>
      </c>
      <c r="E24" s="51" t="str">
        <f aca="false">IF($B24="","",IFERROR(IF(INDEX(Students!$D$5:$D$304,MATCH($B24,Students!$A$5:$A$304,0))="","",INDEX(Students!$D$5:$D$304,MATCH($B24,Students!$A$5:$A$304,0))),""))</f>
        <v/>
      </c>
      <c r="F24" s="16" t="str">
        <f aca="false">IF($B24="","",IFERROR(IF(INDEX(Students!$G$5:$G$304,MATCH($B24,Students!$A$5:$A$304,0))="","",INDEX(Students!$G$5:$G$304,MATCH($B24,Students!$A$5:$A$304,0))),""))</f>
        <v/>
      </c>
      <c r="G24" s="17" t="str">
        <f aca="false">IF($B24="","",IFERROR(IF(INDEX(Students!$H$5:$H$304,MATCH($B24,Students!$A$5:$A$304,0))="","",INDEX(Students!$H$5:$H$304,MATCH($B24,Students!$A$5:$A$304,0))),""))</f>
        <v/>
      </c>
      <c r="H24" s="52"/>
    </row>
    <row r="25" customFormat="false" ht="19.5" hidden="false" customHeight="true" outlineLevel="0" collapsed="false">
      <c r="A25" s="17" t="str">
        <f aca="false">IF($B25="","",16)</f>
        <v/>
      </c>
      <c r="B25" s="17" t="str">
        <f aca="false">IFERROR(INDEX(Students!$A$5:$A$304,MATCH($C$4&amp;"|"&amp;$C$5&amp;"|"&amp;16,Students!$O$5:$O$304,0)),"")</f>
        <v/>
      </c>
      <c r="C25" s="16" t="str">
        <f aca="false">IF($B25="","",IFERROR(IF(INDEX(Students!$B$5:$B$304,MATCH($B25,Students!$A$5:$A$304,0))="","",INDEX(Students!$B$5:$B$304,MATCH($B25,Students!$A$5:$A$304,0))),""))</f>
        <v/>
      </c>
      <c r="D25" s="17" t="str">
        <f aca="false">IF($B25="","",IFERROR(IF(INDEX(Students!$C$5:$C$304,MATCH($B25,Students!$A$5:$A$304,0))="","",INDEX(Students!$C$5:$C$304,MATCH($B25,Students!$A$5:$A$304,0))),""))</f>
        <v/>
      </c>
      <c r="E25" s="51" t="str">
        <f aca="false">IF($B25="","",IFERROR(IF(INDEX(Students!$D$5:$D$304,MATCH($B25,Students!$A$5:$A$304,0))="","",INDEX(Students!$D$5:$D$304,MATCH($B25,Students!$A$5:$A$304,0))),""))</f>
        <v/>
      </c>
      <c r="F25" s="16" t="str">
        <f aca="false">IF($B25="","",IFERROR(IF(INDEX(Students!$G$5:$G$304,MATCH($B25,Students!$A$5:$A$304,0))="","",INDEX(Students!$G$5:$G$304,MATCH($B25,Students!$A$5:$A$304,0))),""))</f>
        <v/>
      </c>
      <c r="G25" s="17" t="str">
        <f aca="false">IF($B25="","",IFERROR(IF(INDEX(Students!$H$5:$H$304,MATCH($B25,Students!$A$5:$A$304,0))="","",INDEX(Students!$H$5:$H$304,MATCH($B25,Students!$A$5:$A$304,0))),""))</f>
        <v/>
      </c>
      <c r="H25" s="52"/>
    </row>
    <row r="26" customFormat="false" ht="19.5" hidden="false" customHeight="true" outlineLevel="0" collapsed="false">
      <c r="A26" s="17" t="str">
        <f aca="false">IF($B26="","",17)</f>
        <v/>
      </c>
      <c r="B26" s="17" t="str">
        <f aca="false">IFERROR(INDEX(Students!$A$5:$A$304,MATCH($C$4&amp;"|"&amp;$C$5&amp;"|"&amp;17,Students!$O$5:$O$304,0)),"")</f>
        <v/>
      </c>
      <c r="C26" s="16" t="str">
        <f aca="false">IF($B26="","",IFERROR(IF(INDEX(Students!$B$5:$B$304,MATCH($B26,Students!$A$5:$A$304,0))="","",INDEX(Students!$B$5:$B$304,MATCH($B26,Students!$A$5:$A$304,0))),""))</f>
        <v/>
      </c>
      <c r="D26" s="17" t="str">
        <f aca="false">IF($B26="","",IFERROR(IF(INDEX(Students!$C$5:$C$304,MATCH($B26,Students!$A$5:$A$304,0))="","",INDEX(Students!$C$5:$C$304,MATCH($B26,Students!$A$5:$A$304,0))),""))</f>
        <v/>
      </c>
      <c r="E26" s="51" t="str">
        <f aca="false">IF($B26="","",IFERROR(IF(INDEX(Students!$D$5:$D$304,MATCH($B26,Students!$A$5:$A$304,0))="","",INDEX(Students!$D$5:$D$304,MATCH($B26,Students!$A$5:$A$304,0))),""))</f>
        <v/>
      </c>
      <c r="F26" s="16" t="str">
        <f aca="false">IF($B26="","",IFERROR(IF(INDEX(Students!$G$5:$G$304,MATCH($B26,Students!$A$5:$A$304,0))="","",INDEX(Students!$G$5:$G$304,MATCH($B26,Students!$A$5:$A$304,0))),""))</f>
        <v/>
      </c>
      <c r="G26" s="17" t="str">
        <f aca="false">IF($B26="","",IFERROR(IF(INDEX(Students!$H$5:$H$304,MATCH($B26,Students!$A$5:$A$304,0))="","",INDEX(Students!$H$5:$H$304,MATCH($B26,Students!$A$5:$A$304,0))),""))</f>
        <v/>
      </c>
      <c r="H26" s="52"/>
    </row>
    <row r="27" customFormat="false" ht="19.5" hidden="false" customHeight="true" outlineLevel="0" collapsed="false">
      <c r="A27" s="17" t="str">
        <f aca="false">IF($B27="","",18)</f>
        <v/>
      </c>
      <c r="B27" s="17" t="str">
        <f aca="false">IFERROR(INDEX(Students!$A$5:$A$304,MATCH($C$4&amp;"|"&amp;$C$5&amp;"|"&amp;18,Students!$O$5:$O$304,0)),"")</f>
        <v/>
      </c>
      <c r="C27" s="16" t="str">
        <f aca="false">IF($B27="","",IFERROR(IF(INDEX(Students!$B$5:$B$304,MATCH($B27,Students!$A$5:$A$304,0))="","",INDEX(Students!$B$5:$B$304,MATCH($B27,Students!$A$5:$A$304,0))),""))</f>
        <v/>
      </c>
      <c r="D27" s="17" t="str">
        <f aca="false">IF($B27="","",IFERROR(IF(INDEX(Students!$C$5:$C$304,MATCH($B27,Students!$A$5:$A$304,0))="","",INDEX(Students!$C$5:$C$304,MATCH($B27,Students!$A$5:$A$304,0))),""))</f>
        <v/>
      </c>
      <c r="E27" s="51" t="str">
        <f aca="false">IF($B27="","",IFERROR(IF(INDEX(Students!$D$5:$D$304,MATCH($B27,Students!$A$5:$A$304,0))="","",INDEX(Students!$D$5:$D$304,MATCH($B27,Students!$A$5:$A$304,0))),""))</f>
        <v/>
      </c>
      <c r="F27" s="16" t="str">
        <f aca="false">IF($B27="","",IFERROR(IF(INDEX(Students!$G$5:$G$304,MATCH($B27,Students!$A$5:$A$304,0))="","",INDEX(Students!$G$5:$G$304,MATCH($B27,Students!$A$5:$A$304,0))),""))</f>
        <v/>
      </c>
      <c r="G27" s="17" t="str">
        <f aca="false">IF($B27="","",IFERROR(IF(INDEX(Students!$H$5:$H$304,MATCH($B27,Students!$A$5:$A$304,0))="","",INDEX(Students!$H$5:$H$304,MATCH($B27,Students!$A$5:$A$304,0))),""))</f>
        <v/>
      </c>
      <c r="H27" s="52"/>
    </row>
    <row r="28" customFormat="false" ht="19.5" hidden="false" customHeight="true" outlineLevel="0" collapsed="false">
      <c r="A28" s="17" t="str">
        <f aca="false">IF($B28="","",19)</f>
        <v/>
      </c>
      <c r="B28" s="17" t="str">
        <f aca="false">IFERROR(INDEX(Students!$A$5:$A$304,MATCH($C$4&amp;"|"&amp;$C$5&amp;"|"&amp;19,Students!$O$5:$O$304,0)),"")</f>
        <v/>
      </c>
      <c r="C28" s="16" t="str">
        <f aca="false">IF($B28="","",IFERROR(IF(INDEX(Students!$B$5:$B$304,MATCH($B28,Students!$A$5:$A$304,0))="","",INDEX(Students!$B$5:$B$304,MATCH($B28,Students!$A$5:$A$304,0))),""))</f>
        <v/>
      </c>
      <c r="D28" s="17" t="str">
        <f aca="false">IF($B28="","",IFERROR(IF(INDEX(Students!$C$5:$C$304,MATCH($B28,Students!$A$5:$A$304,0))="","",INDEX(Students!$C$5:$C$304,MATCH($B28,Students!$A$5:$A$304,0))),""))</f>
        <v/>
      </c>
      <c r="E28" s="51" t="str">
        <f aca="false">IF($B28="","",IFERROR(IF(INDEX(Students!$D$5:$D$304,MATCH($B28,Students!$A$5:$A$304,0))="","",INDEX(Students!$D$5:$D$304,MATCH($B28,Students!$A$5:$A$304,0))),""))</f>
        <v/>
      </c>
      <c r="F28" s="16" t="str">
        <f aca="false">IF($B28="","",IFERROR(IF(INDEX(Students!$G$5:$G$304,MATCH($B28,Students!$A$5:$A$304,0))="","",INDEX(Students!$G$5:$G$304,MATCH($B28,Students!$A$5:$A$304,0))),""))</f>
        <v/>
      </c>
      <c r="G28" s="17" t="str">
        <f aca="false">IF($B28="","",IFERROR(IF(INDEX(Students!$H$5:$H$304,MATCH($B28,Students!$A$5:$A$304,0))="","",INDEX(Students!$H$5:$H$304,MATCH($B28,Students!$A$5:$A$304,0))),""))</f>
        <v/>
      </c>
      <c r="H28" s="52"/>
    </row>
    <row r="29" customFormat="false" ht="19.5" hidden="false" customHeight="true" outlineLevel="0" collapsed="false">
      <c r="A29" s="17" t="str">
        <f aca="false">IF($B29="","",20)</f>
        <v/>
      </c>
      <c r="B29" s="17" t="str">
        <f aca="false">IFERROR(INDEX(Students!$A$5:$A$304,MATCH($C$4&amp;"|"&amp;$C$5&amp;"|"&amp;20,Students!$O$5:$O$304,0)),"")</f>
        <v/>
      </c>
      <c r="C29" s="16" t="str">
        <f aca="false">IF($B29="","",IFERROR(IF(INDEX(Students!$B$5:$B$304,MATCH($B29,Students!$A$5:$A$304,0))="","",INDEX(Students!$B$5:$B$304,MATCH($B29,Students!$A$5:$A$304,0))),""))</f>
        <v/>
      </c>
      <c r="D29" s="17" t="str">
        <f aca="false">IF($B29="","",IFERROR(IF(INDEX(Students!$C$5:$C$304,MATCH($B29,Students!$A$5:$A$304,0))="","",INDEX(Students!$C$5:$C$304,MATCH($B29,Students!$A$5:$A$304,0))),""))</f>
        <v/>
      </c>
      <c r="E29" s="51" t="str">
        <f aca="false">IF($B29="","",IFERROR(IF(INDEX(Students!$D$5:$D$304,MATCH($B29,Students!$A$5:$A$304,0))="","",INDEX(Students!$D$5:$D$304,MATCH($B29,Students!$A$5:$A$304,0))),""))</f>
        <v/>
      </c>
      <c r="F29" s="16" t="str">
        <f aca="false">IF($B29="","",IFERROR(IF(INDEX(Students!$G$5:$G$304,MATCH($B29,Students!$A$5:$A$304,0))="","",INDEX(Students!$G$5:$G$304,MATCH($B29,Students!$A$5:$A$304,0))),""))</f>
        <v/>
      </c>
      <c r="G29" s="17" t="str">
        <f aca="false">IF($B29="","",IFERROR(IF(INDEX(Students!$H$5:$H$304,MATCH($B29,Students!$A$5:$A$304,0))="","",INDEX(Students!$H$5:$H$304,MATCH($B29,Students!$A$5:$A$304,0))),""))</f>
        <v/>
      </c>
      <c r="H29" s="52"/>
    </row>
    <row r="30" customFormat="false" ht="19.5" hidden="false" customHeight="true" outlineLevel="0" collapsed="false">
      <c r="A30" s="17" t="str">
        <f aca="false">IF($B30="","",21)</f>
        <v/>
      </c>
      <c r="B30" s="17" t="str">
        <f aca="false">IFERROR(INDEX(Students!$A$5:$A$304,MATCH($C$4&amp;"|"&amp;$C$5&amp;"|"&amp;21,Students!$O$5:$O$304,0)),"")</f>
        <v/>
      </c>
      <c r="C30" s="16" t="str">
        <f aca="false">IF($B30="","",IFERROR(IF(INDEX(Students!$B$5:$B$304,MATCH($B30,Students!$A$5:$A$304,0))="","",INDEX(Students!$B$5:$B$304,MATCH($B30,Students!$A$5:$A$304,0))),""))</f>
        <v/>
      </c>
      <c r="D30" s="17" t="str">
        <f aca="false">IF($B30="","",IFERROR(IF(INDEX(Students!$C$5:$C$304,MATCH($B30,Students!$A$5:$A$304,0))="","",INDEX(Students!$C$5:$C$304,MATCH($B30,Students!$A$5:$A$304,0))),""))</f>
        <v/>
      </c>
      <c r="E30" s="51" t="str">
        <f aca="false">IF($B30="","",IFERROR(IF(INDEX(Students!$D$5:$D$304,MATCH($B30,Students!$A$5:$A$304,0))="","",INDEX(Students!$D$5:$D$304,MATCH($B30,Students!$A$5:$A$304,0))),""))</f>
        <v/>
      </c>
      <c r="F30" s="16" t="str">
        <f aca="false">IF($B30="","",IFERROR(IF(INDEX(Students!$G$5:$G$304,MATCH($B30,Students!$A$5:$A$304,0))="","",INDEX(Students!$G$5:$G$304,MATCH($B30,Students!$A$5:$A$304,0))),""))</f>
        <v/>
      </c>
      <c r="G30" s="17" t="str">
        <f aca="false">IF($B30="","",IFERROR(IF(INDEX(Students!$H$5:$H$304,MATCH($B30,Students!$A$5:$A$304,0))="","",INDEX(Students!$H$5:$H$304,MATCH($B30,Students!$A$5:$A$304,0))),""))</f>
        <v/>
      </c>
      <c r="H30" s="52"/>
    </row>
    <row r="31" customFormat="false" ht="19.5" hidden="false" customHeight="true" outlineLevel="0" collapsed="false">
      <c r="A31" s="17" t="str">
        <f aca="false">IF($B31="","",22)</f>
        <v/>
      </c>
      <c r="B31" s="17" t="str">
        <f aca="false">IFERROR(INDEX(Students!$A$5:$A$304,MATCH($C$4&amp;"|"&amp;$C$5&amp;"|"&amp;22,Students!$O$5:$O$304,0)),"")</f>
        <v/>
      </c>
      <c r="C31" s="16" t="str">
        <f aca="false">IF($B31="","",IFERROR(IF(INDEX(Students!$B$5:$B$304,MATCH($B31,Students!$A$5:$A$304,0))="","",INDEX(Students!$B$5:$B$304,MATCH($B31,Students!$A$5:$A$304,0))),""))</f>
        <v/>
      </c>
      <c r="D31" s="17" t="str">
        <f aca="false">IF($B31="","",IFERROR(IF(INDEX(Students!$C$5:$C$304,MATCH($B31,Students!$A$5:$A$304,0))="","",INDEX(Students!$C$5:$C$304,MATCH($B31,Students!$A$5:$A$304,0))),""))</f>
        <v/>
      </c>
      <c r="E31" s="51" t="str">
        <f aca="false">IF($B31="","",IFERROR(IF(INDEX(Students!$D$5:$D$304,MATCH($B31,Students!$A$5:$A$304,0))="","",INDEX(Students!$D$5:$D$304,MATCH($B31,Students!$A$5:$A$304,0))),""))</f>
        <v/>
      </c>
      <c r="F31" s="16" t="str">
        <f aca="false">IF($B31="","",IFERROR(IF(INDEX(Students!$G$5:$G$304,MATCH($B31,Students!$A$5:$A$304,0))="","",INDEX(Students!$G$5:$G$304,MATCH($B31,Students!$A$5:$A$304,0))),""))</f>
        <v/>
      </c>
      <c r="G31" s="17" t="str">
        <f aca="false">IF($B31="","",IFERROR(IF(INDEX(Students!$H$5:$H$304,MATCH($B31,Students!$A$5:$A$304,0))="","",INDEX(Students!$H$5:$H$304,MATCH($B31,Students!$A$5:$A$304,0))),""))</f>
        <v/>
      </c>
      <c r="H31" s="52"/>
    </row>
    <row r="32" customFormat="false" ht="19.5" hidden="false" customHeight="true" outlineLevel="0" collapsed="false">
      <c r="A32" s="17" t="str">
        <f aca="false">IF($B32="","",23)</f>
        <v/>
      </c>
      <c r="B32" s="17" t="str">
        <f aca="false">IFERROR(INDEX(Students!$A$5:$A$304,MATCH($C$4&amp;"|"&amp;$C$5&amp;"|"&amp;23,Students!$O$5:$O$304,0)),"")</f>
        <v/>
      </c>
      <c r="C32" s="16" t="str">
        <f aca="false">IF($B32="","",IFERROR(IF(INDEX(Students!$B$5:$B$304,MATCH($B32,Students!$A$5:$A$304,0))="","",INDEX(Students!$B$5:$B$304,MATCH($B32,Students!$A$5:$A$304,0))),""))</f>
        <v/>
      </c>
      <c r="D32" s="17" t="str">
        <f aca="false">IF($B32="","",IFERROR(IF(INDEX(Students!$C$5:$C$304,MATCH($B32,Students!$A$5:$A$304,0))="","",INDEX(Students!$C$5:$C$304,MATCH($B32,Students!$A$5:$A$304,0))),""))</f>
        <v/>
      </c>
      <c r="E32" s="51" t="str">
        <f aca="false">IF($B32="","",IFERROR(IF(INDEX(Students!$D$5:$D$304,MATCH($B32,Students!$A$5:$A$304,0))="","",INDEX(Students!$D$5:$D$304,MATCH($B32,Students!$A$5:$A$304,0))),""))</f>
        <v/>
      </c>
      <c r="F32" s="16" t="str">
        <f aca="false">IF($B32="","",IFERROR(IF(INDEX(Students!$G$5:$G$304,MATCH($B32,Students!$A$5:$A$304,0))="","",INDEX(Students!$G$5:$G$304,MATCH($B32,Students!$A$5:$A$304,0))),""))</f>
        <v/>
      </c>
      <c r="G32" s="17" t="str">
        <f aca="false">IF($B32="","",IFERROR(IF(INDEX(Students!$H$5:$H$304,MATCH($B32,Students!$A$5:$A$304,0))="","",INDEX(Students!$H$5:$H$304,MATCH($B32,Students!$A$5:$A$304,0))),""))</f>
        <v/>
      </c>
      <c r="H32" s="52"/>
    </row>
    <row r="33" customFormat="false" ht="19.5" hidden="false" customHeight="true" outlineLevel="0" collapsed="false">
      <c r="A33" s="17" t="str">
        <f aca="false">IF($B33="","",24)</f>
        <v/>
      </c>
      <c r="B33" s="17" t="str">
        <f aca="false">IFERROR(INDEX(Students!$A$5:$A$304,MATCH($C$4&amp;"|"&amp;$C$5&amp;"|"&amp;24,Students!$O$5:$O$304,0)),"")</f>
        <v/>
      </c>
      <c r="C33" s="16" t="str">
        <f aca="false">IF($B33="","",IFERROR(IF(INDEX(Students!$B$5:$B$304,MATCH($B33,Students!$A$5:$A$304,0))="","",INDEX(Students!$B$5:$B$304,MATCH($B33,Students!$A$5:$A$304,0))),""))</f>
        <v/>
      </c>
      <c r="D33" s="17" t="str">
        <f aca="false">IF($B33="","",IFERROR(IF(INDEX(Students!$C$5:$C$304,MATCH($B33,Students!$A$5:$A$304,0))="","",INDEX(Students!$C$5:$C$304,MATCH($B33,Students!$A$5:$A$304,0))),""))</f>
        <v/>
      </c>
      <c r="E33" s="51" t="str">
        <f aca="false">IF($B33="","",IFERROR(IF(INDEX(Students!$D$5:$D$304,MATCH($B33,Students!$A$5:$A$304,0))="","",INDEX(Students!$D$5:$D$304,MATCH($B33,Students!$A$5:$A$304,0))),""))</f>
        <v/>
      </c>
      <c r="F33" s="16" t="str">
        <f aca="false">IF($B33="","",IFERROR(IF(INDEX(Students!$G$5:$G$304,MATCH($B33,Students!$A$5:$A$304,0))="","",INDEX(Students!$G$5:$G$304,MATCH($B33,Students!$A$5:$A$304,0))),""))</f>
        <v/>
      </c>
      <c r="G33" s="17" t="str">
        <f aca="false">IF($B33="","",IFERROR(IF(INDEX(Students!$H$5:$H$304,MATCH($B33,Students!$A$5:$A$304,0))="","",INDEX(Students!$H$5:$H$304,MATCH($B33,Students!$A$5:$A$304,0))),""))</f>
        <v/>
      </c>
      <c r="H33" s="52"/>
    </row>
    <row r="34" customFormat="false" ht="19.5" hidden="false" customHeight="true" outlineLevel="0" collapsed="false">
      <c r="A34" s="17" t="str">
        <f aca="false">IF($B34="","",25)</f>
        <v/>
      </c>
      <c r="B34" s="17" t="str">
        <f aca="false">IFERROR(INDEX(Students!$A$5:$A$304,MATCH($C$4&amp;"|"&amp;$C$5&amp;"|"&amp;25,Students!$O$5:$O$304,0)),"")</f>
        <v/>
      </c>
      <c r="C34" s="16" t="str">
        <f aca="false">IF($B34="","",IFERROR(IF(INDEX(Students!$B$5:$B$304,MATCH($B34,Students!$A$5:$A$304,0))="","",INDEX(Students!$B$5:$B$304,MATCH($B34,Students!$A$5:$A$304,0))),""))</f>
        <v/>
      </c>
      <c r="D34" s="17" t="str">
        <f aca="false">IF($B34="","",IFERROR(IF(INDEX(Students!$C$5:$C$304,MATCH($B34,Students!$A$5:$A$304,0))="","",INDEX(Students!$C$5:$C$304,MATCH($B34,Students!$A$5:$A$304,0))),""))</f>
        <v/>
      </c>
      <c r="E34" s="51" t="str">
        <f aca="false">IF($B34="","",IFERROR(IF(INDEX(Students!$D$5:$D$304,MATCH($B34,Students!$A$5:$A$304,0))="","",INDEX(Students!$D$5:$D$304,MATCH($B34,Students!$A$5:$A$304,0))),""))</f>
        <v/>
      </c>
      <c r="F34" s="16" t="str">
        <f aca="false">IF($B34="","",IFERROR(IF(INDEX(Students!$G$5:$G$304,MATCH($B34,Students!$A$5:$A$304,0))="","",INDEX(Students!$G$5:$G$304,MATCH($B34,Students!$A$5:$A$304,0))),""))</f>
        <v/>
      </c>
      <c r="G34" s="17" t="str">
        <f aca="false">IF($B34="","",IFERROR(IF(INDEX(Students!$H$5:$H$304,MATCH($B34,Students!$A$5:$A$304,0))="","",INDEX(Students!$H$5:$H$304,MATCH($B34,Students!$A$5:$A$304,0))),""))</f>
        <v/>
      </c>
      <c r="H34" s="52"/>
    </row>
    <row r="35" customFormat="false" ht="19.5" hidden="false" customHeight="true" outlineLevel="0" collapsed="false">
      <c r="A35" s="17" t="str">
        <f aca="false">IF($B35="","",26)</f>
        <v/>
      </c>
      <c r="B35" s="17" t="str">
        <f aca="false">IFERROR(INDEX(Students!$A$5:$A$304,MATCH($C$4&amp;"|"&amp;$C$5&amp;"|"&amp;26,Students!$O$5:$O$304,0)),"")</f>
        <v/>
      </c>
      <c r="C35" s="16" t="str">
        <f aca="false">IF($B35="","",IFERROR(IF(INDEX(Students!$B$5:$B$304,MATCH($B35,Students!$A$5:$A$304,0))="","",INDEX(Students!$B$5:$B$304,MATCH($B35,Students!$A$5:$A$304,0))),""))</f>
        <v/>
      </c>
      <c r="D35" s="17" t="str">
        <f aca="false">IF($B35="","",IFERROR(IF(INDEX(Students!$C$5:$C$304,MATCH($B35,Students!$A$5:$A$304,0))="","",INDEX(Students!$C$5:$C$304,MATCH($B35,Students!$A$5:$A$304,0))),""))</f>
        <v/>
      </c>
      <c r="E35" s="51" t="str">
        <f aca="false">IF($B35="","",IFERROR(IF(INDEX(Students!$D$5:$D$304,MATCH($B35,Students!$A$5:$A$304,0))="","",INDEX(Students!$D$5:$D$304,MATCH($B35,Students!$A$5:$A$304,0))),""))</f>
        <v/>
      </c>
      <c r="F35" s="16" t="str">
        <f aca="false">IF($B35="","",IFERROR(IF(INDEX(Students!$G$5:$G$304,MATCH($B35,Students!$A$5:$A$304,0))="","",INDEX(Students!$G$5:$G$304,MATCH($B35,Students!$A$5:$A$304,0))),""))</f>
        <v/>
      </c>
      <c r="G35" s="17" t="str">
        <f aca="false">IF($B35="","",IFERROR(IF(INDEX(Students!$H$5:$H$304,MATCH($B35,Students!$A$5:$A$304,0))="","",INDEX(Students!$H$5:$H$304,MATCH($B35,Students!$A$5:$A$304,0))),""))</f>
        <v/>
      </c>
      <c r="H35" s="52"/>
    </row>
    <row r="36" customFormat="false" ht="19.5" hidden="false" customHeight="true" outlineLevel="0" collapsed="false">
      <c r="A36" s="17" t="str">
        <f aca="false">IF($B36="","",27)</f>
        <v/>
      </c>
      <c r="B36" s="17" t="str">
        <f aca="false">IFERROR(INDEX(Students!$A$5:$A$304,MATCH($C$4&amp;"|"&amp;$C$5&amp;"|"&amp;27,Students!$O$5:$O$304,0)),"")</f>
        <v/>
      </c>
      <c r="C36" s="16" t="str">
        <f aca="false">IF($B36="","",IFERROR(IF(INDEX(Students!$B$5:$B$304,MATCH($B36,Students!$A$5:$A$304,0))="","",INDEX(Students!$B$5:$B$304,MATCH($B36,Students!$A$5:$A$304,0))),""))</f>
        <v/>
      </c>
      <c r="D36" s="17" t="str">
        <f aca="false">IF($B36="","",IFERROR(IF(INDEX(Students!$C$5:$C$304,MATCH($B36,Students!$A$5:$A$304,0))="","",INDEX(Students!$C$5:$C$304,MATCH($B36,Students!$A$5:$A$304,0))),""))</f>
        <v/>
      </c>
      <c r="E36" s="51" t="str">
        <f aca="false">IF($B36="","",IFERROR(IF(INDEX(Students!$D$5:$D$304,MATCH($B36,Students!$A$5:$A$304,0))="","",INDEX(Students!$D$5:$D$304,MATCH($B36,Students!$A$5:$A$304,0))),""))</f>
        <v/>
      </c>
      <c r="F36" s="16" t="str">
        <f aca="false">IF($B36="","",IFERROR(IF(INDEX(Students!$G$5:$G$304,MATCH($B36,Students!$A$5:$A$304,0))="","",INDEX(Students!$G$5:$G$304,MATCH($B36,Students!$A$5:$A$304,0))),""))</f>
        <v/>
      </c>
      <c r="G36" s="17" t="str">
        <f aca="false">IF($B36="","",IFERROR(IF(INDEX(Students!$H$5:$H$304,MATCH($B36,Students!$A$5:$A$304,0))="","",INDEX(Students!$H$5:$H$304,MATCH($B36,Students!$A$5:$A$304,0))),""))</f>
        <v/>
      </c>
      <c r="H36" s="52"/>
    </row>
    <row r="37" customFormat="false" ht="19.5" hidden="false" customHeight="true" outlineLevel="0" collapsed="false">
      <c r="A37" s="17" t="str">
        <f aca="false">IF($B37="","",28)</f>
        <v/>
      </c>
      <c r="B37" s="17" t="str">
        <f aca="false">IFERROR(INDEX(Students!$A$5:$A$304,MATCH($C$4&amp;"|"&amp;$C$5&amp;"|"&amp;28,Students!$O$5:$O$304,0)),"")</f>
        <v/>
      </c>
      <c r="C37" s="16" t="str">
        <f aca="false">IF($B37="","",IFERROR(IF(INDEX(Students!$B$5:$B$304,MATCH($B37,Students!$A$5:$A$304,0))="","",INDEX(Students!$B$5:$B$304,MATCH($B37,Students!$A$5:$A$304,0))),""))</f>
        <v/>
      </c>
      <c r="D37" s="17" t="str">
        <f aca="false">IF($B37="","",IFERROR(IF(INDEX(Students!$C$5:$C$304,MATCH($B37,Students!$A$5:$A$304,0))="","",INDEX(Students!$C$5:$C$304,MATCH($B37,Students!$A$5:$A$304,0))),""))</f>
        <v/>
      </c>
      <c r="E37" s="51" t="str">
        <f aca="false">IF($B37="","",IFERROR(IF(INDEX(Students!$D$5:$D$304,MATCH($B37,Students!$A$5:$A$304,0))="","",INDEX(Students!$D$5:$D$304,MATCH($B37,Students!$A$5:$A$304,0))),""))</f>
        <v/>
      </c>
      <c r="F37" s="16" t="str">
        <f aca="false">IF($B37="","",IFERROR(IF(INDEX(Students!$G$5:$G$304,MATCH($B37,Students!$A$5:$A$304,0))="","",INDEX(Students!$G$5:$G$304,MATCH($B37,Students!$A$5:$A$304,0))),""))</f>
        <v/>
      </c>
      <c r="G37" s="17" t="str">
        <f aca="false">IF($B37="","",IFERROR(IF(INDEX(Students!$H$5:$H$304,MATCH($B37,Students!$A$5:$A$304,0))="","",INDEX(Students!$H$5:$H$304,MATCH($B37,Students!$A$5:$A$304,0))),""))</f>
        <v/>
      </c>
      <c r="H37" s="52"/>
    </row>
    <row r="38" customFormat="false" ht="19.5" hidden="false" customHeight="true" outlineLevel="0" collapsed="false">
      <c r="A38" s="17" t="str">
        <f aca="false">IF($B38="","",29)</f>
        <v/>
      </c>
      <c r="B38" s="17" t="str">
        <f aca="false">IFERROR(INDEX(Students!$A$5:$A$304,MATCH($C$4&amp;"|"&amp;$C$5&amp;"|"&amp;29,Students!$O$5:$O$304,0)),"")</f>
        <v/>
      </c>
      <c r="C38" s="16" t="str">
        <f aca="false">IF($B38="","",IFERROR(IF(INDEX(Students!$B$5:$B$304,MATCH($B38,Students!$A$5:$A$304,0))="","",INDEX(Students!$B$5:$B$304,MATCH($B38,Students!$A$5:$A$304,0))),""))</f>
        <v/>
      </c>
      <c r="D38" s="17" t="str">
        <f aca="false">IF($B38="","",IFERROR(IF(INDEX(Students!$C$5:$C$304,MATCH($B38,Students!$A$5:$A$304,0))="","",INDEX(Students!$C$5:$C$304,MATCH($B38,Students!$A$5:$A$304,0))),""))</f>
        <v/>
      </c>
      <c r="E38" s="51" t="str">
        <f aca="false">IF($B38="","",IFERROR(IF(INDEX(Students!$D$5:$D$304,MATCH($B38,Students!$A$5:$A$304,0))="","",INDEX(Students!$D$5:$D$304,MATCH($B38,Students!$A$5:$A$304,0))),""))</f>
        <v/>
      </c>
      <c r="F38" s="16" t="str">
        <f aca="false">IF($B38="","",IFERROR(IF(INDEX(Students!$G$5:$G$304,MATCH($B38,Students!$A$5:$A$304,0))="","",INDEX(Students!$G$5:$G$304,MATCH($B38,Students!$A$5:$A$304,0))),""))</f>
        <v/>
      </c>
      <c r="G38" s="17" t="str">
        <f aca="false">IF($B38="","",IFERROR(IF(INDEX(Students!$H$5:$H$304,MATCH($B38,Students!$A$5:$A$304,0))="","",INDEX(Students!$H$5:$H$304,MATCH($B38,Students!$A$5:$A$304,0))),""))</f>
        <v/>
      </c>
      <c r="H38" s="52"/>
    </row>
    <row r="39" customFormat="false" ht="19.5" hidden="false" customHeight="true" outlineLevel="0" collapsed="false">
      <c r="A39" s="17" t="str">
        <f aca="false">IF($B39="","",30)</f>
        <v/>
      </c>
      <c r="B39" s="17" t="str">
        <f aca="false">IFERROR(INDEX(Students!$A$5:$A$304,MATCH($C$4&amp;"|"&amp;$C$5&amp;"|"&amp;30,Students!$O$5:$O$304,0)),"")</f>
        <v/>
      </c>
      <c r="C39" s="16" t="str">
        <f aca="false">IF($B39="","",IFERROR(IF(INDEX(Students!$B$5:$B$304,MATCH($B39,Students!$A$5:$A$304,0))="","",INDEX(Students!$B$5:$B$304,MATCH($B39,Students!$A$5:$A$304,0))),""))</f>
        <v/>
      </c>
      <c r="D39" s="17" t="str">
        <f aca="false">IF($B39="","",IFERROR(IF(INDEX(Students!$C$5:$C$304,MATCH($B39,Students!$A$5:$A$304,0))="","",INDEX(Students!$C$5:$C$304,MATCH($B39,Students!$A$5:$A$304,0))),""))</f>
        <v/>
      </c>
      <c r="E39" s="51" t="str">
        <f aca="false">IF($B39="","",IFERROR(IF(INDEX(Students!$D$5:$D$304,MATCH($B39,Students!$A$5:$A$304,0))="","",INDEX(Students!$D$5:$D$304,MATCH($B39,Students!$A$5:$A$304,0))),""))</f>
        <v/>
      </c>
      <c r="F39" s="16" t="str">
        <f aca="false">IF($B39="","",IFERROR(IF(INDEX(Students!$G$5:$G$304,MATCH($B39,Students!$A$5:$A$304,0))="","",INDEX(Students!$G$5:$G$304,MATCH($B39,Students!$A$5:$A$304,0))),""))</f>
        <v/>
      </c>
      <c r="G39" s="17" t="str">
        <f aca="false">IF($B39="","",IFERROR(IF(INDEX(Students!$H$5:$H$304,MATCH($B39,Students!$A$5:$A$304,0))="","",INDEX(Students!$H$5:$H$304,MATCH($B39,Students!$A$5:$A$304,0))),""))</f>
        <v/>
      </c>
      <c r="H39" s="52"/>
    </row>
    <row r="40" customFormat="false" ht="19.5" hidden="false" customHeight="true" outlineLevel="0" collapsed="false">
      <c r="A40" s="17" t="str">
        <f aca="false">IF($B40="","",31)</f>
        <v/>
      </c>
      <c r="B40" s="17" t="str">
        <f aca="false">IFERROR(INDEX(Students!$A$5:$A$304,MATCH($C$4&amp;"|"&amp;$C$5&amp;"|"&amp;31,Students!$O$5:$O$304,0)),"")</f>
        <v/>
      </c>
      <c r="C40" s="16" t="str">
        <f aca="false">IF($B40="","",IFERROR(IF(INDEX(Students!$B$5:$B$304,MATCH($B40,Students!$A$5:$A$304,0))="","",INDEX(Students!$B$5:$B$304,MATCH($B40,Students!$A$5:$A$304,0))),""))</f>
        <v/>
      </c>
      <c r="D40" s="17" t="str">
        <f aca="false">IF($B40="","",IFERROR(IF(INDEX(Students!$C$5:$C$304,MATCH($B40,Students!$A$5:$A$304,0))="","",INDEX(Students!$C$5:$C$304,MATCH($B40,Students!$A$5:$A$304,0))),""))</f>
        <v/>
      </c>
      <c r="E40" s="51" t="str">
        <f aca="false">IF($B40="","",IFERROR(IF(INDEX(Students!$D$5:$D$304,MATCH($B40,Students!$A$5:$A$304,0))="","",INDEX(Students!$D$5:$D$304,MATCH($B40,Students!$A$5:$A$304,0))),""))</f>
        <v/>
      </c>
      <c r="F40" s="16" t="str">
        <f aca="false">IF($B40="","",IFERROR(IF(INDEX(Students!$G$5:$G$304,MATCH($B40,Students!$A$5:$A$304,0))="","",INDEX(Students!$G$5:$G$304,MATCH($B40,Students!$A$5:$A$304,0))),""))</f>
        <v/>
      </c>
      <c r="G40" s="17" t="str">
        <f aca="false">IF($B40="","",IFERROR(IF(INDEX(Students!$H$5:$H$304,MATCH($B40,Students!$A$5:$A$304,0))="","",INDEX(Students!$H$5:$H$304,MATCH($B40,Students!$A$5:$A$304,0))),""))</f>
        <v/>
      </c>
      <c r="H40" s="52"/>
    </row>
    <row r="41" customFormat="false" ht="19.5" hidden="false" customHeight="true" outlineLevel="0" collapsed="false">
      <c r="A41" s="17" t="str">
        <f aca="false">IF($B41="","",32)</f>
        <v/>
      </c>
      <c r="B41" s="17" t="str">
        <f aca="false">IFERROR(INDEX(Students!$A$5:$A$304,MATCH($C$4&amp;"|"&amp;$C$5&amp;"|"&amp;32,Students!$O$5:$O$304,0)),"")</f>
        <v/>
      </c>
      <c r="C41" s="16" t="str">
        <f aca="false">IF($B41="","",IFERROR(IF(INDEX(Students!$B$5:$B$304,MATCH($B41,Students!$A$5:$A$304,0))="","",INDEX(Students!$B$5:$B$304,MATCH($B41,Students!$A$5:$A$304,0))),""))</f>
        <v/>
      </c>
      <c r="D41" s="17" t="str">
        <f aca="false">IF($B41="","",IFERROR(IF(INDEX(Students!$C$5:$C$304,MATCH($B41,Students!$A$5:$A$304,0))="","",INDEX(Students!$C$5:$C$304,MATCH($B41,Students!$A$5:$A$304,0))),""))</f>
        <v/>
      </c>
      <c r="E41" s="51" t="str">
        <f aca="false">IF($B41="","",IFERROR(IF(INDEX(Students!$D$5:$D$304,MATCH($B41,Students!$A$5:$A$304,0))="","",INDEX(Students!$D$5:$D$304,MATCH($B41,Students!$A$5:$A$304,0))),""))</f>
        <v/>
      </c>
      <c r="F41" s="16" t="str">
        <f aca="false">IF($B41="","",IFERROR(IF(INDEX(Students!$G$5:$G$304,MATCH($B41,Students!$A$5:$A$304,0))="","",INDEX(Students!$G$5:$G$304,MATCH($B41,Students!$A$5:$A$304,0))),""))</f>
        <v/>
      </c>
      <c r="G41" s="17" t="str">
        <f aca="false">IF($B41="","",IFERROR(IF(INDEX(Students!$H$5:$H$304,MATCH($B41,Students!$A$5:$A$304,0))="","",INDEX(Students!$H$5:$H$304,MATCH($B41,Students!$A$5:$A$304,0))),""))</f>
        <v/>
      </c>
      <c r="H41" s="52"/>
    </row>
    <row r="42" customFormat="false" ht="19.5" hidden="false" customHeight="true" outlineLevel="0" collapsed="false">
      <c r="A42" s="17" t="str">
        <f aca="false">IF($B42="","",33)</f>
        <v/>
      </c>
      <c r="B42" s="17" t="str">
        <f aca="false">IFERROR(INDEX(Students!$A$5:$A$304,MATCH($C$4&amp;"|"&amp;$C$5&amp;"|"&amp;33,Students!$O$5:$O$304,0)),"")</f>
        <v/>
      </c>
      <c r="C42" s="16" t="str">
        <f aca="false">IF($B42="","",IFERROR(IF(INDEX(Students!$B$5:$B$304,MATCH($B42,Students!$A$5:$A$304,0))="","",INDEX(Students!$B$5:$B$304,MATCH($B42,Students!$A$5:$A$304,0))),""))</f>
        <v/>
      </c>
      <c r="D42" s="17" t="str">
        <f aca="false">IF($B42="","",IFERROR(IF(INDEX(Students!$C$5:$C$304,MATCH($B42,Students!$A$5:$A$304,0))="","",INDEX(Students!$C$5:$C$304,MATCH($B42,Students!$A$5:$A$304,0))),""))</f>
        <v/>
      </c>
      <c r="E42" s="51" t="str">
        <f aca="false">IF($B42="","",IFERROR(IF(INDEX(Students!$D$5:$D$304,MATCH($B42,Students!$A$5:$A$304,0))="","",INDEX(Students!$D$5:$D$304,MATCH($B42,Students!$A$5:$A$304,0))),""))</f>
        <v/>
      </c>
      <c r="F42" s="16" t="str">
        <f aca="false">IF($B42="","",IFERROR(IF(INDEX(Students!$G$5:$G$304,MATCH($B42,Students!$A$5:$A$304,0))="","",INDEX(Students!$G$5:$G$304,MATCH($B42,Students!$A$5:$A$304,0))),""))</f>
        <v/>
      </c>
      <c r="G42" s="17" t="str">
        <f aca="false">IF($B42="","",IFERROR(IF(INDEX(Students!$H$5:$H$304,MATCH($B42,Students!$A$5:$A$304,0))="","",INDEX(Students!$H$5:$H$304,MATCH($B42,Students!$A$5:$A$304,0))),""))</f>
        <v/>
      </c>
      <c r="H42" s="52"/>
    </row>
    <row r="43" customFormat="false" ht="19.5" hidden="false" customHeight="true" outlineLevel="0" collapsed="false">
      <c r="A43" s="17" t="str">
        <f aca="false">IF($B43="","",34)</f>
        <v/>
      </c>
      <c r="B43" s="17" t="str">
        <f aca="false">IFERROR(INDEX(Students!$A$5:$A$304,MATCH($C$4&amp;"|"&amp;$C$5&amp;"|"&amp;34,Students!$O$5:$O$304,0)),"")</f>
        <v/>
      </c>
      <c r="C43" s="16" t="str">
        <f aca="false">IF($B43="","",IFERROR(IF(INDEX(Students!$B$5:$B$304,MATCH($B43,Students!$A$5:$A$304,0))="","",INDEX(Students!$B$5:$B$304,MATCH($B43,Students!$A$5:$A$304,0))),""))</f>
        <v/>
      </c>
      <c r="D43" s="17" t="str">
        <f aca="false">IF($B43="","",IFERROR(IF(INDEX(Students!$C$5:$C$304,MATCH($B43,Students!$A$5:$A$304,0))="","",INDEX(Students!$C$5:$C$304,MATCH($B43,Students!$A$5:$A$304,0))),""))</f>
        <v/>
      </c>
      <c r="E43" s="51" t="str">
        <f aca="false">IF($B43="","",IFERROR(IF(INDEX(Students!$D$5:$D$304,MATCH($B43,Students!$A$5:$A$304,0))="","",INDEX(Students!$D$5:$D$304,MATCH($B43,Students!$A$5:$A$304,0))),""))</f>
        <v/>
      </c>
      <c r="F43" s="16" t="str">
        <f aca="false">IF($B43="","",IFERROR(IF(INDEX(Students!$G$5:$G$304,MATCH($B43,Students!$A$5:$A$304,0))="","",INDEX(Students!$G$5:$G$304,MATCH($B43,Students!$A$5:$A$304,0))),""))</f>
        <v/>
      </c>
      <c r="G43" s="17" t="str">
        <f aca="false">IF($B43="","",IFERROR(IF(INDEX(Students!$H$5:$H$304,MATCH($B43,Students!$A$5:$A$304,0))="","",INDEX(Students!$H$5:$H$304,MATCH($B43,Students!$A$5:$A$304,0))),""))</f>
        <v/>
      </c>
      <c r="H43" s="52"/>
    </row>
    <row r="44" customFormat="false" ht="19.5" hidden="false" customHeight="true" outlineLevel="0" collapsed="false">
      <c r="A44" s="17" t="str">
        <f aca="false">IF($B44="","",35)</f>
        <v/>
      </c>
      <c r="B44" s="17" t="str">
        <f aca="false">IFERROR(INDEX(Students!$A$5:$A$304,MATCH($C$4&amp;"|"&amp;$C$5&amp;"|"&amp;35,Students!$O$5:$O$304,0)),"")</f>
        <v/>
      </c>
      <c r="C44" s="16" t="str">
        <f aca="false">IF($B44="","",IFERROR(IF(INDEX(Students!$B$5:$B$304,MATCH($B44,Students!$A$5:$A$304,0))="","",INDEX(Students!$B$5:$B$304,MATCH($B44,Students!$A$5:$A$304,0))),""))</f>
        <v/>
      </c>
      <c r="D44" s="17" t="str">
        <f aca="false">IF($B44="","",IFERROR(IF(INDEX(Students!$C$5:$C$304,MATCH($B44,Students!$A$5:$A$304,0))="","",INDEX(Students!$C$5:$C$304,MATCH($B44,Students!$A$5:$A$304,0))),""))</f>
        <v/>
      </c>
      <c r="E44" s="51" t="str">
        <f aca="false">IF($B44="","",IFERROR(IF(INDEX(Students!$D$5:$D$304,MATCH($B44,Students!$A$5:$A$304,0))="","",INDEX(Students!$D$5:$D$304,MATCH($B44,Students!$A$5:$A$304,0))),""))</f>
        <v/>
      </c>
      <c r="F44" s="16" t="str">
        <f aca="false">IF($B44="","",IFERROR(IF(INDEX(Students!$G$5:$G$304,MATCH($B44,Students!$A$5:$A$304,0))="","",INDEX(Students!$G$5:$G$304,MATCH($B44,Students!$A$5:$A$304,0))),""))</f>
        <v/>
      </c>
      <c r="G44" s="17" t="str">
        <f aca="false">IF($B44="","",IFERROR(IF(INDEX(Students!$H$5:$H$304,MATCH($B44,Students!$A$5:$A$304,0))="","",INDEX(Students!$H$5:$H$304,MATCH($B44,Students!$A$5:$A$304,0))),""))</f>
        <v/>
      </c>
      <c r="H44" s="52"/>
    </row>
    <row r="45" customFormat="false" ht="19.5" hidden="false" customHeight="true" outlineLevel="0" collapsed="false">
      <c r="A45" s="17" t="str">
        <f aca="false">IF($B45="","",36)</f>
        <v/>
      </c>
      <c r="B45" s="17" t="str">
        <f aca="false">IFERROR(INDEX(Students!$A$5:$A$304,MATCH($C$4&amp;"|"&amp;$C$5&amp;"|"&amp;36,Students!$O$5:$O$304,0)),"")</f>
        <v/>
      </c>
      <c r="C45" s="16" t="str">
        <f aca="false">IF($B45="","",IFERROR(IF(INDEX(Students!$B$5:$B$304,MATCH($B45,Students!$A$5:$A$304,0))="","",INDEX(Students!$B$5:$B$304,MATCH($B45,Students!$A$5:$A$304,0))),""))</f>
        <v/>
      </c>
      <c r="D45" s="17" t="str">
        <f aca="false">IF($B45="","",IFERROR(IF(INDEX(Students!$C$5:$C$304,MATCH($B45,Students!$A$5:$A$304,0))="","",INDEX(Students!$C$5:$C$304,MATCH($B45,Students!$A$5:$A$304,0))),""))</f>
        <v/>
      </c>
      <c r="E45" s="51" t="str">
        <f aca="false">IF($B45="","",IFERROR(IF(INDEX(Students!$D$5:$D$304,MATCH($B45,Students!$A$5:$A$304,0))="","",INDEX(Students!$D$5:$D$304,MATCH($B45,Students!$A$5:$A$304,0))),""))</f>
        <v/>
      </c>
      <c r="F45" s="16" t="str">
        <f aca="false">IF($B45="","",IFERROR(IF(INDEX(Students!$G$5:$G$304,MATCH($B45,Students!$A$5:$A$304,0))="","",INDEX(Students!$G$5:$G$304,MATCH($B45,Students!$A$5:$A$304,0))),""))</f>
        <v/>
      </c>
      <c r="G45" s="17" t="str">
        <f aca="false">IF($B45="","",IFERROR(IF(INDEX(Students!$H$5:$H$304,MATCH($B45,Students!$A$5:$A$304,0))="","",INDEX(Students!$H$5:$H$304,MATCH($B45,Students!$A$5:$A$304,0))),""))</f>
        <v/>
      </c>
      <c r="H45" s="52"/>
    </row>
    <row r="46" customFormat="false" ht="19.5" hidden="false" customHeight="true" outlineLevel="0" collapsed="false">
      <c r="A46" s="17" t="str">
        <f aca="false">IF($B46="","",37)</f>
        <v/>
      </c>
      <c r="B46" s="17" t="str">
        <f aca="false">IFERROR(INDEX(Students!$A$5:$A$304,MATCH($C$4&amp;"|"&amp;$C$5&amp;"|"&amp;37,Students!$O$5:$O$304,0)),"")</f>
        <v/>
      </c>
      <c r="C46" s="16" t="str">
        <f aca="false">IF($B46="","",IFERROR(IF(INDEX(Students!$B$5:$B$304,MATCH($B46,Students!$A$5:$A$304,0))="","",INDEX(Students!$B$5:$B$304,MATCH($B46,Students!$A$5:$A$304,0))),""))</f>
        <v/>
      </c>
      <c r="D46" s="17" t="str">
        <f aca="false">IF($B46="","",IFERROR(IF(INDEX(Students!$C$5:$C$304,MATCH($B46,Students!$A$5:$A$304,0))="","",INDEX(Students!$C$5:$C$304,MATCH($B46,Students!$A$5:$A$304,0))),""))</f>
        <v/>
      </c>
      <c r="E46" s="51" t="str">
        <f aca="false">IF($B46="","",IFERROR(IF(INDEX(Students!$D$5:$D$304,MATCH($B46,Students!$A$5:$A$304,0))="","",INDEX(Students!$D$5:$D$304,MATCH($B46,Students!$A$5:$A$304,0))),""))</f>
        <v/>
      </c>
      <c r="F46" s="16" t="str">
        <f aca="false">IF($B46="","",IFERROR(IF(INDEX(Students!$G$5:$G$304,MATCH($B46,Students!$A$5:$A$304,0))="","",INDEX(Students!$G$5:$G$304,MATCH($B46,Students!$A$5:$A$304,0))),""))</f>
        <v/>
      </c>
      <c r="G46" s="17" t="str">
        <f aca="false">IF($B46="","",IFERROR(IF(INDEX(Students!$H$5:$H$304,MATCH($B46,Students!$A$5:$A$304,0))="","",INDEX(Students!$H$5:$H$304,MATCH($B46,Students!$A$5:$A$304,0))),""))</f>
        <v/>
      </c>
      <c r="H46" s="52"/>
    </row>
    <row r="47" customFormat="false" ht="19.5" hidden="false" customHeight="true" outlineLevel="0" collapsed="false">
      <c r="A47" s="17" t="str">
        <f aca="false">IF($B47="","",38)</f>
        <v/>
      </c>
      <c r="B47" s="17" t="str">
        <f aca="false">IFERROR(INDEX(Students!$A$5:$A$304,MATCH($C$4&amp;"|"&amp;$C$5&amp;"|"&amp;38,Students!$O$5:$O$304,0)),"")</f>
        <v/>
      </c>
      <c r="C47" s="16" t="str">
        <f aca="false">IF($B47="","",IFERROR(IF(INDEX(Students!$B$5:$B$304,MATCH($B47,Students!$A$5:$A$304,0))="","",INDEX(Students!$B$5:$B$304,MATCH($B47,Students!$A$5:$A$304,0))),""))</f>
        <v/>
      </c>
      <c r="D47" s="17" t="str">
        <f aca="false">IF($B47="","",IFERROR(IF(INDEX(Students!$C$5:$C$304,MATCH($B47,Students!$A$5:$A$304,0))="","",INDEX(Students!$C$5:$C$304,MATCH($B47,Students!$A$5:$A$304,0))),""))</f>
        <v/>
      </c>
      <c r="E47" s="51" t="str">
        <f aca="false">IF($B47="","",IFERROR(IF(INDEX(Students!$D$5:$D$304,MATCH($B47,Students!$A$5:$A$304,0))="","",INDEX(Students!$D$5:$D$304,MATCH($B47,Students!$A$5:$A$304,0))),""))</f>
        <v/>
      </c>
      <c r="F47" s="16" t="str">
        <f aca="false">IF($B47="","",IFERROR(IF(INDEX(Students!$G$5:$G$304,MATCH($B47,Students!$A$5:$A$304,0))="","",INDEX(Students!$G$5:$G$304,MATCH($B47,Students!$A$5:$A$304,0))),""))</f>
        <v/>
      </c>
      <c r="G47" s="17" t="str">
        <f aca="false">IF($B47="","",IFERROR(IF(INDEX(Students!$H$5:$H$304,MATCH($B47,Students!$A$5:$A$304,0))="","",INDEX(Students!$H$5:$H$304,MATCH($B47,Students!$A$5:$A$304,0))),""))</f>
        <v/>
      </c>
      <c r="H47" s="52"/>
    </row>
    <row r="48" customFormat="false" ht="19.5" hidden="false" customHeight="true" outlineLevel="0" collapsed="false">
      <c r="A48" s="17" t="str">
        <f aca="false">IF($B48="","",39)</f>
        <v/>
      </c>
      <c r="B48" s="17" t="str">
        <f aca="false">IFERROR(INDEX(Students!$A$5:$A$304,MATCH($C$4&amp;"|"&amp;$C$5&amp;"|"&amp;39,Students!$O$5:$O$304,0)),"")</f>
        <v/>
      </c>
      <c r="C48" s="16" t="str">
        <f aca="false">IF($B48="","",IFERROR(IF(INDEX(Students!$B$5:$B$304,MATCH($B48,Students!$A$5:$A$304,0))="","",INDEX(Students!$B$5:$B$304,MATCH($B48,Students!$A$5:$A$304,0))),""))</f>
        <v/>
      </c>
      <c r="D48" s="17" t="str">
        <f aca="false">IF($B48="","",IFERROR(IF(INDEX(Students!$C$5:$C$304,MATCH($B48,Students!$A$5:$A$304,0))="","",INDEX(Students!$C$5:$C$304,MATCH($B48,Students!$A$5:$A$304,0))),""))</f>
        <v/>
      </c>
      <c r="E48" s="51" t="str">
        <f aca="false">IF($B48="","",IFERROR(IF(INDEX(Students!$D$5:$D$304,MATCH($B48,Students!$A$5:$A$304,0))="","",INDEX(Students!$D$5:$D$304,MATCH($B48,Students!$A$5:$A$304,0))),""))</f>
        <v/>
      </c>
      <c r="F48" s="16" t="str">
        <f aca="false">IF($B48="","",IFERROR(IF(INDEX(Students!$G$5:$G$304,MATCH($B48,Students!$A$5:$A$304,0))="","",INDEX(Students!$G$5:$G$304,MATCH($B48,Students!$A$5:$A$304,0))),""))</f>
        <v/>
      </c>
      <c r="G48" s="17" t="str">
        <f aca="false">IF($B48="","",IFERROR(IF(INDEX(Students!$H$5:$H$304,MATCH($B48,Students!$A$5:$A$304,0))="","",INDEX(Students!$H$5:$H$304,MATCH($B48,Students!$A$5:$A$304,0))),""))</f>
        <v/>
      </c>
      <c r="H48" s="52"/>
    </row>
    <row r="49" customFormat="false" ht="19.5" hidden="false" customHeight="true" outlineLevel="0" collapsed="false">
      <c r="A49" s="17" t="str">
        <f aca="false">IF($B49="","",40)</f>
        <v/>
      </c>
      <c r="B49" s="17" t="str">
        <f aca="false">IFERROR(INDEX(Students!$A$5:$A$304,MATCH($C$4&amp;"|"&amp;$C$5&amp;"|"&amp;40,Students!$O$5:$O$304,0)),"")</f>
        <v/>
      </c>
      <c r="C49" s="16" t="str">
        <f aca="false">IF($B49="","",IFERROR(IF(INDEX(Students!$B$5:$B$304,MATCH($B49,Students!$A$5:$A$304,0))="","",INDEX(Students!$B$5:$B$304,MATCH($B49,Students!$A$5:$A$304,0))),""))</f>
        <v/>
      </c>
      <c r="D49" s="17" t="str">
        <f aca="false">IF($B49="","",IFERROR(IF(INDEX(Students!$C$5:$C$304,MATCH($B49,Students!$A$5:$A$304,0))="","",INDEX(Students!$C$5:$C$304,MATCH($B49,Students!$A$5:$A$304,0))),""))</f>
        <v/>
      </c>
      <c r="E49" s="51" t="str">
        <f aca="false">IF($B49="","",IFERROR(IF(INDEX(Students!$D$5:$D$304,MATCH($B49,Students!$A$5:$A$304,0))="","",INDEX(Students!$D$5:$D$304,MATCH($B49,Students!$A$5:$A$304,0))),""))</f>
        <v/>
      </c>
      <c r="F49" s="16" t="str">
        <f aca="false">IF($B49="","",IFERROR(IF(INDEX(Students!$G$5:$G$304,MATCH($B49,Students!$A$5:$A$304,0))="","",INDEX(Students!$G$5:$G$304,MATCH($B49,Students!$A$5:$A$304,0))),""))</f>
        <v/>
      </c>
      <c r="G49" s="17" t="str">
        <f aca="false">IF($B49="","",IFERROR(IF(INDEX(Students!$H$5:$H$304,MATCH($B49,Students!$A$5:$A$304,0))="","",INDEX(Students!$H$5:$H$304,MATCH($B49,Students!$A$5:$A$304,0))),""))</f>
        <v/>
      </c>
      <c r="H49" s="52"/>
    </row>
  </sheetData>
  <mergeCells count="7">
    <mergeCell ref="A1:H1"/>
    <mergeCell ref="A2:H2"/>
    <mergeCell ref="A3:H3"/>
    <mergeCell ref="A4:B4"/>
    <mergeCell ref="D4:H4"/>
    <mergeCell ref="A5:B5"/>
    <mergeCell ref="D5:H5"/>
  </mergeCells>
  <conditionalFormatting sqref="A10:H49">
    <cfRule type="expression" priority="2" aboveAverage="0" equalAverage="0" bottom="0" percent="0" rank="0" text="" dxfId="0">
      <formula>AND(MOD(ROW(),2)=0,$B10&lt;&gt;"")</formula>
    </cfRule>
  </conditionalFormatting>
  <dataValidations count="2">
    <dataValidation allowBlank="true" error="Choose from the list." errorStyle="stop" errorTitle="Invalid" operator="between" showDropDown="false" showErrorMessage="true" showInputMessage="false" sqref="C4" type="list">
      <formula1>Schools!$A$5:$A$304</formula1>
      <formula2>0</formula2>
    </dataValidation>
    <dataValidation allowBlank="true" error="Choose from the list." errorStyle="stop" errorTitle="Invalid" operator="between" showDropDown="false" showErrorMessage="true" showInputMessage="false" sqref="C5" type="list">
      <formula1>Settings!$B$11:$B$30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98B"/>
    <pageSetUpPr fitToPage="true"/>
  </sheetPr>
  <dimension ref="A1:A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8"/>
    <col collapsed="false" customWidth="true" hidden="false" outlineLevel="0" max="4" min="4" style="0" width="12"/>
    <col collapsed="false" customWidth="true" hidden="false" outlineLevel="0" max="24" min="5" style="0" width="5.6"/>
    <col collapsed="false" customWidth="true" hidden="false" outlineLevel="0" max="29" min="25" style="0" width="8"/>
    <col collapsed="false" customWidth="true" hidden="false" outlineLevel="0" max="31" min="31" style="0" width="11"/>
  </cols>
  <sheetData>
    <row r="1" customFormat="false" ht="42" hidden="false" customHeight="true" outlineLevel="0" collapsed="false">
      <c r="A1" s="2" t="s">
        <v>164</v>
      </c>
      <c r="B1" s="2"/>
      <c r="C1" s="2"/>
      <c r="D1" s="2"/>
      <c r="E1" s="2"/>
      <c r="F1" s="2"/>
      <c r="G1" s="2"/>
      <c r="H1" s="2"/>
      <c r="I1" s="2"/>
      <c r="J1" s="2"/>
      <c r="K1" s="2"/>
      <c r="L1" s="2"/>
      <c r="M1" s="2"/>
      <c r="N1" s="2"/>
      <c r="O1" s="2"/>
      <c r="P1" s="2"/>
      <c r="Q1" s="2"/>
      <c r="R1" s="2"/>
      <c r="S1" s="2"/>
      <c r="T1" s="2"/>
      <c r="U1" s="2"/>
      <c r="V1" s="2"/>
      <c r="W1" s="2"/>
      <c r="X1" s="2"/>
      <c r="Y1" s="2"/>
      <c r="Z1" s="2"/>
      <c r="AA1" s="2"/>
      <c r="AB1" s="2"/>
      <c r="AC1" s="2"/>
    </row>
    <row r="2" customFormat="false" ht="19.5" hidden="false" customHeight="true" outlineLevel="0" collapsed="false">
      <c r="A2" s="3" t="s">
        <v>165</v>
      </c>
      <c r="B2" s="3"/>
      <c r="C2" s="3"/>
      <c r="D2" s="3"/>
      <c r="E2" s="3"/>
      <c r="F2" s="3"/>
      <c r="G2" s="3"/>
      <c r="H2" s="3"/>
      <c r="I2" s="3"/>
      <c r="J2" s="3"/>
      <c r="K2" s="3"/>
      <c r="L2" s="3"/>
      <c r="M2" s="3"/>
      <c r="N2" s="3"/>
      <c r="O2" s="3"/>
      <c r="P2" s="3"/>
      <c r="Q2" s="3"/>
      <c r="R2" s="3"/>
      <c r="S2" s="3"/>
      <c r="T2" s="3"/>
      <c r="U2" s="3"/>
      <c r="V2" s="3"/>
      <c r="W2" s="3"/>
      <c r="X2" s="3"/>
      <c r="Y2" s="3"/>
      <c r="Z2" s="3"/>
      <c r="AA2" s="3"/>
      <c r="AB2" s="3"/>
      <c r="AC2" s="3"/>
    </row>
    <row r="3" customFormat="false" ht="3.75" hidden="false" customHeight="true" outlineLevel="0" collapsed="false">
      <c r="A3" s="4"/>
      <c r="B3" s="4"/>
      <c r="C3" s="4"/>
      <c r="D3" s="4"/>
      <c r="E3" s="4"/>
      <c r="F3" s="4"/>
      <c r="G3" s="4"/>
      <c r="H3" s="4"/>
      <c r="I3" s="4"/>
      <c r="J3" s="4"/>
      <c r="K3" s="4"/>
      <c r="L3" s="4"/>
      <c r="M3" s="4"/>
      <c r="N3" s="4"/>
      <c r="O3" s="4"/>
      <c r="P3" s="4"/>
      <c r="Q3" s="4"/>
      <c r="R3" s="4"/>
      <c r="S3" s="4"/>
      <c r="T3" s="4"/>
      <c r="U3" s="4"/>
      <c r="V3" s="4"/>
      <c r="W3" s="4"/>
      <c r="X3" s="4"/>
      <c r="Y3" s="4"/>
      <c r="Z3" s="4"/>
      <c r="AA3" s="4"/>
      <c r="AB3" s="4"/>
      <c r="AC3" s="4"/>
    </row>
    <row r="4" customFormat="false" ht="21.75" hidden="false" customHeight="true" outlineLevel="0" collapsed="false">
      <c r="A4" s="24" t="s">
        <v>142</v>
      </c>
      <c r="B4" s="24"/>
      <c r="C4" s="53" t="s">
        <v>143</v>
      </c>
      <c r="D4" s="54" t="str">
        <f aca="false">IF($C$4="","",IFERROR(INDEX(Schools!$B$5:$B$304,MATCH($C$4,Schools!$A$5:$A$304,0)),"School not found"))</f>
        <v>Example Primary School</v>
      </c>
      <c r="E4" s="54"/>
      <c r="F4" s="54"/>
      <c r="G4" s="54"/>
      <c r="H4" s="54"/>
      <c r="I4" s="54"/>
      <c r="J4" s="54"/>
      <c r="K4" s="54"/>
      <c r="L4" s="54"/>
      <c r="N4" s="44" t="s">
        <v>166</v>
      </c>
      <c r="O4" s="44"/>
      <c r="P4" s="44"/>
      <c r="Q4" s="44"/>
      <c r="R4" s="44"/>
      <c r="S4" s="44"/>
      <c r="T4" s="44"/>
      <c r="U4" s="44"/>
      <c r="V4" s="44"/>
      <c r="AE4" s="47" t="s">
        <v>167</v>
      </c>
      <c r="AF4" s="55" t="n">
        <f aca="false">IF(OR($C$6="",$C$6="All terms"),0,IFERROR(IF(INDEX(Settings!$B$36:$B$38,MATCH($C$6,Settings!$A$36:$A$38,0))="",0,INDEX(Settings!$B$36:$B$38,MATCH($C$6,Settings!$A$36:$A$38,0))),0))</f>
        <v>0</v>
      </c>
    </row>
    <row r="5" customFormat="false" ht="21.75" hidden="false" customHeight="true" outlineLevel="0" collapsed="false">
      <c r="A5" s="24" t="s">
        <v>121</v>
      </c>
      <c r="B5" s="24"/>
      <c r="C5" s="53" t="s">
        <v>145</v>
      </c>
      <c r="D5" s="54" t="str">
        <f aca="false">IF($C$5="","",COUNTIFS(Students!$E$5:$E$304,$C$4,Students!$F$5:$F$304,$C$5,Students!$K$5:$K$304,"Active")&amp;" active students  |  Class attendance rate: "&amp;IF(SUM($AB$10:$AB$49)=0,"-",TEXT((SUM($Y$10:$Y$49)+SUM($AA$10:$AA$49))/SUM($AB$10:$AB$49),"0%")))</f>
        <v>1 active students  |  Class attendance rate: 100%</v>
      </c>
      <c r="E5" s="54"/>
      <c r="F5" s="54"/>
      <c r="G5" s="54"/>
      <c r="H5" s="54"/>
      <c r="I5" s="54"/>
      <c r="J5" s="54"/>
      <c r="K5" s="54"/>
      <c r="L5" s="54"/>
      <c r="N5" s="46" t="s">
        <v>168</v>
      </c>
      <c r="O5" s="46"/>
      <c r="P5" s="46"/>
      <c r="Q5" s="46"/>
      <c r="R5" s="46"/>
      <c r="S5" s="46"/>
      <c r="T5" s="46"/>
      <c r="U5" s="46"/>
      <c r="V5" s="46"/>
      <c r="AE5" s="47" t="s">
        <v>169</v>
      </c>
      <c r="AF5" s="55" t="n">
        <f aca="false">IF(OR($C$6="",$C$6="All terms"),99999,IFERROR(IF(INDEX(Settings!$C$36:$C$38,MATCH($C$6,Settings!$A$36:$A$38,0))="",99999,INDEX(Settings!$C$36:$C$38,MATCH($C$6,Settings!$A$36:$A$38,0))),99999))</f>
        <v>99999</v>
      </c>
    </row>
    <row r="6" customFormat="false" ht="21.75" hidden="false" customHeight="true" outlineLevel="0" collapsed="false">
      <c r="A6" s="24" t="s">
        <v>147</v>
      </c>
      <c r="B6" s="24"/>
      <c r="C6" s="53" t="s">
        <v>130</v>
      </c>
      <c r="D6" s="54" t="str">
        <f aca="false">IF($C$6="","",IF($AF$4=0,"  Counting every recorded date","  Counting "&amp;TEXT($AF$4,"dd/mm/yyyy")&amp;" to "&amp;IF($AF$5&gt;=99999,"today",TEXT($AF$5,"dd/mm/yyyy"))))</f>
        <v>  Counting every recorded date</v>
      </c>
      <c r="E6" s="54"/>
      <c r="F6" s="54"/>
      <c r="G6" s="54"/>
      <c r="H6" s="54"/>
      <c r="I6" s="54"/>
      <c r="J6" s="54"/>
      <c r="K6" s="54"/>
      <c r="L6" s="54"/>
      <c r="N6" s="46" t="s">
        <v>170</v>
      </c>
      <c r="O6" s="46"/>
      <c r="P6" s="46"/>
      <c r="Q6" s="46"/>
      <c r="R6" s="46"/>
      <c r="S6" s="46"/>
      <c r="T6" s="46"/>
      <c r="U6" s="46"/>
      <c r="V6" s="46"/>
    </row>
    <row r="7" customFormat="false" ht="21.75" hidden="false" customHeight="true" outlineLevel="0" collapsed="false">
      <c r="A7" s="24" t="s">
        <v>171</v>
      </c>
      <c r="B7" s="24"/>
      <c r="C7" s="56" t="n">
        <v>46296</v>
      </c>
      <c r="D7" s="54" t="str">
        <f aca="false">IF($C$7="","",TEXT($C$7,"dddd d mmmm yyyy"))</f>
        <v>Thursday 1 October 2026</v>
      </c>
      <c r="E7" s="54"/>
      <c r="F7" s="54"/>
      <c r="G7" s="54"/>
      <c r="H7" s="54"/>
      <c r="I7" s="54"/>
      <c r="J7" s="54"/>
      <c r="K7" s="54"/>
      <c r="L7" s="54"/>
      <c r="N7" s="47" t="s">
        <v>126</v>
      </c>
    </row>
    <row r="8" customFormat="false" ht="13.5" hidden="false" customHeight="true" outlineLevel="0" collapsed="false">
      <c r="E8" s="57" t="str">
        <f aca="false">IF(E9="","",TEXT(E9,"ddd"))</f>
        <v>Fri</v>
      </c>
      <c r="F8" s="57" t="str">
        <f aca="false">IF(F9="","",TEXT(F9,"ddd"))</f>
        <v>Mon</v>
      </c>
      <c r="G8" s="57" t="str">
        <f aca="false">IF(G9="","",TEXT(G9,"ddd"))</f>
        <v>Tue</v>
      </c>
      <c r="H8" s="57" t="str">
        <f aca="false">IF(H9="","",TEXT(H9,"ddd"))</f>
        <v>Wed</v>
      </c>
      <c r="I8" s="57" t="str">
        <f aca="false">IF(I9="","",TEXT(I9,"ddd"))</f>
        <v>Thu</v>
      </c>
      <c r="J8" s="57" t="str">
        <f aca="false">IF(J9="","",TEXT(J9,"ddd"))</f>
        <v>Fri</v>
      </c>
      <c r="K8" s="57" t="str">
        <f aca="false">IF(K9="","",TEXT(K9,"ddd"))</f>
        <v>Mon</v>
      </c>
      <c r="L8" s="57" t="str">
        <f aca="false">IF(L9="","",TEXT(L9,"ddd"))</f>
        <v>Tue</v>
      </c>
      <c r="M8" s="57" t="str">
        <f aca="false">IF(M9="","",TEXT(M9,"ddd"))</f>
        <v>Wed</v>
      </c>
      <c r="N8" s="57" t="str">
        <f aca="false">IF(N9="","",TEXT(N9,"ddd"))</f>
        <v>Thu</v>
      </c>
      <c r="O8" s="57" t="str">
        <f aca="false">IF(O9="","",TEXT(O9,"ddd"))</f>
        <v>Fri</v>
      </c>
      <c r="P8" s="57" t="str">
        <f aca="false">IF(P9="","",TEXT(P9,"ddd"))</f>
        <v>Mon</v>
      </c>
      <c r="Q8" s="57" t="str">
        <f aca="false">IF(Q9="","",TEXT(Q9,"ddd"))</f>
        <v>Tue</v>
      </c>
      <c r="R8" s="57" t="str">
        <f aca="false">IF(R9="","",TEXT(R9,"ddd"))</f>
        <v>Wed</v>
      </c>
      <c r="S8" s="57" t="str">
        <f aca="false">IF(S9="","",TEXT(S9,"ddd"))</f>
        <v>Thu</v>
      </c>
      <c r="T8" s="57" t="str">
        <f aca="false">IF(T9="","",TEXT(T9,"ddd"))</f>
        <v>Fri</v>
      </c>
      <c r="U8" s="57" t="str">
        <f aca="false">IF(U9="","",TEXT(U9,"ddd"))</f>
        <v>Mon</v>
      </c>
      <c r="V8" s="57" t="str">
        <f aca="false">IF(V9="","",TEXT(V9,"ddd"))</f>
        <v>Tue</v>
      </c>
      <c r="W8" s="57" t="str">
        <f aca="false">IF(W9="","",TEXT(W9,"ddd"))</f>
        <v>Wed</v>
      </c>
      <c r="X8" s="57" t="str">
        <f aca="false">IF(X9="","",TEXT(X9,"ddd"))</f>
        <v>Thu</v>
      </c>
    </row>
    <row r="9" customFormat="false" ht="27.75" hidden="false" customHeight="true" outlineLevel="0" collapsed="false">
      <c r="A9" s="15" t="s">
        <v>149</v>
      </c>
      <c r="B9" s="15" t="s">
        <v>150</v>
      </c>
      <c r="C9" s="15" t="s">
        <v>151</v>
      </c>
      <c r="D9" s="15" t="str">
        <f aca="false">"Mark "&amp;TEXT($C$7,"dd/mm")</f>
        <v>Mark 01/10</v>
      </c>
      <c r="E9" s="58" t="n">
        <f aca="false">WORKDAY($C$7,-19)</f>
        <v>46269</v>
      </c>
      <c r="F9" s="58" t="n">
        <f aca="false">WORKDAY(E9,1)</f>
        <v>46272</v>
      </c>
      <c r="G9" s="58" t="n">
        <f aca="false">WORKDAY(F9,1)</f>
        <v>46273</v>
      </c>
      <c r="H9" s="58" t="n">
        <f aca="false">WORKDAY(G9,1)</f>
        <v>46274</v>
      </c>
      <c r="I9" s="58" t="n">
        <f aca="false">WORKDAY(H9,1)</f>
        <v>46275</v>
      </c>
      <c r="J9" s="58" t="n">
        <f aca="false">WORKDAY(I9,1)</f>
        <v>46276</v>
      </c>
      <c r="K9" s="58" t="n">
        <f aca="false">WORKDAY(J9,1)</f>
        <v>46279</v>
      </c>
      <c r="L9" s="58" t="n">
        <f aca="false">WORKDAY(K9,1)</f>
        <v>46280</v>
      </c>
      <c r="M9" s="58" t="n">
        <f aca="false">WORKDAY(L9,1)</f>
        <v>46281</v>
      </c>
      <c r="N9" s="58" t="n">
        <f aca="false">WORKDAY(M9,1)</f>
        <v>46282</v>
      </c>
      <c r="O9" s="58" t="n">
        <f aca="false">WORKDAY(N9,1)</f>
        <v>46283</v>
      </c>
      <c r="P9" s="58" t="n">
        <f aca="false">WORKDAY(O9,1)</f>
        <v>46286</v>
      </c>
      <c r="Q9" s="58" t="n">
        <f aca="false">WORKDAY(P9,1)</f>
        <v>46287</v>
      </c>
      <c r="R9" s="58" t="n">
        <f aca="false">WORKDAY(Q9,1)</f>
        <v>46288</v>
      </c>
      <c r="S9" s="58" t="n">
        <f aca="false">WORKDAY(R9,1)</f>
        <v>46289</v>
      </c>
      <c r="T9" s="58" t="n">
        <f aca="false">WORKDAY(S9,1)</f>
        <v>46290</v>
      </c>
      <c r="U9" s="58" t="n">
        <f aca="false">WORKDAY(T9,1)</f>
        <v>46293</v>
      </c>
      <c r="V9" s="58" t="n">
        <f aca="false">WORKDAY(U9,1)</f>
        <v>46294</v>
      </c>
      <c r="W9" s="58" t="n">
        <f aca="false">WORKDAY(V9,1)</f>
        <v>46295</v>
      </c>
      <c r="X9" s="58" t="n">
        <f aca="false">WORKDAY(W9,1)</f>
        <v>46296</v>
      </c>
      <c r="Y9" s="15" t="s">
        <v>172</v>
      </c>
      <c r="Z9" s="15" t="s">
        <v>173</v>
      </c>
      <c r="AA9" s="15" t="s">
        <v>174</v>
      </c>
      <c r="AB9" s="15" t="s">
        <v>175</v>
      </c>
      <c r="AC9" s="15" t="s">
        <v>176</v>
      </c>
    </row>
    <row r="10" customFormat="false" ht="19.5" hidden="false" customHeight="true" outlineLevel="0" collapsed="false">
      <c r="A10" s="59" t="n">
        <f aca="false">IF($B10="","",1)</f>
        <v>1</v>
      </c>
      <c r="B10" s="59" t="str">
        <f aca="false">IFERROR(INDEX(Students!$A$5:$A$304,MATCH($C$4&amp;"|"&amp;$C$5&amp;"|"&amp;1,Students!$O$5:$O$304,0)),"")</f>
        <v>S0001</v>
      </c>
      <c r="C10" s="60" t="str">
        <f aca="false">IF($B10="","",INDEX(Students!$B$5:$B$304,MATCH($B10,Students!$A$5:$A$304,0)))</f>
        <v>Aminata Conteh</v>
      </c>
      <c r="D10" s="61"/>
      <c r="E10" s="62" t="str">
        <f aca="false">IF($B10="","",IF(COUNTIFS(Attendance!$B$5:$B$304,$B10,Attendance!$A$5:$A$304,E$9,Attendance!$F$5:$F$304,"P")&gt;0,"P",IF(COUNTIFS(Attendance!$B$5:$B$304,$B10,Attendance!$A$5:$A$304,E$9,Attendance!$F$5:$F$304,"A")&gt;0,"A",IF(COUNTIFS(Attendance!$B$5:$B$304,$B10,Attendance!$A$5:$A$304,E$9,Attendance!$F$5:$F$304,"L")&gt;0,"L",""))))</f>
        <v/>
      </c>
      <c r="F10" s="62" t="str">
        <f aca="false">IF($B10="","",IF(COUNTIFS(Attendance!$B$5:$B$304,$B10,Attendance!$A$5:$A$304,F$9,Attendance!$F$5:$F$304,"P")&gt;0,"P",IF(COUNTIFS(Attendance!$B$5:$B$304,$B10,Attendance!$A$5:$A$304,F$9,Attendance!$F$5:$F$304,"A")&gt;0,"A",IF(COUNTIFS(Attendance!$B$5:$B$304,$B10,Attendance!$A$5:$A$304,F$9,Attendance!$F$5:$F$304,"L")&gt;0,"L",""))))</f>
        <v/>
      </c>
      <c r="G10" s="62" t="str">
        <f aca="false">IF($B10="","",IF(COUNTIFS(Attendance!$B$5:$B$304,$B10,Attendance!$A$5:$A$304,G$9,Attendance!$F$5:$F$304,"P")&gt;0,"P",IF(COUNTIFS(Attendance!$B$5:$B$304,$B10,Attendance!$A$5:$A$304,G$9,Attendance!$F$5:$F$304,"A")&gt;0,"A",IF(COUNTIFS(Attendance!$B$5:$B$304,$B10,Attendance!$A$5:$A$304,G$9,Attendance!$F$5:$F$304,"L")&gt;0,"L",""))))</f>
        <v/>
      </c>
      <c r="H10" s="62" t="str">
        <f aca="false">IF($B10="","",IF(COUNTIFS(Attendance!$B$5:$B$304,$B10,Attendance!$A$5:$A$304,H$9,Attendance!$F$5:$F$304,"P")&gt;0,"P",IF(COUNTIFS(Attendance!$B$5:$B$304,$B10,Attendance!$A$5:$A$304,H$9,Attendance!$F$5:$F$304,"A")&gt;0,"A",IF(COUNTIFS(Attendance!$B$5:$B$304,$B10,Attendance!$A$5:$A$304,H$9,Attendance!$F$5:$F$304,"L")&gt;0,"L",""))))</f>
        <v/>
      </c>
      <c r="I10" s="62" t="str">
        <f aca="false">IF($B10="","",IF(COUNTIFS(Attendance!$B$5:$B$304,$B10,Attendance!$A$5:$A$304,I$9,Attendance!$F$5:$F$304,"P")&gt;0,"P",IF(COUNTIFS(Attendance!$B$5:$B$304,$B10,Attendance!$A$5:$A$304,I$9,Attendance!$F$5:$F$304,"A")&gt;0,"A",IF(COUNTIFS(Attendance!$B$5:$B$304,$B10,Attendance!$A$5:$A$304,I$9,Attendance!$F$5:$F$304,"L")&gt;0,"L",""))))</f>
        <v/>
      </c>
      <c r="J10" s="62" t="str">
        <f aca="false">IF($B10="","",IF(COUNTIFS(Attendance!$B$5:$B$304,$B10,Attendance!$A$5:$A$304,J$9,Attendance!$F$5:$F$304,"P")&gt;0,"P",IF(COUNTIFS(Attendance!$B$5:$B$304,$B10,Attendance!$A$5:$A$304,J$9,Attendance!$F$5:$F$304,"A")&gt;0,"A",IF(COUNTIFS(Attendance!$B$5:$B$304,$B10,Attendance!$A$5:$A$304,J$9,Attendance!$F$5:$F$304,"L")&gt;0,"L",""))))</f>
        <v/>
      </c>
      <c r="K10" s="62" t="str">
        <f aca="false">IF($B10="","",IF(COUNTIFS(Attendance!$B$5:$B$304,$B10,Attendance!$A$5:$A$304,K$9,Attendance!$F$5:$F$304,"P")&gt;0,"P",IF(COUNTIFS(Attendance!$B$5:$B$304,$B10,Attendance!$A$5:$A$304,K$9,Attendance!$F$5:$F$304,"A")&gt;0,"A",IF(COUNTIFS(Attendance!$B$5:$B$304,$B10,Attendance!$A$5:$A$304,K$9,Attendance!$F$5:$F$304,"L")&gt;0,"L",""))))</f>
        <v/>
      </c>
      <c r="L10" s="62" t="str">
        <f aca="false">IF($B10="","",IF(COUNTIFS(Attendance!$B$5:$B$304,$B10,Attendance!$A$5:$A$304,L$9,Attendance!$F$5:$F$304,"P")&gt;0,"P",IF(COUNTIFS(Attendance!$B$5:$B$304,$B10,Attendance!$A$5:$A$304,L$9,Attendance!$F$5:$F$304,"A")&gt;0,"A",IF(COUNTIFS(Attendance!$B$5:$B$304,$B10,Attendance!$A$5:$A$304,L$9,Attendance!$F$5:$F$304,"L")&gt;0,"L",""))))</f>
        <v/>
      </c>
      <c r="M10" s="62" t="str">
        <f aca="false">IF($B10="","",IF(COUNTIFS(Attendance!$B$5:$B$304,$B10,Attendance!$A$5:$A$304,M$9,Attendance!$F$5:$F$304,"P")&gt;0,"P",IF(COUNTIFS(Attendance!$B$5:$B$304,$B10,Attendance!$A$5:$A$304,M$9,Attendance!$F$5:$F$304,"A")&gt;0,"A",IF(COUNTIFS(Attendance!$B$5:$B$304,$B10,Attendance!$A$5:$A$304,M$9,Attendance!$F$5:$F$304,"L")&gt;0,"L",""))))</f>
        <v/>
      </c>
      <c r="N10" s="62" t="str">
        <f aca="false">IF($B10="","",IF(COUNTIFS(Attendance!$B$5:$B$304,$B10,Attendance!$A$5:$A$304,N$9,Attendance!$F$5:$F$304,"P")&gt;0,"P",IF(COUNTIFS(Attendance!$B$5:$B$304,$B10,Attendance!$A$5:$A$304,N$9,Attendance!$F$5:$F$304,"A")&gt;0,"A",IF(COUNTIFS(Attendance!$B$5:$B$304,$B10,Attendance!$A$5:$A$304,N$9,Attendance!$F$5:$F$304,"L")&gt;0,"L",""))))</f>
        <v/>
      </c>
      <c r="O10" s="62" t="str">
        <f aca="false">IF($B10="","",IF(COUNTIFS(Attendance!$B$5:$B$304,$B10,Attendance!$A$5:$A$304,O$9,Attendance!$F$5:$F$304,"P")&gt;0,"P",IF(COUNTIFS(Attendance!$B$5:$B$304,$B10,Attendance!$A$5:$A$304,O$9,Attendance!$F$5:$F$304,"A")&gt;0,"A",IF(COUNTIFS(Attendance!$B$5:$B$304,$B10,Attendance!$A$5:$A$304,O$9,Attendance!$F$5:$F$304,"L")&gt;0,"L",""))))</f>
        <v/>
      </c>
      <c r="P10" s="62" t="str">
        <f aca="false">IF($B10="","",IF(COUNTIFS(Attendance!$B$5:$B$304,$B10,Attendance!$A$5:$A$304,P$9,Attendance!$F$5:$F$304,"P")&gt;0,"P",IF(COUNTIFS(Attendance!$B$5:$B$304,$B10,Attendance!$A$5:$A$304,P$9,Attendance!$F$5:$F$304,"A")&gt;0,"A",IF(COUNTIFS(Attendance!$B$5:$B$304,$B10,Attendance!$A$5:$A$304,P$9,Attendance!$F$5:$F$304,"L")&gt;0,"L",""))))</f>
        <v/>
      </c>
      <c r="Q10" s="62" t="str">
        <f aca="false">IF($B10="","",IF(COUNTIFS(Attendance!$B$5:$B$304,$B10,Attendance!$A$5:$A$304,Q$9,Attendance!$F$5:$F$304,"P")&gt;0,"P",IF(COUNTIFS(Attendance!$B$5:$B$304,$B10,Attendance!$A$5:$A$304,Q$9,Attendance!$F$5:$F$304,"A")&gt;0,"A",IF(COUNTIFS(Attendance!$B$5:$B$304,$B10,Attendance!$A$5:$A$304,Q$9,Attendance!$F$5:$F$304,"L")&gt;0,"L",""))))</f>
        <v/>
      </c>
      <c r="R10" s="62" t="str">
        <f aca="false">IF($B10="","",IF(COUNTIFS(Attendance!$B$5:$B$304,$B10,Attendance!$A$5:$A$304,R$9,Attendance!$F$5:$F$304,"P")&gt;0,"P",IF(COUNTIFS(Attendance!$B$5:$B$304,$B10,Attendance!$A$5:$A$304,R$9,Attendance!$F$5:$F$304,"A")&gt;0,"A",IF(COUNTIFS(Attendance!$B$5:$B$304,$B10,Attendance!$A$5:$A$304,R$9,Attendance!$F$5:$F$304,"L")&gt;0,"L",""))))</f>
        <v/>
      </c>
      <c r="S10" s="62" t="str">
        <f aca="false">IF($B10="","",IF(COUNTIFS(Attendance!$B$5:$B$304,$B10,Attendance!$A$5:$A$304,S$9,Attendance!$F$5:$F$304,"P")&gt;0,"P",IF(COUNTIFS(Attendance!$B$5:$B$304,$B10,Attendance!$A$5:$A$304,S$9,Attendance!$F$5:$F$304,"A")&gt;0,"A",IF(COUNTIFS(Attendance!$B$5:$B$304,$B10,Attendance!$A$5:$A$304,S$9,Attendance!$F$5:$F$304,"L")&gt;0,"L",""))))</f>
        <v/>
      </c>
      <c r="T10" s="62" t="str">
        <f aca="false">IF($B10="","",IF(COUNTIFS(Attendance!$B$5:$B$304,$B10,Attendance!$A$5:$A$304,T$9,Attendance!$F$5:$F$304,"P")&gt;0,"P",IF(COUNTIFS(Attendance!$B$5:$B$304,$B10,Attendance!$A$5:$A$304,T$9,Attendance!$F$5:$F$304,"A")&gt;0,"A",IF(COUNTIFS(Attendance!$B$5:$B$304,$B10,Attendance!$A$5:$A$304,T$9,Attendance!$F$5:$F$304,"L")&gt;0,"L",""))))</f>
        <v/>
      </c>
      <c r="U10" s="62" t="str">
        <f aca="false">IF($B10="","",IF(COUNTIFS(Attendance!$B$5:$B$304,$B10,Attendance!$A$5:$A$304,U$9,Attendance!$F$5:$F$304,"P")&gt;0,"P",IF(COUNTIFS(Attendance!$B$5:$B$304,$B10,Attendance!$A$5:$A$304,U$9,Attendance!$F$5:$F$304,"A")&gt;0,"A",IF(COUNTIFS(Attendance!$B$5:$B$304,$B10,Attendance!$A$5:$A$304,U$9,Attendance!$F$5:$F$304,"L")&gt;0,"L",""))))</f>
        <v/>
      </c>
      <c r="V10" s="62" t="str">
        <f aca="false">IF($B10="","",IF(COUNTIFS(Attendance!$B$5:$B$304,$B10,Attendance!$A$5:$A$304,V$9,Attendance!$F$5:$F$304,"P")&gt;0,"P",IF(COUNTIFS(Attendance!$B$5:$B$304,$B10,Attendance!$A$5:$A$304,V$9,Attendance!$F$5:$F$304,"A")&gt;0,"A",IF(COUNTIFS(Attendance!$B$5:$B$304,$B10,Attendance!$A$5:$A$304,V$9,Attendance!$F$5:$F$304,"L")&gt;0,"L",""))))</f>
        <v/>
      </c>
      <c r="W10" s="62" t="str">
        <f aca="false">IF($B10="","",IF(COUNTIFS(Attendance!$B$5:$B$304,$B10,Attendance!$A$5:$A$304,W$9,Attendance!$F$5:$F$304,"P")&gt;0,"P",IF(COUNTIFS(Attendance!$B$5:$B$304,$B10,Attendance!$A$5:$A$304,W$9,Attendance!$F$5:$F$304,"A")&gt;0,"A",IF(COUNTIFS(Attendance!$B$5:$B$304,$B10,Attendance!$A$5:$A$304,W$9,Attendance!$F$5:$F$304,"L")&gt;0,"L",""))))</f>
        <v/>
      </c>
      <c r="X10" s="62" t="str">
        <f aca="false">IF($B10="","",IF(COUNTIFS(Attendance!$B$5:$B$304,$B10,Attendance!$A$5:$A$304,X$9,Attendance!$F$5:$F$304,"P")&gt;0,"P",IF(COUNTIFS(Attendance!$B$5:$B$304,$B10,Attendance!$A$5:$A$304,X$9,Attendance!$F$5:$F$304,"A")&gt;0,"A",IF(COUNTIFS(Attendance!$B$5:$B$304,$B10,Attendance!$A$5:$A$304,X$9,Attendance!$F$5:$F$304,"L")&gt;0,"L",""))))</f>
        <v>P</v>
      </c>
      <c r="Y10" s="59" t="n">
        <f aca="false">IF($B10="","",COUNTIFS(Attendance!$B$5:$B$304,$B10,Attendance!$F$5:$F$304,"P",Attendance!$A$5:$A$304,"&gt;="&amp;$AF$4,Attendance!$A$5:$A$304,"&lt;="&amp;$AF$5))</f>
        <v>1</v>
      </c>
      <c r="Z10" s="59" t="n">
        <f aca="false">IF($B10="","",COUNTIFS(Attendance!$B$5:$B$304,$B10,Attendance!$F$5:$F$304,"A",Attendance!$A$5:$A$304,"&gt;="&amp;$AF$4,Attendance!$A$5:$A$304,"&lt;="&amp;$AF$5))</f>
        <v>0</v>
      </c>
      <c r="AA10" s="59" t="n">
        <f aca="false">IF($B10="","",COUNTIFS(Attendance!$B$5:$B$304,$B10,Attendance!$F$5:$F$304,"L",Attendance!$A$5:$A$304,"&gt;="&amp;$AF$4,Attendance!$A$5:$A$304,"&lt;="&amp;$AF$5))</f>
        <v>0</v>
      </c>
      <c r="AB10" s="59" t="n">
        <f aca="false">IF($B10="","",SUM(Y10:AA10))</f>
        <v>1</v>
      </c>
      <c r="AC10" s="63" t="n">
        <f aca="false">IF($B10="","",IF(AB10=0,"-",(Y10+AA10)/AB10))</f>
        <v>1</v>
      </c>
    </row>
    <row r="11" customFormat="false" ht="19.5" hidden="false" customHeight="true" outlineLevel="0" collapsed="false">
      <c r="A11" s="59" t="str">
        <f aca="false">IF($B11="","",2)</f>
        <v/>
      </c>
      <c r="B11" s="59" t="str">
        <f aca="false">IFERROR(INDEX(Students!$A$5:$A$304,MATCH($C$4&amp;"|"&amp;$C$5&amp;"|"&amp;2,Students!$O$5:$O$304,0)),"")</f>
        <v/>
      </c>
      <c r="C11" s="60" t="str">
        <f aca="false">IF($B11="","",INDEX(Students!$B$5:$B$304,MATCH($B11,Students!$A$5:$A$304,0)))</f>
        <v/>
      </c>
      <c r="D11" s="61"/>
      <c r="E11" s="62" t="str">
        <f aca="false">IF($B11="","",IF(COUNTIFS(Attendance!$B$5:$B$304,$B11,Attendance!$A$5:$A$304,E$9,Attendance!$F$5:$F$304,"P")&gt;0,"P",IF(COUNTIFS(Attendance!$B$5:$B$304,$B11,Attendance!$A$5:$A$304,E$9,Attendance!$F$5:$F$304,"A")&gt;0,"A",IF(COUNTIFS(Attendance!$B$5:$B$304,$B11,Attendance!$A$5:$A$304,E$9,Attendance!$F$5:$F$304,"L")&gt;0,"L",""))))</f>
        <v/>
      </c>
      <c r="F11" s="62" t="str">
        <f aca="false">IF($B11="","",IF(COUNTIFS(Attendance!$B$5:$B$304,$B11,Attendance!$A$5:$A$304,F$9,Attendance!$F$5:$F$304,"P")&gt;0,"P",IF(COUNTIFS(Attendance!$B$5:$B$304,$B11,Attendance!$A$5:$A$304,F$9,Attendance!$F$5:$F$304,"A")&gt;0,"A",IF(COUNTIFS(Attendance!$B$5:$B$304,$B11,Attendance!$A$5:$A$304,F$9,Attendance!$F$5:$F$304,"L")&gt;0,"L",""))))</f>
        <v/>
      </c>
      <c r="G11" s="62" t="str">
        <f aca="false">IF($B11="","",IF(COUNTIFS(Attendance!$B$5:$B$304,$B11,Attendance!$A$5:$A$304,G$9,Attendance!$F$5:$F$304,"P")&gt;0,"P",IF(COUNTIFS(Attendance!$B$5:$B$304,$B11,Attendance!$A$5:$A$304,G$9,Attendance!$F$5:$F$304,"A")&gt;0,"A",IF(COUNTIFS(Attendance!$B$5:$B$304,$B11,Attendance!$A$5:$A$304,G$9,Attendance!$F$5:$F$304,"L")&gt;0,"L",""))))</f>
        <v/>
      </c>
      <c r="H11" s="62" t="str">
        <f aca="false">IF($B11="","",IF(COUNTIFS(Attendance!$B$5:$B$304,$B11,Attendance!$A$5:$A$304,H$9,Attendance!$F$5:$F$304,"P")&gt;0,"P",IF(COUNTIFS(Attendance!$B$5:$B$304,$B11,Attendance!$A$5:$A$304,H$9,Attendance!$F$5:$F$304,"A")&gt;0,"A",IF(COUNTIFS(Attendance!$B$5:$B$304,$B11,Attendance!$A$5:$A$304,H$9,Attendance!$F$5:$F$304,"L")&gt;0,"L",""))))</f>
        <v/>
      </c>
      <c r="I11" s="62" t="str">
        <f aca="false">IF($B11="","",IF(COUNTIFS(Attendance!$B$5:$B$304,$B11,Attendance!$A$5:$A$304,I$9,Attendance!$F$5:$F$304,"P")&gt;0,"P",IF(COUNTIFS(Attendance!$B$5:$B$304,$B11,Attendance!$A$5:$A$304,I$9,Attendance!$F$5:$F$304,"A")&gt;0,"A",IF(COUNTIFS(Attendance!$B$5:$B$304,$B11,Attendance!$A$5:$A$304,I$9,Attendance!$F$5:$F$304,"L")&gt;0,"L",""))))</f>
        <v/>
      </c>
      <c r="J11" s="62" t="str">
        <f aca="false">IF($B11="","",IF(COUNTIFS(Attendance!$B$5:$B$304,$B11,Attendance!$A$5:$A$304,J$9,Attendance!$F$5:$F$304,"P")&gt;0,"P",IF(COUNTIFS(Attendance!$B$5:$B$304,$B11,Attendance!$A$5:$A$304,J$9,Attendance!$F$5:$F$304,"A")&gt;0,"A",IF(COUNTIFS(Attendance!$B$5:$B$304,$B11,Attendance!$A$5:$A$304,J$9,Attendance!$F$5:$F$304,"L")&gt;0,"L",""))))</f>
        <v/>
      </c>
      <c r="K11" s="62" t="str">
        <f aca="false">IF($B11="","",IF(COUNTIFS(Attendance!$B$5:$B$304,$B11,Attendance!$A$5:$A$304,K$9,Attendance!$F$5:$F$304,"P")&gt;0,"P",IF(COUNTIFS(Attendance!$B$5:$B$304,$B11,Attendance!$A$5:$A$304,K$9,Attendance!$F$5:$F$304,"A")&gt;0,"A",IF(COUNTIFS(Attendance!$B$5:$B$304,$B11,Attendance!$A$5:$A$304,K$9,Attendance!$F$5:$F$304,"L")&gt;0,"L",""))))</f>
        <v/>
      </c>
      <c r="L11" s="62" t="str">
        <f aca="false">IF($B11="","",IF(COUNTIFS(Attendance!$B$5:$B$304,$B11,Attendance!$A$5:$A$304,L$9,Attendance!$F$5:$F$304,"P")&gt;0,"P",IF(COUNTIFS(Attendance!$B$5:$B$304,$B11,Attendance!$A$5:$A$304,L$9,Attendance!$F$5:$F$304,"A")&gt;0,"A",IF(COUNTIFS(Attendance!$B$5:$B$304,$B11,Attendance!$A$5:$A$304,L$9,Attendance!$F$5:$F$304,"L")&gt;0,"L",""))))</f>
        <v/>
      </c>
      <c r="M11" s="62" t="str">
        <f aca="false">IF($B11="","",IF(COUNTIFS(Attendance!$B$5:$B$304,$B11,Attendance!$A$5:$A$304,M$9,Attendance!$F$5:$F$304,"P")&gt;0,"P",IF(COUNTIFS(Attendance!$B$5:$B$304,$B11,Attendance!$A$5:$A$304,M$9,Attendance!$F$5:$F$304,"A")&gt;0,"A",IF(COUNTIFS(Attendance!$B$5:$B$304,$B11,Attendance!$A$5:$A$304,M$9,Attendance!$F$5:$F$304,"L")&gt;0,"L",""))))</f>
        <v/>
      </c>
      <c r="N11" s="62" t="str">
        <f aca="false">IF($B11="","",IF(COUNTIFS(Attendance!$B$5:$B$304,$B11,Attendance!$A$5:$A$304,N$9,Attendance!$F$5:$F$304,"P")&gt;0,"P",IF(COUNTIFS(Attendance!$B$5:$B$304,$B11,Attendance!$A$5:$A$304,N$9,Attendance!$F$5:$F$304,"A")&gt;0,"A",IF(COUNTIFS(Attendance!$B$5:$B$304,$B11,Attendance!$A$5:$A$304,N$9,Attendance!$F$5:$F$304,"L")&gt;0,"L",""))))</f>
        <v/>
      </c>
      <c r="O11" s="62" t="str">
        <f aca="false">IF($B11="","",IF(COUNTIFS(Attendance!$B$5:$B$304,$B11,Attendance!$A$5:$A$304,O$9,Attendance!$F$5:$F$304,"P")&gt;0,"P",IF(COUNTIFS(Attendance!$B$5:$B$304,$B11,Attendance!$A$5:$A$304,O$9,Attendance!$F$5:$F$304,"A")&gt;0,"A",IF(COUNTIFS(Attendance!$B$5:$B$304,$B11,Attendance!$A$5:$A$304,O$9,Attendance!$F$5:$F$304,"L")&gt;0,"L",""))))</f>
        <v/>
      </c>
      <c r="P11" s="62" t="str">
        <f aca="false">IF($B11="","",IF(COUNTIFS(Attendance!$B$5:$B$304,$B11,Attendance!$A$5:$A$304,P$9,Attendance!$F$5:$F$304,"P")&gt;0,"P",IF(COUNTIFS(Attendance!$B$5:$B$304,$B11,Attendance!$A$5:$A$304,P$9,Attendance!$F$5:$F$304,"A")&gt;0,"A",IF(COUNTIFS(Attendance!$B$5:$B$304,$B11,Attendance!$A$5:$A$304,P$9,Attendance!$F$5:$F$304,"L")&gt;0,"L",""))))</f>
        <v/>
      </c>
      <c r="Q11" s="62" t="str">
        <f aca="false">IF($B11="","",IF(COUNTIFS(Attendance!$B$5:$B$304,$B11,Attendance!$A$5:$A$304,Q$9,Attendance!$F$5:$F$304,"P")&gt;0,"P",IF(COUNTIFS(Attendance!$B$5:$B$304,$B11,Attendance!$A$5:$A$304,Q$9,Attendance!$F$5:$F$304,"A")&gt;0,"A",IF(COUNTIFS(Attendance!$B$5:$B$304,$B11,Attendance!$A$5:$A$304,Q$9,Attendance!$F$5:$F$304,"L")&gt;0,"L",""))))</f>
        <v/>
      </c>
      <c r="R11" s="62" t="str">
        <f aca="false">IF($B11="","",IF(COUNTIFS(Attendance!$B$5:$B$304,$B11,Attendance!$A$5:$A$304,R$9,Attendance!$F$5:$F$304,"P")&gt;0,"P",IF(COUNTIFS(Attendance!$B$5:$B$304,$B11,Attendance!$A$5:$A$304,R$9,Attendance!$F$5:$F$304,"A")&gt;0,"A",IF(COUNTIFS(Attendance!$B$5:$B$304,$B11,Attendance!$A$5:$A$304,R$9,Attendance!$F$5:$F$304,"L")&gt;0,"L",""))))</f>
        <v/>
      </c>
      <c r="S11" s="62" t="str">
        <f aca="false">IF($B11="","",IF(COUNTIFS(Attendance!$B$5:$B$304,$B11,Attendance!$A$5:$A$304,S$9,Attendance!$F$5:$F$304,"P")&gt;0,"P",IF(COUNTIFS(Attendance!$B$5:$B$304,$B11,Attendance!$A$5:$A$304,S$9,Attendance!$F$5:$F$304,"A")&gt;0,"A",IF(COUNTIFS(Attendance!$B$5:$B$304,$B11,Attendance!$A$5:$A$304,S$9,Attendance!$F$5:$F$304,"L")&gt;0,"L",""))))</f>
        <v/>
      </c>
      <c r="T11" s="62" t="str">
        <f aca="false">IF($B11="","",IF(COUNTIFS(Attendance!$B$5:$B$304,$B11,Attendance!$A$5:$A$304,T$9,Attendance!$F$5:$F$304,"P")&gt;0,"P",IF(COUNTIFS(Attendance!$B$5:$B$304,$B11,Attendance!$A$5:$A$304,T$9,Attendance!$F$5:$F$304,"A")&gt;0,"A",IF(COUNTIFS(Attendance!$B$5:$B$304,$B11,Attendance!$A$5:$A$304,T$9,Attendance!$F$5:$F$304,"L")&gt;0,"L",""))))</f>
        <v/>
      </c>
      <c r="U11" s="62" t="str">
        <f aca="false">IF($B11="","",IF(COUNTIFS(Attendance!$B$5:$B$304,$B11,Attendance!$A$5:$A$304,U$9,Attendance!$F$5:$F$304,"P")&gt;0,"P",IF(COUNTIFS(Attendance!$B$5:$B$304,$B11,Attendance!$A$5:$A$304,U$9,Attendance!$F$5:$F$304,"A")&gt;0,"A",IF(COUNTIFS(Attendance!$B$5:$B$304,$B11,Attendance!$A$5:$A$304,U$9,Attendance!$F$5:$F$304,"L")&gt;0,"L",""))))</f>
        <v/>
      </c>
      <c r="V11" s="62" t="str">
        <f aca="false">IF($B11="","",IF(COUNTIFS(Attendance!$B$5:$B$304,$B11,Attendance!$A$5:$A$304,V$9,Attendance!$F$5:$F$304,"P")&gt;0,"P",IF(COUNTIFS(Attendance!$B$5:$B$304,$B11,Attendance!$A$5:$A$304,V$9,Attendance!$F$5:$F$304,"A")&gt;0,"A",IF(COUNTIFS(Attendance!$B$5:$B$304,$B11,Attendance!$A$5:$A$304,V$9,Attendance!$F$5:$F$304,"L")&gt;0,"L",""))))</f>
        <v/>
      </c>
      <c r="W11" s="62" t="str">
        <f aca="false">IF($B11="","",IF(COUNTIFS(Attendance!$B$5:$B$304,$B11,Attendance!$A$5:$A$304,W$9,Attendance!$F$5:$F$304,"P")&gt;0,"P",IF(COUNTIFS(Attendance!$B$5:$B$304,$B11,Attendance!$A$5:$A$304,W$9,Attendance!$F$5:$F$304,"A")&gt;0,"A",IF(COUNTIFS(Attendance!$B$5:$B$304,$B11,Attendance!$A$5:$A$304,W$9,Attendance!$F$5:$F$304,"L")&gt;0,"L",""))))</f>
        <v/>
      </c>
      <c r="X11" s="62" t="str">
        <f aca="false">IF($B11="","",IF(COUNTIFS(Attendance!$B$5:$B$304,$B11,Attendance!$A$5:$A$304,X$9,Attendance!$F$5:$F$304,"P")&gt;0,"P",IF(COUNTIFS(Attendance!$B$5:$B$304,$B11,Attendance!$A$5:$A$304,X$9,Attendance!$F$5:$F$304,"A")&gt;0,"A",IF(COUNTIFS(Attendance!$B$5:$B$304,$B11,Attendance!$A$5:$A$304,X$9,Attendance!$F$5:$F$304,"L")&gt;0,"L",""))))</f>
        <v/>
      </c>
      <c r="Y11" s="59" t="str">
        <f aca="false">IF($B11="","",COUNTIFS(Attendance!$B$5:$B$304,$B11,Attendance!$F$5:$F$304,"P",Attendance!$A$5:$A$304,"&gt;="&amp;$AF$4,Attendance!$A$5:$A$304,"&lt;="&amp;$AF$5))</f>
        <v/>
      </c>
      <c r="Z11" s="59" t="str">
        <f aca="false">IF($B11="","",COUNTIFS(Attendance!$B$5:$B$304,$B11,Attendance!$F$5:$F$304,"A",Attendance!$A$5:$A$304,"&gt;="&amp;$AF$4,Attendance!$A$5:$A$304,"&lt;="&amp;$AF$5))</f>
        <v/>
      </c>
      <c r="AA11" s="59" t="str">
        <f aca="false">IF($B11="","",COUNTIFS(Attendance!$B$5:$B$304,$B11,Attendance!$F$5:$F$304,"L",Attendance!$A$5:$A$304,"&gt;="&amp;$AF$4,Attendance!$A$5:$A$304,"&lt;="&amp;$AF$5))</f>
        <v/>
      </c>
      <c r="AB11" s="59" t="str">
        <f aca="false">IF($B11="","",SUM(Y11:AA11))</f>
        <v/>
      </c>
      <c r="AC11" s="63" t="str">
        <f aca="false">IF($B11="","",IF(AB11=0,"-",(Y11+AA11)/AB11))</f>
        <v/>
      </c>
    </row>
    <row r="12" customFormat="false" ht="19.5" hidden="false" customHeight="true" outlineLevel="0" collapsed="false">
      <c r="A12" s="59" t="str">
        <f aca="false">IF($B12="","",3)</f>
        <v/>
      </c>
      <c r="B12" s="59" t="str">
        <f aca="false">IFERROR(INDEX(Students!$A$5:$A$304,MATCH($C$4&amp;"|"&amp;$C$5&amp;"|"&amp;3,Students!$O$5:$O$304,0)),"")</f>
        <v/>
      </c>
      <c r="C12" s="60" t="str">
        <f aca="false">IF($B12="","",INDEX(Students!$B$5:$B$304,MATCH($B12,Students!$A$5:$A$304,0)))</f>
        <v/>
      </c>
      <c r="D12" s="61"/>
      <c r="E12" s="62" t="str">
        <f aca="false">IF($B12="","",IF(COUNTIFS(Attendance!$B$5:$B$304,$B12,Attendance!$A$5:$A$304,E$9,Attendance!$F$5:$F$304,"P")&gt;0,"P",IF(COUNTIFS(Attendance!$B$5:$B$304,$B12,Attendance!$A$5:$A$304,E$9,Attendance!$F$5:$F$304,"A")&gt;0,"A",IF(COUNTIFS(Attendance!$B$5:$B$304,$B12,Attendance!$A$5:$A$304,E$9,Attendance!$F$5:$F$304,"L")&gt;0,"L",""))))</f>
        <v/>
      </c>
      <c r="F12" s="62" t="str">
        <f aca="false">IF($B12="","",IF(COUNTIFS(Attendance!$B$5:$B$304,$B12,Attendance!$A$5:$A$304,F$9,Attendance!$F$5:$F$304,"P")&gt;0,"P",IF(COUNTIFS(Attendance!$B$5:$B$304,$B12,Attendance!$A$5:$A$304,F$9,Attendance!$F$5:$F$304,"A")&gt;0,"A",IF(COUNTIFS(Attendance!$B$5:$B$304,$B12,Attendance!$A$5:$A$304,F$9,Attendance!$F$5:$F$304,"L")&gt;0,"L",""))))</f>
        <v/>
      </c>
      <c r="G12" s="62" t="str">
        <f aca="false">IF($B12="","",IF(COUNTIFS(Attendance!$B$5:$B$304,$B12,Attendance!$A$5:$A$304,G$9,Attendance!$F$5:$F$304,"P")&gt;0,"P",IF(COUNTIFS(Attendance!$B$5:$B$304,$B12,Attendance!$A$5:$A$304,G$9,Attendance!$F$5:$F$304,"A")&gt;0,"A",IF(COUNTIFS(Attendance!$B$5:$B$304,$B12,Attendance!$A$5:$A$304,G$9,Attendance!$F$5:$F$304,"L")&gt;0,"L",""))))</f>
        <v/>
      </c>
      <c r="H12" s="62" t="str">
        <f aca="false">IF($B12="","",IF(COUNTIFS(Attendance!$B$5:$B$304,$B12,Attendance!$A$5:$A$304,H$9,Attendance!$F$5:$F$304,"P")&gt;0,"P",IF(COUNTIFS(Attendance!$B$5:$B$304,$B12,Attendance!$A$5:$A$304,H$9,Attendance!$F$5:$F$304,"A")&gt;0,"A",IF(COUNTIFS(Attendance!$B$5:$B$304,$B12,Attendance!$A$5:$A$304,H$9,Attendance!$F$5:$F$304,"L")&gt;0,"L",""))))</f>
        <v/>
      </c>
      <c r="I12" s="62" t="str">
        <f aca="false">IF($B12="","",IF(COUNTIFS(Attendance!$B$5:$B$304,$B12,Attendance!$A$5:$A$304,I$9,Attendance!$F$5:$F$304,"P")&gt;0,"P",IF(COUNTIFS(Attendance!$B$5:$B$304,$B12,Attendance!$A$5:$A$304,I$9,Attendance!$F$5:$F$304,"A")&gt;0,"A",IF(COUNTIFS(Attendance!$B$5:$B$304,$B12,Attendance!$A$5:$A$304,I$9,Attendance!$F$5:$F$304,"L")&gt;0,"L",""))))</f>
        <v/>
      </c>
      <c r="J12" s="62" t="str">
        <f aca="false">IF($B12="","",IF(COUNTIFS(Attendance!$B$5:$B$304,$B12,Attendance!$A$5:$A$304,J$9,Attendance!$F$5:$F$304,"P")&gt;0,"P",IF(COUNTIFS(Attendance!$B$5:$B$304,$B12,Attendance!$A$5:$A$304,J$9,Attendance!$F$5:$F$304,"A")&gt;0,"A",IF(COUNTIFS(Attendance!$B$5:$B$304,$B12,Attendance!$A$5:$A$304,J$9,Attendance!$F$5:$F$304,"L")&gt;0,"L",""))))</f>
        <v/>
      </c>
      <c r="K12" s="62" t="str">
        <f aca="false">IF($B12="","",IF(COUNTIFS(Attendance!$B$5:$B$304,$B12,Attendance!$A$5:$A$304,K$9,Attendance!$F$5:$F$304,"P")&gt;0,"P",IF(COUNTIFS(Attendance!$B$5:$B$304,$B12,Attendance!$A$5:$A$304,K$9,Attendance!$F$5:$F$304,"A")&gt;0,"A",IF(COUNTIFS(Attendance!$B$5:$B$304,$B12,Attendance!$A$5:$A$304,K$9,Attendance!$F$5:$F$304,"L")&gt;0,"L",""))))</f>
        <v/>
      </c>
      <c r="L12" s="62" t="str">
        <f aca="false">IF($B12="","",IF(COUNTIFS(Attendance!$B$5:$B$304,$B12,Attendance!$A$5:$A$304,L$9,Attendance!$F$5:$F$304,"P")&gt;0,"P",IF(COUNTIFS(Attendance!$B$5:$B$304,$B12,Attendance!$A$5:$A$304,L$9,Attendance!$F$5:$F$304,"A")&gt;0,"A",IF(COUNTIFS(Attendance!$B$5:$B$304,$B12,Attendance!$A$5:$A$304,L$9,Attendance!$F$5:$F$304,"L")&gt;0,"L",""))))</f>
        <v/>
      </c>
      <c r="M12" s="62" t="str">
        <f aca="false">IF($B12="","",IF(COUNTIFS(Attendance!$B$5:$B$304,$B12,Attendance!$A$5:$A$304,M$9,Attendance!$F$5:$F$304,"P")&gt;0,"P",IF(COUNTIFS(Attendance!$B$5:$B$304,$B12,Attendance!$A$5:$A$304,M$9,Attendance!$F$5:$F$304,"A")&gt;0,"A",IF(COUNTIFS(Attendance!$B$5:$B$304,$B12,Attendance!$A$5:$A$304,M$9,Attendance!$F$5:$F$304,"L")&gt;0,"L",""))))</f>
        <v/>
      </c>
      <c r="N12" s="62" t="str">
        <f aca="false">IF($B12="","",IF(COUNTIFS(Attendance!$B$5:$B$304,$B12,Attendance!$A$5:$A$304,N$9,Attendance!$F$5:$F$304,"P")&gt;0,"P",IF(COUNTIFS(Attendance!$B$5:$B$304,$B12,Attendance!$A$5:$A$304,N$9,Attendance!$F$5:$F$304,"A")&gt;0,"A",IF(COUNTIFS(Attendance!$B$5:$B$304,$B12,Attendance!$A$5:$A$304,N$9,Attendance!$F$5:$F$304,"L")&gt;0,"L",""))))</f>
        <v/>
      </c>
      <c r="O12" s="62" t="str">
        <f aca="false">IF($B12="","",IF(COUNTIFS(Attendance!$B$5:$B$304,$B12,Attendance!$A$5:$A$304,O$9,Attendance!$F$5:$F$304,"P")&gt;0,"P",IF(COUNTIFS(Attendance!$B$5:$B$304,$B12,Attendance!$A$5:$A$304,O$9,Attendance!$F$5:$F$304,"A")&gt;0,"A",IF(COUNTIFS(Attendance!$B$5:$B$304,$B12,Attendance!$A$5:$A$304,O$9,Attendance!$F$5:$F$304,"L")&gt;0,"L",""))))</f>
        <v/>
      </c>
      <c r="P12" s="62" t="str">
        <f aca="false">IF($B12="","",IF(COUNTIFS(Attendance!$B$5:$B$304,$B12,Attendance!$A$5:$A$304,P$9,Attendance!$F$5:$F$304,"P")&gt;0,"P",IF(COUNTIFS(Attendance!$B$5:$B$304,$B12,Attendance!$A$5:$A$304,P$9,Attendance!$F$5:$F$304,"A")&gt;0,"A",IF(COUNTIFS(Attendance!$B$5:$B$304,$B12,Attendance!$A$5:$A$304,P$9,Attendance!$F$5:$F$304,"L")&gt;0,"L",""))))</f>
        <v/>
      </c>
      <c r="Q12" s="62" t="str">
        <f aca="false">IF($B12="","",IF(COUNTIFS(Attendance!$B$5:$B$304,$B12,Attendance!$A$5:$A$304,Q$9,Attendance!$F$5:$F$304,"P")&gt;0,"P",IF(COUNTIFS(Attendance!$B$5:$B$304,$B12,Attendance!$A$5:$A$304,Q$9,Attendance!$F$5:$F$304,"A")&gt;0,"A",IF(COUNTIFS(Attendance!$B$5:$B$304,$B12,Attendance!$A$5:$A$304,Q$9,Attendance!$F$5:$F$304,"L")&gt;0,"L",""))))</f>
        <v/>
      </c>
      <c r="R12" s="62" t="str">
        <f aca="false">IF($B12="","",IF(COUNTIFS(Attendance!$B$5:$B$304,$B12,Attendance!$A$5:$A$304,R$9,Attendance!$F$5:$F$304,"P")&gt;0,"P",IF(COUNTIFS(Attendance!$B$5:$B$304,$B12,Attendance!$A$5:$A$304,R$9,Attendance!$F$5:$F$304,"A")&gt;0,"A",IF(COUNTIFS(Attendance!$B$5:$B$304,$B12,Attendance!$A$5:$A$304,R$9,Attendance!$F$5:$F$304,"L")&gt;0,"L",""))))</f>
        <v/>
      </c>
      <c r="S12" s="62" t="str">
        <f aca="false">IF($B12="","",IF(COUNTIFS(Attendance!$B$5:$B$304,$B12,Attendance!$A$5:$A$304,S$9,Attendance!$F$5:$F$304,"P")&gt;0,"P",IF(COUNTIFS(Attendance!$B$5:$B$304,$B12,Attendance!$A$5:$A$304,S$9,Attendance!$F$5:$F$304,"A")&gt;0,"A",IF(COUNTIFS(Attendance!$B$5:$B$304,$B12,Attendance!$A$5:$A$304,S$9,Attendance!$F$5:$F$304,"L")&gt;0,"L",""))))</f>
        <v/>
      </c>
      <c r="T12" s="62" t="str">
        <f aca="false">IF($B12="","",IF(COUNTIFS(Attendance!$B$5:$B$304,$B12,Attendance!$A$5:$A$304,T$9,Attendance!$F$5:$F$304,"P")&gt;0,"P",IF(COUNTIFS(Attendance!$B$5:$B$304,$B12,Attendance!$A$5:$A$304,T$9,Attendance!$F$5:$F$304,"A")&gt;0,"A",IF(COUNTIFS(Attendance!$B$5:$B$304,$B12,Attendance!$A$5:$A$304,T$9,Attendance!$F$5:$F$304,"L")&gt;0,"L",""))))</f>
        <v/>
      </c>
      <c r="U12" s="62" t="str">
        <f aca="false">IF($B12="","",IF(COUNTIFS(Attendance!$B$5:$B$304,$B12,Attendance!$A$5:$A$304,U$9,Attendance!$F$5:$F$304,"P")&gt;0,"P",IF(COUNTIFS(Attendance!$B$5:$B$304,$B12,Attendance!$A$5:$A$304,U$9,Attendance!$F$5:$F$304,"A")&gt;0,"A",IF(COUNTIFS(Attendance!$B$5:$B$304,$B12,Attendance!$A$5:$A$304,U$9,Attendance!$F$5:$F$304,"L")&gt;0,"L",""))))</f>
        <v/>
      </c>
      <c r="V12" s="62" t="str">
        <f aca="false">IF($B12="","",IF(COUNTIFS(Attendance!$B$5:$B$304,$B12,Attendance!$A$5:$A$304,V$9,Attendance!$F$5:$F$304,"P")&gt;0,"P",IF(COUNTIFS(Attendance!$B$5:$B$304,$B12,Attendance!$A$5:$A$304,V$9,Attendance!$F$5:$F$304,"A")&gt;0,"A",IF(COUNTIFS(Attendance!$B$5:$B$304,$B12,Attendance!$A$5:$A$304,V$9,Attendance!$F$5:$F$304,"L")&gt;0,"L",""))))</f>
        <v/>
      </c>
      <c r="W12" s="62" t="str">
        <f aca="false">IF($B12="","",IF(COUNTIFS(Attendance!$B$5:$B$304,$B12,Attendance!$A$5:$A$304,W$9,Attendance!$F$5:$F$304,"P")&gt;0,"P",IF(COUNTIFS(Attendance!$B$5:$B$304,$B12,Attendance!$A$5:$A$304,W$9,Attendance!$F$5:$F$304,"A")&gt;0,"A",IF(COUNTIFS(Attendance!$B$5:$B$304,$B12,Attendance!$A$5:$A$304,W$9,Attendance!$F$5:$F$304,"L")&gt;0,"L",""))))</f>
        <v/>
      </c>
      <c r="X12" s="62" t="str">
        <f aca="false">IF($B12="","",IF(COUNTIFS(Attendance!$B$5:$B$304,$B12,Attendance!$A$5:$A$304,X$9,Attendance!$F$5:$F$304,"P")&gt;0,"P",IF(COUNTIFS(Attendance!$B$5:$B$304,$B12,Attendance!$A$5:$A$304,X$9,Attendance!$F$5:$F$304,"A")&gt;0,"A",IF(COUNTIFS(Attendance!$B$5:$B$304,$B12,Attendance!$A$5:$A$304,X$9,Attendance!$F$5:$F$304,"L")&gt;0,"L",""))))</f>
        <v/>
      </c>
      <c r="Y12" s="59" t="str">
        <f aca="false">IF($B12="","",COUNTIFS(Attendance!$B$5:$B$304,$B12,Attendance!$F$5:$F$304,"P",Attendance!$A$5:$A$304,"&gt;="&amp;$AF$4,Attendance!$A$5:$A$304,"&lt;="&amp;$AF$5))</f>
        <v/>
      </c>
      <c r="Z12" s="59" t="str">
        <f aca="false">IF($B12="","",COUNTIFS(Attendance!$B$5:$B$304,$B12,Attendance!$F$5:$F$304,"A",Attendance!$A$5:$A$304,"&gt;="&amp;$AF$4,Attendance!$A$5:$A$304,"&lt;="&amp;$AF$5))</f>
        <v/>
      </c>
      <c r="AA12" s="59" t="str">
        <f aca="false">IF($B12="","",COUNTIFS(Attendance!$B$5:$B$304,$B12,Attendance!$F$5:$F$304,"L",Attendance!$A$5:$A$304,"&gt;="&amp;$AF$4,Attendance!$A$5:$A$304,"&lt;="&amp;$AF$5))</f>
        <v/>
      </c>
      <c r="AB12" s="59" t="str">
        <f aca="false">IF($B12="","",SUM(Y12:AA12))</f>
        <v/>
      </c>
      <c r="AC12" s="63" t="str">
        <f aca="false">IF($B12="","",IF(AB12=0,"-",(Y12+AA12)/AB12))</f>
        <v/>
      </c>
    </row>
    <row r="13" customFormat="false" ht="19.5" hidden="false" customHeight="true" outlineLevel="0" collapsed="false">
      <c r="A13" s="59" t="str">
        <f aca="false">IF($B13="","",4)</f>
        <v/>
      </c>
      <c r="B13" s="59" t="str">
        <f aca="false">IFERROR(INDEX(Students!$A$5:$A$304,MATCH($C$4&amp;"|"&amp;$C$5&amp;"|"&amp;4,Students!$O$5:$O$304,0)),"")</f>
        <v/>
      </c>
      <c r="C13" s="60" t="str">
        <f aca="false">IF($B13="","",INDEX(Students!$B$5:$B$304,MATCH($B13,Students!$A$5:$A$304,0)))</f>
        <v/>
      </c>
      <c r="D13" s="61"/>
      <c r="E13" s="62" t="str">
        <f aca="false">IF($B13="","",IF(COUNTIFS(Attendance!$B$5:$B$304,$B13,Attendance!$A$5:$A$304,E$9,Attendance!$F$5:$F$304,"P")&gt;0,"P",IF(COUNTIFS(Attendance!$B$5:$B$304,$B13,Attendance!$A$5:$A$304,E$9,Attendance!$F$5:$F$304,"A")&gt;0,"A",IF(COUNTIFS(Attendance!$B$5:$B$304,$B13,Attendance!$A$5:$A$304,E$9,Attendance!$F$5:$F$304,"L")&gt;0,"L",""))))</f>
        <v/>
      </c>
      <c r="F13" s="62" t="str">
        <f aca="false">IF($B13="","",IF(COUNTIFS(Attendance!$B$5:$B$304,$B13,Attendance!$A$5:$A$304,F$9,Attendance!$F$5:$F$304,"P")&gt;0,"P",IF(COUNTIFS(Attendance!$B$5:$B$304,$B13,Attendance!$A$5:$A$304,F$9,Attendance!$F$5:$F$304,"A")&gt;0,"A",IF(COUNTIFS(Attendance!$B$5:$B$304,$B13,Attendance!$A$5:$A$304,F$9,Attendance!$F$5:$F$304,"L")&gt;0,"L",""))))</f>
        <v/>
      </c>
      <c r="G13" s="62" t="str">
        <f aca="false">IF($B13="","",IF(COUNTIFS(Attendance!$B$5:$B$304,$B13,Attendance!$A$5:$A$304,G$9,Attendance!$F$5:$F$304,"P")&gt;0,"P",IF(COUNTIFS(Attendance!$B$5:$B$304,$B13,Attendance!$A$5:$A$304,G$9,Attendance!$F$5:$F$304,"A")&gt;0,"A",IF(COUNTIFS(Attendance!$B$5:$B$304,$B13,Attendance!$A$5:$A$304,G$9,Attendance!$F$5:$F$304,"L")&gt;0,"L",""))))</f>
        <v/>
      </c>
      <c r="H13" s="62" t="str">
        <f aca="false">IF($B13="","",IF(COUNTIFS(Attendance!$B$5:$B$304,$B13,Attendance!$A$5:$A$304,H$9,Attendance!$F$5:$F$304,"P")&gt;0,"P",IF(COUNTIFS(Attendance!$B$5:$B$304,$B13,Attendance!$A$5:$A$304,H$9,Attendance!$F$5:$F$304,"A")&gt;0,"A",IF(COUNTIFS(Attendance!$B$5:$B$304,$B13,Attendance!$A$5:$A$304,H$9,Attendance!$F$5:$F$304,"L")&gt;0,"L",""))))</f>
        <v/>
      </c>
      <c r="I13" s="62" t="str">
        <f aca="false">IF($B13="","",IF(COUNTIFS(Attendance!$B$5:$B$304,$B13,Attendance!$A$5:$A$304,I$9,Attendance!$F$5:$F$304,"P")&gt;0,"P",IF(COUNTIFS(Attendance!$B$5:$B$304,$B13,Attendance!$A$5:$A$304,I$9,Attendance!$F$5:$F$304,"A")&gt;0,"A",IF(COUNTIFS(Attendance!$B$5:$B$304,$B13,Attendance!$A$5:$A$304,I$9,Attendance!$F$5:$F$304,"L")&gt;0,"L",""))))</f>
        <v/>
      </c>
      <c r="J13" s="62" t="str">
        <f aca="false">IF($B13="","",IF(COUNTIFS(Attendance!$B$5:$B$304,$B13,Attendance!$A$5:$A$304,J$9,Attendance!$F$5:$F$304,"P")&gt;0,"P",IF(COUNTIFS(Attendance!$B$5:$B$304,$B13,Attendance!$A$5:$A$304,J$9,Attendance!$F$5:$F$304,"A")&gt;0,"A",IF(COUNTIFS(Attendance!$B$5:$B$304,$B13,Attendance!$A$5:$A$304,J$9,Attendance!$F$5:$F$304,"L")&gt;0,"L",""))))</f>
        <v/>
      </c>
      <c r="K13" s="62" t="str">
        <f aca="false">IF($B13="","",IF(COUNTIFS(Attendance!$B$5:$B$304,$B13,Attendance!$A$5:$A$304,K$9,Attendance!$F$5:$F$304,"P")&gt;0,"P",IF(COUNTIFS(Attendance!$B$5:$B$304,$B13,Attendance!$A$5:$A$304,K$9,Attendance!$F$5:$F$304,"A")&gt;0,"A",IF(COUNTIFS(Attendance!$B$5:$B$304,$B13,Attendance!$A$5:$A$304,K$9,Attendance!$F$5:$F$304,"L")&gt;0,"L",""))))</f>
        <v/>
      </c>
      <c r="L13" s="62" t="str">
        <f aca="false">IF($B13="","",IF(COUNTIFS(Attendance!$B$5:$B$304,$B13,Attendance!$A$5:$A$304,L$9,Attendance!$F$5:$F$304,"P")&gt;0,"P",IF(COUNTIFS(Attendance!$B$5:$B$304,$B13,Attendance!$A$5:$A$304,L$9,Attendance!$F$5:$F$304,"A")&gt;0,"A",IF(COUNTIFS(Attendance!$B$5:$B$304,$B13,Attendance!$A$5:$A$304,L$9,Attendance!$F$5:$F$304,"L")&gt;0,"L",""))))</f>
        <v/>
      </c>
      <c r="M13" s="62" t="str">
        <f aca="false">IF($B13="","",IF(COUNTIFS(Attendance!$B$5:$B$304,$B13,Attendance!$A$5:$A$304,M$9,Attendance!$F$5:$F$304,"P")&gt;0,"P",IF(COUNTIFS(Attendance!$B$5:$B$304,$B13,Attendance!$A$5:$A$304,M$9,Attendance!$F$5:$F$304,"A")&gt;0,"A",IF(COUNTIFS(Attendance!$B$5:$B$304,$B13,Attendance!$A$5:$A$304,M$9,Attendance!$F$5:$F$304,"L")&gt;0,"L",""))))</f>
        <v/>
      </c>
      <c r="N13" s="62" t="str">
        <f aca="false">IF($B13="","",IF(COUNTIFS(Attendance!$B$5:$B$304,$B13,Attendance!$A$5:$A$304,N$9,Attendance!$F$5:$F$304,"P")&gt;0,"P",IF(COUNTIFS(Attendance!$B$5:$B$304,$B13,Attendance!$A$5:$A$304,N$9,Attendance!$F$5:$F$304,"A")&gt;0,"A",IF(COUNTIFS(Attendance!$B$5:$B$304,$B13,Attendance!$A$5:$A$304,N$9,Attendance!$F$5:$F$304,"L")&gt;0,"L",""))))</f>
        <v/>
      </c>
      <c r="O13" s="62" t="str">
        <f aca="false">IF($B13="","",IF(COUNTIFS(Attendance!$B$5:$B$304,$B13,Attendance!$A$5:$A$304,O$9,Attendance!$F$5:$F$304,"P")&gt;0,"P",IF(COUNTIFS(Attendance!$B$5:$B$304,$B13,Attendance!$A$5:$A$304,O$9,Attendance!$F$5:$F$304,"A")&gt;0,"A",IF(COUNTIFS(Attendance!$B$5:$B$304,$B13,Attendance!$A$5:$A$304,O$9,Attendance!$F$5:$F$304,"L")&gt;0,"L",""))))</f>
        <v/>
      </c>
      <c r="P13" s="62" t="str">
        <f aca="false">IF($B13="","",IF(COUNTIFS(Attendance!$B$5:$B$304,$B13,Attendance!$A$5:$A$304,P$9,Attendance!$F$5:$F$304,"P")&gt;0,"P",IF(COUNTIFS(Attendance!$B$5:$B$304,$B13,Attendance!$A$5:$A$304,P$9,Attendance!$F$5:$F$304,"A")&gt;0,"A",IF(COUNTIFS(Attendance!$B$5:$B$304,$B13,Attendance!$A$5:$A$304,P$9,Attendance!$F$5:$F$304,"L")&gt;0,"L",""))))</f>
        <v/>
      </c>
      <c r="Q13" s="62" t="str">
        <f aca="false">IF($B13="","",IF(COUNTIFS(Attendance!$B$5:$B$304,$B13,Attendance!$A$5:$A$304,Q$9,Attendance!$F$5:$F$304,"P")&gt;0,"P",IF(COUNTIFS(Attendance!$B$5:$B$304,$B13,Attendance!$A$5:$A$304,Q$9,Attendance!$F$5:$F$304,"A")&gt;0,"A",IF(COUNTIFS(Attendance!$B$5:$B$304,$B13,Attendance!$A$5:$A$304,Q$9,Attendance!$F$5:$F$304,"L")&gt;0,"L",""))))</f>
        <v/>
      </c>
      <c r="R13" s="62" t="str">
        <f aca="false">IF($B13="","",IF(COUNTIFS(Attendance!$B$5:$B$304,$B13,Attendance!$A$5:$A$304,R$9,Attendance!$F$5:$F$304,"P")&gt;0,"P",IF(COUNTIFS(Attendance!$B$5:$B$304,$B13,Attendance!$A$5:$A$304,R$9,Attendance!$F$5:$F$304,"A")&gt;0,"A",IF(COUNTIFS(Attendance!$B$5:$B$304,$B13,Attendance!$A$5:$A$304,R$9,Attendance!$F$5:$F$304,"L")&gt;0,"L",""))))</f>
        <v/>
      </c>
      <c r="S13" s="62" t="str">
        <f aca="false">IF($B13="","",IF(COUNTIFS(Attendance!$B$5:$B$304,$B13,Attendance!$A$5:$A$304,S$9,Attendance!$F$5:$F$304,"P")&gt;0,"P",IF(COUNTIFS(Attendance!$B$5:$B$304,$B13,Attendance!$A$5:$A$304,S$9,Attendance!$F$5:$F$304,"A")&gt;0,"A",IF(COUNTIFS(Attendance!$B$5:$B$304,$B13,Attendance!$A$5:$A$304,S$9,Attendance!$F$5:$F$304,"L")&gt;0,"L",""))))</f>
        <v/>
      </c>
      <c r="T13" s="62" t="str">
        <f aca="false">IF($B13="","",IF(COUNTIFS(Attendance!$B$5:$B$304,$B13,Attendance!$A$5:$A$304,T$9,Attendance!$F$5:$F$304,"P")&gt;0,"P",IF(COUNTIFS(Attendance!$B$5:$B$304,$B13,Attendance!$A$5:$A$304,T$9,Attendance!$F$5:$F$304,"A")&gt;0,"A",IF(COUNTIFS(Attendance!$B$5:$B$304,$B13,Attendance!$A$5:$A$304,T$9,Attendance!$F$5:$F$304,"L")&gt;0,"L",""))))</f>
        <v/>
      </c>
      <c r="U13" s="62" t="str">
        <f aca="false">IF($B13="","",IF(COUNTIFS(Attendance!$B$5:$B$304,$B13,Attendance!$A$5:$A$304,U$9,Attendance!$F$5:$F$304,"P")&gt;0,"P",IF(COUNTIFS(Attendance!$B$5:$B$304,$B13,Attendance!$A$5:$A$304,U$9,Attendance!$F$5:$F$304,"A")&gt;0,"A",IF(COUNTIFS(Attendance!$B$5:$B$304,$B13,Attendance!$A$5:$A$304,U$9,Attendance!$F$5:$F$304,"L")&gt;0,"L",""))))</f>
        <v/>
      </c>
      <c r="V13" s="62" t="str">
        <f aca="false">IF($B13="","",IF(COUNTIFS(Attendance!$B$5:$B$304,$B13,Attendance!$A$5:$A$304,V$9,Attendance!$F$5:$F$304,"P")&gt;0,"P",IF(COUNTIFS(Attendance!$B$5:$B$304,$B13,Attendance!$A$5:$A$304,V$9,Attendance!$F$5:$F$304,"A")&gt;0,"A",IF(COUNTIFS(Attendance!$B$5:$B$304,$B13,Attendance!$A$5:$A$304,V$9,Attendance!$F$5:$F$304,"L")&gt;0,"L",""))))</f>
        <v/>
      </c>
      <c r="W13" s="62" t="str">
        <f aca="false">IF($B13="","",IF(COUNTIFS(Attendance!$B$5:$B$304,$B13,Attendance!$A$5:$A$304,W$9,Attendance!$F$5:$F$304,"P")&gt;0,"P",IF(COUNTIFS(Attendance!$B$5:$B$304,$B13,Attendance!$A$5:$A$304,W$9,Attendance!$F$5:$F$304,"A")&gt;0,"A",IF(COUNTIFS(Attendance!$B$5:$B$304,$B13,Attendance!$A$5:$A$304,W$9,Attendance!$F$5:$F$304,"L")&gt;0,"L",""))))</f>
        <v/>
      </c>
      <c r="X13" s="62" t="str">
        <f aca="false">IF($B13="","",IF(COUNTIFS(Attendance!$B$5:$B$304,$B13,Attendance!$A$5:$A$304,X$9,Attendance!$F$5:$F$304,"P")&gt;0,"P",IF(COUNTIFS(Attendance!$B$5:$B$304,$B13,Attendance!$A$5:$A$304,X$9,Attendance!$F$5:$F$304,"A")&gt;0,"A",IF(COUNTIFS(Attendance!$B$5:$B$304,$B13,Attendance!$A$5:$A$304,X$9,Attendance!$F$5:$F$304,"L")&gt;0,"L",""))))</f>
        <v/>
      </c>
      <c r="Y13" s="59" t="str">
        <f aca="false">IF($B13="","",COUNTIFS(Attendance!$B$5:$B$304,$B13,Attendance!$F$5:$F$304,"P",Attendance!$A$5:$A$304,"&gt;="&amp;$AF$4,Attendance!$A$5:$A$304,"&lt;="&amp;$AF$5))</f>
        <v/>
      </c>
      <c r="Z13" s="59" t="str">
        <f aca="false">IF($B13="","",COUNTIFS(Attendance!$B$5:$B$304,$B13,Attendance!$F$5:$F$304,"A",Attendance!$A$5:$A$304,"&gt;="&amp;$AF$4,Attendance!$A$5:$A$304,"&lt;="&amp;$AF$5))</f>
        <v/>
      </c>
      <c r="AA13" s="59" t="str">
        <f aca="false">IF($B13="","",COUNTIFS(Attendance!$B$5:$B$304,$B13,Attendance!$F$5:$F$304,"L",Attendance!$A$5:$A$304,"&gt;="&amp;$AF$4,Attendance!$A$5:$A$304,"&lt;="&amp;$AF$5))</f>
        <v/>
      </c>
      <c r="AB13" s="59" t="str">
        <f aca="false">IF($B13="","",SUM(Y13:AA13))</f>
        <v/>
      </c>
      <c r="AC13" s="63" t="str">
        <f aca="false">IF($B13="","",IF(AB13=0,"-",(Y13+AA13)/AB13))</f>
        <v/>
      </c>
    </row>
    <row r="14" customFormat="false" ht="19.5" hidden="false" customHeight="true" outlineLevel="0" collapsed="false">
      <c r="A14" s="59" t="str">
        <f aca="false">IF($B14="","",5)</f>
        <v/>
      </c>
      <c r="B14" s="59" t="str">
        <f aca="false">IFERROR(INDEX(Students!$A$5:$A$304,MATCH($C$4&amp;"|"&amp;$C$5&amp;"|"&amp;5,Students!$O$5:$O$304,0)),"")</f>
        <v/>
      </c>
      <c r="C14" s="60" t="str">
        <f aca="false">IF($B14="","",INDEX(Students!$B$5:$B$304,MATCH($B14,Students!$A$5:$A$304,0)))</f>
        <v/>
      </c>
      <c r="D14" s="61"/>
      <c r="E14" s="62" t="str">
        <f aca="false">IF($B14="","",IF(COUNTIFS(Attendance!$B$5:$B$304,$B14,Attendance!$A$5:$A$304,E$9,Attendance!$F$5:$F$304,"P")&gt;0,"P",IF(COUNTIFS(Attendance!$B$5:$B$304,$B14,Attendance!$A$5:$A$304,E$9,Attendance!$F$5:$F$304,"A")&gt;0,"A",IF(COUNTIFS(Attendance!$B$5:$B$304,$B14,Attendance!$A$5:$A$304,E$9,Attendance!$F$5:$F$304,"L")&gt;0,"L",""))))</f>
        <v/>
      </c>
      <c r="F14" s="62" t="str">
        <f aca="false">IF($B14="","",IF(COUNTIFS(Attendance!$B$5:$B$304,$B14,Attendance!$A$5:$A$304,F$9,Attendance!$F$5:$F$304,"P")&gt;0,"P",IF(COUNTIFS(Attendance!$B$5:$B$304,$B14,Attendance!$A$5:$A$304,F$9,Attendance!$F$5:$F$304,"A")&gt;0,"A",IF(COUNTIFS(Attendance!$B$5:$B$304,$B14,Attendance!$A$5:$A$304,F$9,Attendance!$F$5:$F$304,"L")&gt;0,"L",""))))</f>
        <v/>
      </c>
      <c r="G14" s="62" t="str">
        <f aca="false">IF($B14="","",IF(COUNTIFS(Attendance!$B$5:$B$304,$B14,Attendance!$A$5:$A$304,G$9,Attendance!$F$5:$F$304,"P")&gt;0,"P",IF(COUNTIFS(Attendance!$B$5:$B$304,$B14,Attendance!$A$5:$A$304,G$9,Attendance!$F$5:$F$304,"A")&gt;0,"A",IF(COUNTIFS(Attendance!$B$5:$B$304,$B14,Attendance!$A$5:$A$304,G$9,Attendance!$F$5:$F$304,"L")&gt;0,"L",""))))</f>
        <v/>
      </c>
      <c r="H14" s="62" t="str">
        <f aca="false">IF($B14="","",IF(COUNTIFS(Attendance!$B$5:$B$304,$B14,Attendance!$A$5:$A$304,H$9,Attendance!$F$5:$F$304,"P")&gt;0,"P",IF(COUNTIFS(Attendance!$B$5:$B$304,$B14,Attendance!$A$5:$A$304,H$9,Attendance!$F$5:$F$304,"A")&gt;0,"A",IF(COUNTIFS(Attendance!$B$5:$B$304,$B14,Attendance!$A$5:$A$304,H$9,Attendance!$F$5:$F$304,"L")&gt;0,"L",""))))</f>
        <v/>
      </c>
      <c r="I14" s="62" t="str">
        <f aca="false">IF($B14="","",IF(COUNTIFS(Attendance!$B$5:$B$304,$B14,Attendance!$A$5:$A$304,I$9,Attendance!$F$5:$F$304,"P")&gt;0,"P",IF(COUNTIFS(Attendance!$B$5:$B$304,$B14,Attendance!$A$5:$A$304,I$9,Attendance!$F$5:$F$304,"A")&gt;0,"A",IF(COUNTIFS(Attendance!$B$5:$B$304,$B14,Attendance!$A$5:$A$304,I$9,Attendance!$F$5:$F$304,"L")&gt;0,"L",""))))</f>
        <v/>
      </c>
      <c r="J14" s="62" t="str">
        <f aca="false">IF($B14="","",IF(COUNTIFS(Attendance!$B$5:$B$304,$B14,Attendance!$A$5:$A$304,J$9,Attendance!$F$5:$F$304,"P")&gt;0,"P",IF(COUNTIFS(Attendance!$B$5:$B$304,$B14,Attendance!$A$5:$A$304,J$9,Attendance!$F$5:$F$304,"A")&gt;0,"A",IF(COUNTIFS(Attendance!$B$5:$B$304,$B14,Attendance!$A$5:$A$304,J$9,Attendance!$F$5:$F$304,"L")&gt;0,"L",""))))</f>
        <v/>
      </c>
      <c r="K14" s="62" t="str">
        <f aca="false">IF($B14="","",IF(COUNTIFS(Attendance!$B$5:$B$304,$B14,Attendance!$A$5:$A$304,K$9,Attendance!$F$5:$F$304,"P")&gt;0,"P",IF(COUNTIFS(Attendance!$B$5:$B$304,$B14,Attendance!$A$5:$A$304,K$9,Attendance!$F$5:$F$304,"A")&gt;0,"A",IF(COUNTIFS(Attendance!$B$5:$B$304,$B14,Attendance!$A$5:$A$304,K$9,Attendance!$F$5:$F$304,"L")&gt;0,"L",""))))</f>
        <v/>
      </c>
      <c r="L14" s="62" t="str">
        <f aca="false">IF($B14="","",IF(COUNTIFS(Attendance!$B$5:$B$304,$B14,Attendance!$A$5:$A$304,L$9,Attendance!$F$5:$F$304,"P")&gt;0,"P",IF(COUNTIFS(Attendance!$B$5:$B$304,$B14,Attendance!$A$5:$A$304,L$9,Attendance!$F$5:$F$304,"A")&gt;0,"A",IF(COUNTIFS(Attendance!$B$5:$B$304,$B14,Attendance!$A$5:$A$304,L$9,Attendance!$F$5:$F$304,"L")&gt;0,"L",""))))</f>
        <v/>
      </c>
      <c r="M14" s="62" t="str">
        <f aca="false">IF($B14="","",IF(COUNTIFS(Attendance!$B$5:$B$304,$B14,Attendance!$A$5:$A$304,M$9,Attendance!$F$5:$F$304,"P")&gt;0,"P",IF(COUNTIFS(Attendance!$B$5:$B$304,$B14,Attendance!$A$5:$A$304,M$9,Attendance!$F$5:$F$304,"A")&gt;0,"A",IF(COUNTIFS(Attendance!$B$5:$B$304,$B14,Attendance!$A$5:$A$304,M$9,Attendance!$F$5:$F$304,"L")&gt;0,"L",""))))</f>
        <v/>
      </c>
      <c r="N14" s="62" t="str">
        <f aca="false">IF($B14="","",IF(COUNTIFS(Attendance!$B$5:$B$304,$B14,Attendance!$A$5:$A$304,N$9,Attendance!$F$5:$F$304,"P")&gt;0,"P",IF(COUNTIFS(Attendance!$B$5:$B$304,$B14,Attendance!$A$5:$A$304,N$9,Attendance!$F$5:$F$304,"A")&gt;0,"A",IF(COUNTIFS(Attendance!$B$5:$B$304,$B14,Attendance!$A$5:$A$304,N$9,Attendance!$F$5:$F$304,"L")&gt;0,"L",""))))</f>
        <v/>
      </c>
      <c r="O14" s="62" t="str">
        <f aca="false">IF($B14="","",IF(COUNTIFS(Attendance!$B$5:$B$304,$B14,Attendance!$A$5:$A$304,O$9,Attendance!$F$5:$F$304,"P")&gt;0,"P",IF(COUNTIFS(Attendance!$B$5:$B$304,$B14,Attendance!$A$5:$A$304,O$9,Attendance!$F$5:$F$304,"A")&gt;0,"A",IF(COUNTIFS(Attendance!$B$5:$B$304,$B14,Attendance!$A$5:$A$304,O$9,Attendance!$F$5:$F$304,"L")&gt;0,"L",""))))</f>
        <v/>
      </c>
      <c r="P14" s="62" t="str">
        <f aca="false">IF($B14="","",IF(COUNTIFS(Attendance!$B$5:$B$304,$B14,Attendance!$A$5:$A$304,P$9,Attendance!$F$5:$F$304,"P")&gt;0,"P",IF(COUNTIFS(Attendance!$B$5:$B$304,$B14,Attendance!$A$5:$A$304,P$9,Attendance!$F$5:$F$304,"A")&gt;0,"A",IF(COUNTIFS(Attendance!$B$5:$B$304,$B14,Attendance!$A$5:$A$304,P$9,Attendance!$F$5:$F$304,"L")&gt;0,"L",""))))</f>
        <v/>
      </c>
      <c r="Q14" s="62" t="str">
        <f aca="false">IF($B14="","",IF(COUNTIFS(Attendance!$B$5:$B$304,$B14,Attendance!$A$5:$A$304,Q$9,Attendance!$F$5:$F$304,"P")&gt;0,"P",IF(COUNTIFS(Attendance!$B$5:$B$304,$B14,Attendance!$A$5:$A$304,Q$9,Attendance!$F$5:$F$304,"A")&gt;0,"A",IF(COUNTIFS(Attendance!$B$5:$B$304,$B14,Attendance!$A$5:$A$304,Q$9,Attendance!$F$5:$F$304,"L")&gt;0,"L",""))))</f>
        <v/>
      </c>
      <c r="R14" s="62" t="str">
        <f aca="false">IF($B14="","",IF(COUNTIFS(Attendance!$B$5:$B$304,$B14,Attendance!$A$5:$A$304,R$9,Attendance!$F$5:$F$304,"P")&gt;0,"P",IF(COUNTIFS(Attendance!$B$5:$B$304,$B14,Attendance!$A$5:$A$304,R$9,Attendance!$F$5:$F$304,"A")&gt;0,"A",IF(COUNTIFS(Attendance!$B$5:$B$304,$B14,Attendance!$A$5:$A$304,R$9,Attendance!$F$5:$F$304,"L")&gt;0,"L",""))))</f>
        <v/>
      </c>
      <c r="S14" s="62" t="str">
        <f aca="false">IF($B14="","",IF(COUNTIFS(Attendance!$B$5:$B$304,$B14,Attendance!$A$5:$A$304,S$9,Attendance!$F$5:$F$304,"P")&gt;0,"P",IF(COUNTIFS(Attendance!$B$5:$B$304,$B14,Attendance!$A$5:$A$304,S$9,Attendance!$F$5:$F$304,"A")&gt;0,"A",IF(COUNTIFS(Attendance!$B$5:$B$304,$B14,Attendance!$A$5:$A$304,S$9,Attendance!$F$5:$F$304,"L")&gt;0,"L",""))))</f>
        <v/>
      </c>
      <c r="T14" s="62" t="str">
        <f aca="false">IF($B14="","",IF(COUNTIFS(Attendance!$B$5:$B$304,$B14,Attendance!$A$5:$A$304,T$9,Attendance!$F$5:$F$304,"P")&gt;0,"P",IF(COUNTIFS(Attendance!$B$5:$B$304,$B14,Attendance!$A$5:$A$304,T$9,Attendance!$F$5:$F$304,"A")&gt;0,"A",IF(COUNTIFS(Attendance!$B$5:$B$304,$B14,Attendance!$A$5:$A$304,T$9,Attendance!$F$5:$F$304,"L")&gt;0,"L",""))))</f>
        <v/>
      </c>
      <c r="U14" s="62" t="str">
        <f aca="false">IF($B14="","",IF(COUNTIFS(Attendance!$B$5:$B$304,$B14,Attendance!$A$5:$A$304,U$9,Attendance!$F$5:$F$304,"P")&gt;0,"P",IF(COUNTIFS(Attendance!$B$5:$B$304,$B14,Attendance!$A$5:$A$304,U$9,Attendance!$F$5:$F$304,"A")&gt;0,"A",IF(COUNTIFS(Attendance!$B$5:$B$304,$B14,Attendance!$A$5:$A$304,U$9,Attendance!$F$5:$F$304,"L")&gt;0,"L",""))))</f>
        <v/>
      </c>
      <c r="V14" s="62" t="str">
        <f aca="false">IF($B14="","",IF(COUNTIFS(Attendance!$B$5:$B$304,$B14,Attendance!$A$5:$A$304,V$9,Attendance!$F$5:$F$304,"P")&gt;0,"P",IF(COUNTIFS(Attendance!$B$5:$B$304,$B14,Attendance!$A$5:$A$304,V$9,Attendance!$F$5:$F$304,"A")&gt;0,"A",IF(COUNTIFS(Attendance!$B$5:$B$304,$B14,Attendance!$A$5:$A$304,V$9,Attendance!$F$5:$F$304,"L")&gt;0,"L",""))))</f>
        <v/>
      </c>
      <c r="W14" s="62" t="str">
        <f aca="false">IF($B14="","",IF(COUNTIFS(Attendance!$B$5:$B$304,$B14,Attendance!$A$5:$A$304,W$9,Attendance!$F$5:$F$304,"P")&gt;0,"P",IF(COUNTIFS(Attendance!$B$5:$B$304,$B14,Attendance!$A$5:$A$304,W$9,Attendance!$F$5:$F$304,"A")&gt;0,"A",IF(COUNTIFS(Attendance!$B$5:$B$304,$B14,Attendance!$A$5:$A$304,W$9,Attendance!$F$5:$F$304,"L")&gt;0,"L",""))))</f>
        <v/>
      </c>
      <c r="X14" s="62" t="str">
        <f aca="false">IF($B14="","",IF(COUNTIFS(Attendance!$B$5:$B$304,$B14,Attendance!$A$5:$A$304,X$9,Attendance!$F$5:$F$304,"P")&gt;0,"P",IF(COUNTIFS(Attendance!$B$5:$B$304,$B14,Attendance!$A$5:$A$304,X$9,Attendance!$F$5:$F$304,"A")&gt;0,"A",IF(COUNTIFS(Attendance!$B$5:$B$304,$B14,Attendance!$A$5:$A$304,X$9,Attendance!$F$5:$F$304,"L")&gt;0,"L",""))))</f>
        <v/>
      </c>
      <c r="Y14" s="59" t="str">
        <f aca="false">IF($B14="","",COUNTIFS(Attendance!$B$5:$B$304,$B14,Attendance!$F$5:$F$304,"P",Attendance!$A$5:$A$304,"&gt;="&amp;$AF$4,Attendance!$A$5:$A$304,"&lt;="&amp;$AF$5))</f>
        <v/>
      </c>
      <c r="Z14" s="59" t="str">
        <f aca="false">IF($B14="","",COUNTIFS(Attendance!$B$5:$B$304,$B14,Attendance!$F$5:$F$304,"A",Attendance!$A$5:$A$304,"&gt;="&amp;$AF$4,Attendance!$A$5:$A$304,"&lt;="&amp;$AF$5))</f>
        <v/>
      </c>
      <c r="AA14" s="59" t="str">
        <f aca="false">IF($B14="","",COUNTIFS(Attendance!$B$5:$B$304,$B14,Attendance!$F$5:$F$304,"L",Attendance!$A$5:$A$304,"&gt;="&amp;$AF$4,Attendance!$A$5:$A$304,"&lt;="&amp;$AF$5))</f>
        <v/>
      </c>
      <c r="AB14" s="59" t="str">
        <f aca="false">IF($B14="","",SUM(Y14:AA14))</f>
        <v/>
      </c>
      <c r="AC14" s="63" t="str">
        <f aca="false">IF($B14="","",IF(AB14=0,"-",(Y14+AA14)/AB14))</f>
        <v/>
      </c>
    </row>
    <row r="15" customFormat="false" ht="19.5" hidden="false" customHeight="true" outlineLevel="0" collapsed="false">
      <c r="A15" s="59" t="str">
        <f aca="false">IF($B15="","",6)</f>
        <v/>
      </c>
      <c r="B15" s="59" t="str">
        <f aca="false">IFERROR(INDEX(Students!$A$5:$A$304,MATCH($C$4&amp;"|"&amp;$C$5&amp;"|"&amp;6,Students!$O$5:$O$304,0)),"")</f>
        <v/>
      </c>
      <c r="C15" s="60" t="str">
        <f aca="false">IF($B15="","",INDEX(Students!$B$5:$B$304,MATCH($B15,Students!$A$5:$A$304,0)))</f>
        <v/>
      </c>
      <c r="D15" s="61"/>
      <c r="E15" s="62" t="str">
        <f aca="false">IF($B15="","",IF(COUNTIFS(Attendance!$B$5:$B$304,$B15,Attendance!$A$5:$A$304,E$9,Attendance!$F$5:$F$304,"P")&gt;0,"P",IF(COUNTIFS(Attendance!$B$5:$B$304,$B15,Attendance!$A$5:$A$304,E$9,Attendance!$F$5:$F$304,"A")&gt;0,"A",IF(COUNTIFS(Attendance!$B$5:$B$304,$B15,Attendance!$A$5:$A$304,E$9,Attendance!$F$5:$F$304,"L")&gt;0,"L",""))))</f>
        <v/>
      </c>
      <c r="F15" s="62" t="str">
        <f aca="false">IF($B15="","",IF(COUNTIFS(Attendance!$B$5:$B$304,$B15,Attendance!$A$5:$A$304,F$9,Attendance!$F$5:$F$304,"P")&gt;0,"P",IF(COUNTIFS(Attendance!$B$5:$B$304,$B15,Attendance!$A$5:$A$304,F$9,Attendance!$F$5:$F$304,"A")&gt;0,"A",IF(COUNTIFS(Attendance!$B$5:$B$304,$B15,Attendance!$A$5:$A$304,F$9,Attendance!$F$5:$F$304,"L")&gt;0,"L",""))))</f>
        <v/>
      </c>
      <c r="G15" s="62" t="str">
        <f aca="false">IF($B15="","",IF(COUNTIFS(Attendance!$B$5:$B$304,$B15,Attendance!$A$5:$A$304,G$9,Attendance!$F$5:$F$304,"P")&gt;0,"P",IF(COUNTIFS(Attendance!$B$5:$B$304,$B15,Attendance!$A$5:$A$304,G$9,Attendance!$F$5:$F$304,"A")&gt;0,"A",IF(COUNTIFS(Attendance!$B$5:$B$304,$B15,Attendance!$A$5:$A$304,G$9,Attendance!$F$5:$F$304,"L")&gt;0,"L",""))))</f>
        <v/>
      </c>
      <c r="H15" s="62" t="str">
        <f aca="false">IF($B15="","",IF(COUNTIFS(Attendance!$B$5:$B$304,$B15,Attendance!$A$5:$A$304,H$9,Attendance!$F$5:$F$304,"P")&gt;0,"P",IF(COUNTIFS(Attendance!$B$5:$B$304,$B15,Attendance!$A$5:$A$304,H$9,Attendance!$F$5:$F$304,"A")&gt;0,"A",IF(COUNTIFS(Attendance!$B$5:$B$304,$B15,Attendance!$A$5:$A$304,H$9,Attendance!$F$5:$F$304,"L")&gt;0,"L",""))))</f>
        <v/>
      </c>
      <c r="I15" s="62" t="str">
        <f aca="false">IF($B15="","",IF(COUNTIFS(Attendance!$B$5:$B$304,$B15,Attendance!$A$5:$A$304,I$9,Attendance!$F$5:$F$304,"P")&gt;0,"P",IF(COUNTIFS(Attendance!$B$5:$B$304,$B15,Attendance!$A$5:$A$304,I$9,Attendance!$F$5:$F$304,"A")&gt;0,"A",IF(COUNTIFS(Attendance!$B$5:$B$304,$B15,Attendance!$A$5:$A$304,I$9,Attendance!$F$5:$F$304,"L")&gt;0,"L",""))))</f>
        <v/>
      </c>
      <c r="J15" s="62" t="str">
        <f aca="false">IF($B15="","",IF(COUNTIFS(Attendance!$B$5:$B$304,$B15,Attendance!$A$5:$A$304,J$9,Attendance!$F$5:$F$304,"P")&gt;0,"P",IF(COUNTIFS(Attendance!$B$5:$B$304,$B15,Attendance!$A$5:$A$304,J$9,Attendance!$F$5:$F$304,"A")&gt;0,"A",IF(COUNTIFS(Attendance!$B$5:$B$304,$B15,Attendance!$A$5:$A$304,J$9,Attendance!$F$5:$F$304,"L")&gt;0,"L",""))))</f>
        <v/>
      </c>
      <c r="K15" s="62" t="str">
        <f aca="false">IF($B15="","",IF(COUNTIFS(Attendance!$B$5:$B$304,$B15,Attendance!$A$5:$A$304,K$9,Attendance!$F$5:$F$304,"P")&gt;0,"P",IF(COUNTIFS(Attendance!$B$5:$B$304,$B15,Attendance!$A$5:$A$304,K$9,Attendance!$F$5:$F$304,"A")&gt;0,"A",IF(COUNTIFS(Attendance!$B$5:$B$304,$B15,Attendance!$A$5:$A$304,K$9,Attendance!$F$5:$F$304,"L")&gt;0,"L",""))))</f>
        <v/>
      </c>
      <c r="L15" s="62" t="str">
        <f aca="false">IF($B15="","",IF(COUNTIFS(Attendance!$B$5:$B$304,$B15,Attendance!$A$5:$A$304,L$9,Attendance!$F$5:$F$304,"P")&gt;0,"P",IF(COUNTIFS(Attendance!$B$5:$B$304,$B15,Attendance!$A$5:$A$304,L$9,Attendance!$F$5:$F$304,"A")&gt;0,"A",IF(COUNTIFS(Attendance!$B$5:$B$304,$B15,Attendance!$A$5:$A$304,L$9,Attendance!$F$5:$F$304,"L")&gt;0,"L",""))))</f>
        <v/>
      </c>
      <c r="M15" s="62" t="str">
        <f aca="false">IF($B15="","",IF(COUNTIFS(Attendance!$B$5:$B$304,$B15,Attendance!$A$5:$A$304,M$9,Attendance!$F$5:$F$304,"P")&gt;0,"P",IF(COUNTIFS(Attendance!$B$5:$B$304,$B15,Attendance!$A$5:$A$304,M$9,Attendance!$F$5:$F$304,"A")&gt;0,"A",IF(COUNTIFS(Attendance!$B$5:$B$304,$B15,Attendance!$A$5:$A$304,M$9,Attendance!$F$5:$F$304,"L")&gt;0,"L",""))))</f>
        <v/>
      </c>
      <c r="N15" s="62" t="str">
        <f aca="false">IF($B15="","",IF(COUNTIFS(Attendance!$B$5:$B$304,$B15,Attendance!$A$5:$A$304,N$9,Attendance!$F$5:$F$304,"P")&gt;0,"P",IF(COUNTIFS(Attendance!$B$5:$B$304,$B15,Attendance!$A$5:$A$304,N$9,Attendance!$F$5:$F$304,"A")&gt;0,"A",IF(COUNTIFS(Attendance!$B$5:$B$304,$B15,Attendance!$A$5:$A$304,N$9,Attendance!$F$5:$F$304,"L")&gt;0,"L",""))))</f>
        <v/>
      </c>
      <c r="O15" s="62" t="str">
        <f aca="false">IF($B15="","",IF(COUNTIFS(Attendance!$B$5:$B$304,$B15,Attendance!$A$5:$A$304,O$9,Attendance!$F$5:$F$304,"P")&gt;0,"P",IF(COUNTIFS(Attendance!$B$5:$B$304,$B15,Attendance!$A$5:$A$304,O$9,Attendance!$F$5:$F$304,"A")&gt;0,"A",IF(COUNTIFS(Attendance!$B$5:$B$304,$B15,Attendance!$A$5:$A$304,O$9,Attendance!$F$5:$F$304,"L")&gt;0,"L",""))))</f>
        <v/>
      </c>
      <c r="P15" s="62" t="str">
        <f aca="false">IF($B15="","",IF(COUNTIFS(Attendance!$B$5:$B$304,$B15,Attendance!$A$5:$A$304,P$9,Attendance!$F$5:$F$304,"P")&gt;0,"P",IF(COUNTIFS(Attendance!$B$5:$B$304,$B15,Attendance!$A$5:$A$304,P$9,Attendance!$F$5:$F$304,"A")&gt;0,"A",IF(COUNTIFS(Attendance!$B$5:$B$304,$B15,Attendance!$A$5:$A$304,P$9,Attendance!$F$5:$F$304,"L")&gt;0,"L",""))))</f>
        <v/>
      </c>
      <c r="Q15" s="62" t="str">
        <f aca="false">IF($B15="","",IF(COUNTIFS(Attendance!$B$5:$B$304,$B15,Attendance!$A$5:$A$304,Q$9,Attendance!$F$5:$F$304,"P")&gt;0,"P",IF(COUNTIFS(Attendance!$B$5:$B$304,$B15,Attendance!$A$5:$A$304,Q$9,Attendance!$F$5:$F$304,"A")&gt;0,"A",IF(COUNTIFS(Attendance!$B$5:$B$304,$B15,Attendance!$A$5:$A$304,Q$9,Attendance!$F$5:$F$304,"L")&gt;0,"L",""))))</f>
        <v/>
      </c>
      <c r="R15" s="62" t="str">
        <f aca="false">IF($B15="","",IF(COUNTIFS(Attendance!$B$5:$B$304,$B15,Attendance!$A$5:$A$304,R$9,Attendance!$F$5:$F$304,"P")&gt;0,"P",IF(COUNTIFS(Attendance!$B$5:$B$304,$B15,Attendance!$A$5:$A$304,R$9,Attendance!$F$5:$F$304,"A")&gt;0,"A",IF(COUNTIFS(Attendance!$B$5:$B$304,$B15,Attendance!$A$5:$A$304,R$9,Attendance!$F$5:$F$304,"L")&gt;0,"L",""))))</f>
        <v/>
      </c>
      <c r="S15" s="62" t="str">
        <f aca="false">IF($B15="","",IF(COUNTIFS(Attendance!$B$5:$B$304,$B15,Attendance!$A$5:$A$304,S$9,Attendance!$F$5:$F$304,"P")&gt;0,"P",IF(COUNTIFS(Attendance!$B$5:$B$304,$B15,Attendance!$A$5:$A$304,S$9,Attendance!$F$5:$F$304,"A")&gt;0,"A",IF(COUNTIFS(Attendance!$B$5:$B$304,$B15,Attendance!$A$5:$A$304,S$9,Attendance!$F$5:$F$304,"L")&gt;0,"L",""))))</f>
        <v/>
      </c>
      <c r="T15" s="62" t="str">
        <f aca="false">IF($B15="","",IF(COUNTIFS(Attendance!$B$5:$B$304,$B15,Attendance!$A$5:$A$304,T$9,Attendance!$F$5:$F$304,"P")&gt;0,"P",IF(COUNTIFS(Attendance!$B$5:$B$304,$B15,Attendance!$A$5:$A$304,T$9,Attendance!$F$5:$F$304,"A")&gt;0,"A",IF(COUNTIFS(Attendance!$B$5:$B$304,$B15,Attendance!$A$5:$A$304,T$9,Attendance!$F$5:$F$304,"L")&gt;0,"L",""))))</f>
        <v/>
      </c>
      <c r="U15" s="62" t="str">
        <f aca="false">IF($B15="","",IF(COUNTIFS(Attendance!$B$5:$B$304,$B15,Attendance!$A$5:$A$304,U$9,Attendance!$F$5:$F$304,"P")&gt;0,"P",IF(COUNTIFS(Attendance!$B$5:$B$304,$B15,Attendance!$A$5:$A$304,U$9,Attendance!$F$5:$F$304,"A")&gt;0,"A",IF(COUNTIFS(Attendance!$B$5:$B$304,$B15,Attendance!$A$5:$A$304,U$9,Attendance!$F$5:$F$304,"L")&gt;0,"L",""))))</f>
        <v/>
      </c>
      <c r="V15" s="62" t="str">
        <f aca="false">IF($B15="","",IF(COUNTIFS(Attendance!$B$5:$B$304,$B15,Attendance!$A$5:$A$304,V$9,Attendance!$F$5:$F$304,"P")&gt;0,"P",IF(COUNTIFS(Attendance!$B$5:$B$304,$B15,Attendance!$A$5:$A$304,V$9,Attendance!$F$5:$F$304,"A")&gt;0,"A",IF(COUNTIFS(Attendance!$B$5:$B$304,$B15,Attendance!$A$5:$A$304,V$9,Attendance!$F$5:$F$304,"L")&gt;0,"L",""))))</f>
        <v/>
      </c>
      <c r="W15" s="62" t="str">
        <f aca="false">IF($B15="","",IF(COUNTIFS(Attendance!$B$5:$B$304,$B15,Attendance!$A$5:$A$304,W$9,Attendance!$F$5:$F$304,"P")&gt;0,"P",IF(COUNTIFS(Attendance!$B$5:$B$304,$B15,Attendance!$A$5:$A$304,W$9,Attendance!$F$5:$F$304,"A")&gt;0,"A",IF(COUNTIFS(Attendance!$B$5:$B$304,$B15,Attendance!$A$5:$A$304,W$9,Attendance!$F$5:$F$304,"L")&gt;0,"L",""))))</f>
        <v/>
      </c>
      <c r="X15" s="62" t="str">
        <f aca="false">IF($B15="","",IF(COUNTIFS(Attendance!$B$5:$B$304,$B15,Attendance!$A$5:$A$304,X$9,Attendance!$F$5:$F$304,"P")&gt;0,"P",IF(COUNTIFS(Attendance!$B$5:$B$304,$B15,Attendance!$A$5:$A$304,X$9,Attendance!$F$5:$F$304,"A")&gt;0,"A",IF(COUNTIFS(Attendance!$B$5:$B$304,$B15,Attendance!$A$5:$A$304,X$9,Attendance!$F$5:$F$304,"L")&gt;0,"L",""))))</f>
        <v/>
      </c>
      <c r="Y15" s="59" t="str">
        <f aca="false">IF($B15="","",COUNTIFS(Attendance!$B$5:$B$304,$B15,Attendance!$F$5:$F$304,"P",Attendance!$A$5:$A$304,"&gt;="&amp;$AF$4,Attendance!$A$5:$A$304,"&lt;="&amp;$AF$5))</f>
        <v/>
      </c>
      <c r="Z15" s="59" t="str">
        <f aca="false">IF($B15="","",COUNTIFS(Attendance!$B$5:$B$304,$B15,Attendance!$F$5:$F$304,"A",Attendance!$A$5:$A$304,"&gt;="&amp;$AF$4,Attendance!$A$5:$A$304,"&lt;="&amp;$AF$5))</f>
        <v/>
      </c>
      <c r="AA15" s="59" t="str">
        <f aca="false">IF($B15="","",COUNTIFS(Attendance!$B$5:$B$304,$B15,Attendance!$F$5:$F$304,"L",Attendance!$A$5:$A$304,"&gt;="&amp;$AF$4,Attendance!$A$5:$A$304,"&lt;="&amp;$AF$5))</f>
        <v/>
      </c>
      <c r="AB15" s="59" t="str">
        <f aca="false">IF($B15="","",SUM(Y15:AA15))</f>
        <v/>
      </c>
      <c r="AC15" s="63" t="str">
        <f aca="false">IF($B15="","",IF(AB15=0,"-",(Y15+AA15)/AB15))</f>
        <v/>
      </c>
    </row>
    <row r="16" customFormat="false" ht="19.5" hidden="false" customHeight="true" outlineLevel="0" collapsed="false">
      <c r="A16" s="59" t="str">
        <f aca="false">IF($B16="","",7)</f>
        <v/>
      </c>
      <c r="B16" s="59" t="str">
        <f aca="false">IFERROR(INDEX(Students!$A$5:$A$304,MATCH($C$4&amp;"|"&amp;$C$5&amp;"|"&amp;7,Students!$O$5:$O$304,0)),"")</f>
        <v/>
      </c>
      <c r="C16" s="60" t="str">
        <f aca="false">IF($B16="","",INDEX(Students!$B$5:$B$304,MATCH($B16,Students!$A$5:$A$304,0)))</f>
        <v/>
      </c>
      <c r="D16" s="61"/>
      <c r="E16" s="62" t="str">
        <f aca="false">IF($B16="","",IF(COUNTIFS(Attendance!$B$5:$B$304,$B16,Attendance!$A$5:$A$304,E$9,Attendance!$F$5:$F$304,"P")&gt;0,"P",IF(COUNTIFS(Attendance!$B$5:$B$304,$B16,Attendance!$A$5:$A$304,E$9,Attendance!$F$5:$F$304,"A")&gt;0,"A",IF(COUNTIFS(Attendance!$B$5:$B$304,$B16,Attendance!$A$5:$A$304,E$9,Attendance!$F$5:$F$304,"L")&gt;0,"L",""))))</f>
        <v/>
      </c>
      <c r="F16" s="62" t="str">
        <f aca="false">IF($B16="","",IF(COUNTIFS(Attendance!$B$5:$B$304,$B16,Attendance!$A$5:$A$304,F$9,Attendance!$F$5:$F$304,"P")&gt;0,"P",IF(COUNTIFS(Attendance!$B$5:$B$304,$B16,Attendance!$A$5:$A$304,F$9,Attendance!$F$5:$F$304,"A")&gt;0,"A",IF(COUNTIFS(Attendance!$B$5:$B$304,$B16,Attendance!$A$5:$A$304,F$9,Attendance!$F$5:$F$304,"L")&gt;0,"L",""))))</f>
        <v/>
      </c>
      <c r="G16" s="62" t="str">
        <f aca="false">IF($B16="","",IF(COUNTIFS(Attendance!$B$5:$B$304,$B16,Attendance!$A$5:$A$304,G$9,Attendance!$F$5:$F$304,"P")&gt;0,"P",IF(COUNTIFS(Attendance!$B$5:$B$304,$B16,Attendance!$A$5:$A$304,G$9,Attendance!$F$5:$F$304,"A")&gt;0,"A",IF(COUNTIFS(Attendance!$B$5:$B$304,$B16,Attendance!$A$5:$A$304,G$9,Attendance!$F$5:$F$304,"L")&gt;0,"L",""))))</f>
        <v/>
      </c>
      <c r="H16" s="62" t="str">
        <f aca="false">IF($B16="","",IF(COUNTIFS(Attendance!$B$5:$B$304,$B16,Attendance!$A$5:$A$304,H$9,Attendance!$F$5:$F$304,"P")&gt;0,"P",IF(COUNTIFS(Attendance!$B$5:$B$304,$B16,Attendance!$A$5:$A$304,H$9,Attendance!$F$5:$F$304,"A")&gt;0,"A",IF(COUNTIFS(Attendance!$B$5:$B$304,$B16,Attendance!$A$5:$A$304,H$9,Attendance!$F$5:$F$304,"L")&gt;0,"L",""))))</f>
        <v/>
      </c>
      <c r="I16" s="62" t="str">
        <f aca="false">IF($B16="","",IF(COUNTIFS(Attendance!$B$5:$B$304,$B16,Attendance!$A$5:$A$304,I$9,Attendance!$F$5:$F$304,"P")&gt;0,"P",IF(COUNTIFS(Attendance!$B$5:$B$304,$B16,Attendance!$A$5:$A$304,I$9,Attendance!$F$5:$F$304,"A")&gt;0,"A",IF(COUNTIFS(Attendance!$B$5:$B$304,$B16,Attendance!$A$5:$A$304,I$9,Attendance!$F$5:$F$304,"L")&gt;0,"L",""))))</f>
        <v/>
      </c>
      <c r="J16" s="62" t="str">
        <f aca="false">IF($B16="","",IF(COUNTIFS(Attendance!$B$5:$B$304,$B16,Attendance!$A$5:$A$304,J$9,Attendance!$F$5:$F$304,"P")&gt;0,"P",IF(COUNTIFS(Attendance!$B$5:$B$304,$B16,Attendance!$A$5:$A$304,J$9,Attendance!$F$5:$F$304,"A")&gt;0,"A",IF(COUNTIFS(Attendance!$B$5:$B$304,$B16,Attendance!$A$5:$A$304,J$9,Attendance!$F$5:$F$304,"L")&gt;0,"L",""))))</f>
        <v/>
      </c>
      <c r="K16" s="62" t="str">
        <f aca="false">IF($B16="","",IF(COUNTIFS(Attendance!$B$5:$B$304,$B16,Attendance!$A$5:$A$304,K$9,Attendance!$F$5:$F$304,"P")&gt;0,"P",IF(COUNTIFS(Attendance!$B$5:$B$304,$B16,Attendance!$A$5:$A$304,K$9,Attendance!$F$5:$F$304,"A")&gt;0,"A",IF(COUNTIFS(Attendance!$B$5:$B$304,$B16,Attendance!$A$5:$A$304,K$9,Attendance!$F$5:$F$304,"L")&gt;0,"L",""))))</f>
        <v/>
      </c>
      <c r="L16" s="62" t="str">
        <f aca="false">IF($B16="","",IF(COUNTIFS(Attendance!$B$5:$B$304,$B16,Attendance!$A$5:$A$304,L$9,Attendance!$F$5:$F$304,"P")&gt;0,"P",IF(COUNTIFS(Attendance!$B$5:$B$304,$B16,Attendance!$A$5:$A$304,L$9,Attendance!$F$5:$F$304,"A")&gt;0,"A",IF(COUNTIFS(Attendance!$B$5:$B$304,$B16,Attendance!$A$5:$A$304,L$9,Attendance!$F$5:$F$304,"L")&gt;0,"L",""))))</f>
        <v/>
      </c>
      <c r="M16" s="62" t="str">
        <f aca="false">IF($B16="","",IF(COUNTIFS(Attendance!$B$5:$B$304,$B16,Attendance!$A$5:$A$304,M$9,Attendance!$F$5:$F$304,"P")&gt;0,"P",IF(COUNTIFS(Attendance!$B$5:$B$304,$B16,Attendance!$A$5:$A$304,M$9,Attendance!$F$5:$F$304,"A")&gt;0,"A",IF(COUNTIFS(Attendance!$B$5:$B$304,$B16,Attendance!$A$5:$A$304,M$9,Attendance!$F$5:$F$304,"L")&gt;0,"L",""))))</f>
        <v/>
      </c>
      <c r="N16" s="62" t="str">
        <f aca="false">IF($B16="","",IF(COUNTIFS(Attendance!$B$5:$B$304,$B16,Attendance!$A$5:$A$304,N$9,Attendance!$F$5:$F$304,"P")&gt;0,"P",IF(COUNTIFS(Attendance!$B$5:$B$304,$B16,Attendance!$A$5:$A$304,N$9,Attendance!$F$5:$F$304,"A")&gt;0,"A",IF(COUNTIFS(Attendance!$B$5:$B$304,$B16,Attendance!$A$5:$A$304,N$9,Attendance!$F$5:$F$304,"L")&gt;0,"L",""))))</f>
        <v/>
      </c>
      <c r="O16" s="62" t="str">
        <f aca="false">IF($B16="","",IF(COUNTIFS(Attendance!$B$5:$B$304,$B16,Attendance!$A$5:$A$304,O$9,Attendance!$F$5:$F$304,"P")&gt;0,"P",IF(COUNTIFS(Attendance!$B$5:$B$304,$B16,Attendance!$A$5:$A$304,O$9,Attendance!$F$5:$F$304,"A")&gt;0,"A",IF(COUNTIFS(Attendance!$B$5:$B$304,$B16,Attendance!$A$5:$A$304,O$9,Attendance!$F$5:$F$304,"L")&gt;0,"L",""))))</f>
        <v/>
      </c>
      <c r="P16" s="62" t="str">
        <f aca="false">IF($B16="","",IF(COUNTIFS(Attendance!$B$5:$B$304,$B16,Attendance!$A$5:$A$304,P$9,Attendance!$F$5:$F$304,"P")&gt;0,"P",IF(COUNTIFS(Attendance!$B$5:$B$304,$B16,Attendance!$A$5:$A$304,P$9,Attendance!$F$5:$F$304,"A")&gt;0,"A",IF(COUNTIFS(Attendance!$B$5:$B$304,$B16,Attendance!$A$5:$A$304,P$9,Attendance!$F$5:$F$304,"L")&gt;0,"L",""))))</f>
        <v/>
      </c>
      <c r="Q16" s="62" t="str">
        <f aca="false">IF($B16="","",IF(COUNTIFS(Attendance!$B$5:$B$304,$B16,Attendance!$A$5:$A$304,Q$9,Attendance!$F$5:$F$304,"P")&gt;0,"P",IF(COUNTIFS(Attendance!$B$5:$B$304,$B16,Attendance!$A$5:$A$304,Q$9,Attendance!$F$5:$F$304,"A")&gt;0,"A",IF(COUNTIFS(Attendance!$B$5:$B$304,$B16,Attendance!$A$5:$A$304,Q$9,Attendance!$F$5:$F$304,"L")&gt;0,"L",""))))</f>
        <v/>
      </c>
      <c r="R16" s="62" t="str">
        <f aca="false">IF($B16="","",IF(COUNTIFS(Attendance!$B$5:$B$304,$B16,Attendance!$A$5:$A$304,R$9,Attendance!$F$5:$F$304,"P")&gt;0,"P",IF(COUNTIFS(Attendance!$B$5:$B$304,$B16,Attendance!$A$5:$A$304,R$9,Attendance!$F$5:$F$304,"A")&gt;0,"A",IF(COUNTIFS(Attendance!$B$5:$B$304,$B16,Attendance!$A$5:$A$304,R$9,Attendance!$F$5:$F$304,"L")&gt;0,"L",""))))</f>
        <v/>
      </c>
      <c r="S16" s="62" t="str">
        <f aca="false">IF($B16="","",IF(COUNTIFS(Attendance!$B$5:$B$304,$B16,Attendance!$A$5:$A$304,S$9,Attendance!$F$5:$F$304,"P")&gt;0,"P",IF(COUNTIFS(Attendance!$B$5:$B$304,$B16,Attendance!$A$5:$A$304,S$9,Attendance!$F$5:$F$304,"A")&gt;0,"A",IF(COUNTIFS(Attendance!$B$5:$B$304,$B16,Attendance!$A$5:$A$304,S$9,Attendance!$F$5:$F$304,"L")&gt;0,"L",""))))</f>
        <v/>
      </c>
      <c r="T16" s="62" t="str">
        <f aca="false">IF($B16="","",IF(COUNTIFS(Attendance!$B$5:$B$304,$B16,Attendance!$A$5:$A$304,T$9,Attendance!$F$5:$F$304,"P")&gt;0,"P",IF(COUNTIFS(Attendance!$B$5:$B$304,$B16,Attendance!$A$5:$A$304,T$9,Attendance!$F$5:$F$304,"A")&gt;0,"A",IF(COUNTIFS(Attendance!$B$5:$B$304,$B16,Attendance!$A$5:$A$304,T$9,Attendance!$F$5:$F$304,"L")&gt;0,"L",""))))</f>
        <v/>
      </c>
      <c r="U16" s="62" t="str">
        <f aca="false">IF($B16="","",IF(COUNTIFS(Attendance!$B$5:$B$304,$B16,Attendance!$A$5:$A$304,U$9,Attendance!$F$5:$F$304,"P")&gt;0,"P",IF(COUNTIFS(Attendance!$B$5:$B$304,$B16,Attendance!$A$5:$A$304,U$9,Attendance!$F$5:$F$304,"A")&gt;0,"A",IF(COUNTIFS(Attendance!$B$5:$B$304,$B16,Attendance!$A$5:$A$304,U$9,Attendance!$F$5:$F$304,"L")&gt;0,"L",""))))</f>
        <v/>
      </c>
      <c r="V16" s="62" t="str">
        <f aca="false">IF($B16="","",IF(COUNTIFS(Attendance!$B$5:$B$304,$B16,Attendance!$A$5:$A$304,V$9,Attendance!$F$5:$F$304,"P")&gt;0,"P",IF(COUNTIFS(Attendance!$B$5:$B$304,$B16,Attendance!$A$5:$A$304,V$9,Attendance!$F$5:$F$304,"A")&gt;0,"A",IF(COUNTIFS(Attendance!$B$5:$B$304,$B16,Attendance!$A$5:$A$304,V$9,Attendance!$F$5:$F$304,"L")&gt;0,"L",""))))</f>
        <v/>
      </c>
      <c r="W16" s="62" t="str">
        <f aca="false">IF($B16="","",IF(COUNTIFS(Attendance!$B$5:$B$304,$B16,Attendance!$A$5:$A$304,W$9,Attendance!$F$5:$F$304,"P")&gt;0,"P",IF(COUNTIFS(Attendance!$B$5:$B$304,$B16,Attendance!$A$5:$A$304,W$9,Attendance!$F$5:$F$304,"A")&gt;0,"A",IF(COUNTIFS(Attendance!$B$5:$B$304,$B16,Attendance!$A$5:$A$304,W$9,Attendance!$F$5:$F$304,"L")&gt;0,"L",""))))</f>
        <v/>
      </c>
      <c r="X16" s="62" t="str">
        <f aca="false">IF($B16="","",IF(COUNTIFS(Attendance!$B$5:$B$304,$B16,Attendance!$A$5:$A$304,X$9,Attendance!$F$5:$F$304,"P")&gt;0,"P",IF(COUNTIFS(Attendance!$B$5:$B$304,$B16,Attendance!$A$5:$A$304,X$9,Attendance!$F$5:$F$304,"A")&gt;0,"A",IF(COUNTIFS(Attendance!$B$5:$B$304,$B16,Attendance!$A$5:$A$304,X$9,Attendance!$F$5:$F$304,"L")&gt;0,"L",""))))</f>
        <v/>
      </c>
      <c r="Y16" s="59" t="str">
        <f aca="false">IF($B16="","",COUNTIFS(Attendance!$B$5:$B$304,$B16,Attendance!$F$5:$F$304,"P",Attendance!$A$5:$A$304,"&gt;="&amp;$AF$4,Attendance!$A$5:$A$304,"&lt;="&amp;$AF$5))</f>
        <v/>
      </c>
      <c r="Z16" s="59" t="str">
        <f aca="false">IF($B16="","",COUNTIFS(Attendance!$B$5:$B$304,$B16,Attendance!$F$5:$F$304,"A",Attendance!$A$5:$A$304,"&gt;="&amp;$AF$4,Attendance!$A$5:$A$304,"&lt;="&amp;$AF$5))</f>
        <v/>
      </c>
      <c r="AA16" s="59" t="str">
        <f aca="false">IF($B16="","",COUNTIFS(Attendance!$B$5:$B$304,$B16,Attendance!$F$5:$F$304,"L",Attendance!$A$5:$A$304,"&gt;="&amp;$AF$4,Attendance!$A$5:$A$304,"&lt;="&amp;$AF$5))</f>
        <v/>
      </c>
      <c r="AB16" s="59" t="str">
        <f aca="false">IF($B16="","",SUM(Y16:AA16))</f>
        <v/>
      </c>
      <c r="AC16" s="63" t="str">
        <f aca="false">IF($B16="","",IF(AB16=0,"-",(Y16+AA16)/AB16))</f>
        <v/>
      </c>
    </row>
    <row r="17" customFormat="false" ht="19.5" hidden="false" customHeight="true" outlineLevel="0" collapsed="false">
      <c r="A17" s="59" t="str">
        <f aca="false">IF($B17="","",8)</f>
        <v/>
      </c>
      <c r="B17" s="59" t="str">
        <f aca="false">IFERROR(INDEX(Students!$A$5:$A$304,MATCH($C$4&amp;"|"&amp;$C$5&amp;"|"&amp;8,Students!$O$5:$O$304,0)),"")</f>
        <v/>
      </c>
      <c r="C17" s="60" t="str">
        <f aca="false">IF($B17="","",INDEX(Students!$B$5:$B$304,MATCH($B17,Students!$A$5:$A$304,0)))</f>
        <v/>
      </c>
      <c r="D17" s="61"/>
      <c r="E17" s="62" t="str">
        <f aca="false">IF($B17="","",IF(COUNTIFS(Attendance!$B$5:$B$304,$B17,Attendance!$A$5:$A$304,E$9,Attendance!$F$5:$F$304,"P")&gt;0,"P",IF(COUNTIFS(Attendance!$B$5:$B$304,$B17,Attendance!$A$5:$A$304,E$9,Attendance!$F$5:$F$304,"A")&gt;0,"A",IF(COUNTIFS(Attendance!$B$5:$B$304,$B17,Attendance!$A$5:$A$304,E$9,Attendance!$F$5:$F$304,"L")&gt;0,"L",""))))</f>
        <v/>
      </c>
      <c r="F17" s="62" t="str">
        <f aca="false">IF($B17="","",IF(COUNTIFS(Attendance!$B$5:$B$304,$B17,Attendance!$A$5:$A$304,F$9,Attendance!$F$5:$F$304,"P")&gt;0,"P",IF(COUNTIFS(Attendance!$B$5:$B$304,$B17,Attendance!$A$5:$A$304,F$9,Attendance!$F$5:$F$304,"A")&gt;0,"A",IF(COUNTIFS(Attendance!$B$5:$B$304,$B17,Attendance!$A$5:$A$304,F$9,Attendance!$F$5:$F$304,"L")&gt;0,"L",""))))</f>
        <v/>
      </c>
      <c r="G17" s="62" t="str">
        <f aca="false">IF($B17="","",IF(COUNTIFS(Attendance!$B$5:$B$304,$B17,Attendance!$A$5:$A$304,G$9,Attendance!$F$5:$F$304,"P")&gt;0,"P",IF(COUNTIFS(Attendance!$B$5:$B$304,$B17,Attendance!$A$5:$A$304,G$9,Attendance!$F$5:$F$304,"A")&gt;0,"A",IF(COUNTIFS(Attendance!$B$5:$B$304,$B17,Attendance!$A$5:$A$304,G$9,Attendance!$F$5:$F$304,"L")&gt;0,"L",""))))</f>
        <v/>
      </c>
      <c r="H17" s="62" t="str">
        <f aca="false">IF($B17="","",IF(COUNTIFS(Attendance!$B$5:$B$304,$B17,Attendance!$A$5:$A$304,H$9,Attendance!$F$5:$F$304,"P")&gt;0,"P",IF(COUNTIFS(Attendance!$B$5:$B$304,$B17,Attendance!$A$5:$A$304,H$9,Attendance!$F$5:$F$304,"A")&gt;0,"A",IF(COUNTIFS(Attendance!$B$5:$B$304,$B17,Attendance!$A$5:$A$304,H$9,Attendance!$F$5:$F$304,"L")&gt;0,"L",""))))</f>
        <v/>
      </c>
      <c r="I17" s="62" t="str">
        <f aca="false">IF($B17="","",IF(COUNTIFS(Attendance!$B$5:$B$304,$B17,Attendance!$A$5:$A$304,I$9,Attendance!$F$5:$F$304,"P")&gt;0,"P",IF(COUNTIFS(Attendance!$B$5:$B$304,$B17,Attendance!$A$5:$A$304,I$9,Attendance!$F$5:$F$304,"A")&gt;0,"A",IF(COUNTIFS(Attendance!$B$5:$B$304,$B17,Attendance!$A$5:$A$304,I$9,Attendance!$F$5:$F$304,"L")&gt;0,"L",""))))</f>
        <v/>
      </c>
      <c r="J17" s="62" t="str">
        <f aca="false">IF($B17="","",IF(COUNTIFS(Attendance!$B$5:$B$304,$B17,Attendance!$A$5:$A$304,J$9,Attendance!$F$5:$F$304,"P")&gt;0,"P",IF(COUNTIFS(Attendance!$B$5:$B$304,$B17,Attendance!$A$5:$A$304,J$9,Attendance!$F$5:$F$304,"A")&gt;0,"A",IF(COUNTIFS(Attendance!$B$5:$B$304,$B17,Attendance!$A$5:$A$304,J$9,Attendance!$F$5:$F$304,"L")&gt;0,"L",""))))</f>
        <v/>
      </c>
      <c r="K17" s="62" t="str">
        <f aca="false">IF($B17="","",IF(COUNTIFS(Attendance!$B$5:$B$304,$B17,Attendance!$A$5:$A$304,K$9,Attendance!$F$5:$F$304,"P")&gt;0,"P",IF(COUNTIFS(Attendance!$B$5:$B$304,$B17,Attendance!$A$5:$A$304,K$9,Attendance!$F$5:$F$304,"A")&gt;0,"A",IF(COUNTIFS(Attendance!$B$5:$B$304,$B17,Attendance!$A$5:$A$304,K$9,Attendance!$F$5:$F$304,"L")&gt;0,"L",""))))</f>
        <v/>
      </c>
      <c r="L17" s="62" t="str">
        <f aca="false">IF($B17="","",IF(COUNTIFS(Attendance!$B$5:$B$304,$B17,Attendance!$A$5:$A$304,L$9,Attendance!$F$5:$F$304,"P")&gt;0,"P",IF(COUNTIFS(Attendance!$B$5:$B$304,$B17,Attendance!$A$5:$A$304,L$9,Attendance!$F$5:$F$304,"A")&gt;0,"A",IF(COUNTIFS(Attendance!$B$5:$B$304,$B17,Attendance!$A$5:$A$304,L$9,Attendance!$F$5:$F$304,"L")&gt;0,"L",""))))</f>
        <v/>
      </c>
      <c r="M17" s="62" t="str">
        <f aca="false">IF($B17="","",IF(COUNTIFS(Attendance!$B$5:$B$304,$B17,Attendance!$A$5:$A$304,M$9,Attendance!$F$5:$F$304,"P")&gt;0,"P",IF(COUNTIFS(Attendance!$B$5:$B$304,$B17,Attendance!$A$5:$A$304,M$9,Attendance!$F$5:$F$304,"A")&gt;0,"A",IF(COUNTIFS(Attendance!$B$5:$B$304,$B17,Attendance!$A$5:$A$304,M$9,Attendance!$F$5:$F$304,"L")&gt;0,"L",""))))</f>
        <v/>
      </c>
      <c r="N17" s="62" t="str">
        <f aca="false">IF($B17="","",IF(COUNTIFS(Attendance!$B$5:$B$304,$B17,Attendance!$A$5:$A$304,N$9,Attendance!$F$5:$F$304,"P")&gt;0,"P",IF(COUNTIFS(Attendance!$B$5:$B$304,$B17,Attendance!$A$5:$A$304,N$9,Attendance!$F$5:$F$304,"A")&gt;0,"A",IF(COUNTIFS(Attendance!$B$5:$B$304,$B17,Attendance!$A$5:$A$304,N$9,Attendance!$F$5:$F$304,"L")&gt;0,"L",""))))</f>
        <v/>
      </c>
      <c r="O17" s="62" t="str">
        <f aca="false">IF($B17="","",IF(COUNTIFS(Attendance!$B$5:$B$304,$B17,Attendance!$A$5:$A$304,O$9,Attendance!$F$5:$F$304,"P")&gt;0,"P",IF(COUNTIFS(Attendance!$B$5:$B$304,$B17,Attendance!$A$5:$A$304,O$9,Attendance!$F$5:$F$304,"A")&gt;0,"A",IF(COUNTIFS(Attendance!$B$5:$B$304,$B17,Attendance!$A$5:$A$304,O$9,Attendance!$F$5:$F$304,"L")&gt;0,"L",""))))</f>
        <v/>
      </c>
      <c r="P17" s="62" t="str">
        <f aca="false">IF($B17="","",IF(COUNTIFS(Attendance!$B$5:$B$304,$B17,Attendance!$A$5:$A$304,P$9,Attendance!$F$5:$F$304,"P")&gt;0,"P",IF(COUNTIFS(Attendance!$B$5:$B$304,$B17,Attendance!$A$5:$A$304,P$9,Attendance!$F$5:$F$304,"A")&gt;0,"A",IF(COUNTIFS(Attendance!$B$5:$B$304,$B17,Attendance!$A$5:$A$304,P$9,Attendance!$F$5:$F$304,"L")&gt;0,"L",""))))</f>
        <v/>
      </c>
      <c r="Q17" s="62" t="str">
        <f aca="false">IF($B17="","",IF(COUNTIFS(Attendance!$B$5:$B$304,$B17,Attendance!$A$5:$A$304,Q$9,Attendance!$F$5:$F$304,"P")&gt;0,"P",IF(COUNTIFS(Attendance!$B$5:$B$304,$B17,Attendance!$A$5:$A$304,Q$9,Attendance!$F$5:$F$304,"A")&gt;0,"A",IF(COUNTIFS(Attendance!$B$5:$B$304,$B17,Attendance!$A$5:$A$304,Q$9,Attendance!$F$5:$F$304,"L")&gt;0,"L",""))))</f>
        <v/>
      </c>
      <c r="R17" s="62" t="str">
        <f aca="false">IF($B17="","",IF(COUNTIFS(Attendance!$B$5:$B$304,$B17,Attendance!$A$5:$A$304,R$9,Attendance!$F$5:$F$304,"P")&gt;0,"P",IF(COUNTIFS(Attendance!$B$5:$B$304,$B17,Attendance!$A$5:$A$304,R$9,Attendance!$F$5:$F$304,"A")&gt;0,"A",IF(COUNTIFS(Attendance!$B$5:$B$304,$B17,Attendance!$A$5:$A$304,R$9,Attendance!$F$5:$F$304,"L")&gt;0,"L",""))))</f>
        <v/>
      </c>
      <c r="S17" s="62" t="str">
        <f aca="false">IF($B17="","",IF(COUNTIFS(Attendance!$B$5:$B$304,$B17,Attendance!$A$5:$A$304,S$9,Attendance!$F$5:$F$304,"P")&gt;0,"P",IF(COUNTIFS(Attendance!$B$5:$B$304,$B17,Attendance!$A$5:$A$304,S$9,Attendance!$F$5:$F$304,"A")&gt;0,"A",IF(COUNTIFS(Attendance!$B$5:$B$304,$B17,Attendance!$A$5:$A$304,S$9,Attendance!$F$5:$F$304,"L")&gt;0,"L",""))))</f>
        <v/>
      </c>
      <c r="T17" s="62" t="str">
        <f aca="false">IF($B17="","",IF(COUNTIFS(Attendance!$B$5:$B$304,$B17,Attendance!$A$5:$A$304,T$9,Attendance!$F$5:$F$304,"P")&gt;0,"P",IF(COUNTIFS(Attendance!$B$5:$B$304,$B17,Attendance!$A$5:$A$304,T$9,Attendance!$F$5:$F$304,"A")&gt;0,"A",IF(COUNTIFS(Attendance!$B$5:$B$304,$B17,Attendance!$A$5:$A$304,T$9,Attendance!$F$5:$F$304,"L")&gt;0,"L",""))))</f>
        <v/>
      </c>
      <c r="U17" s="62" t="str">
        <f aca="false">IF($B17="","",IF(COUNTIFS(Attendance!$B$5:$B$304,$B17,Attendance!$A$5:$A$304,U$9,Attendance!$F$5:$F$304,"P")&gt;0,"P",IF(COUNTIFS(Attendance!$B$5:$B$304,$B17,Attendance!$A$5:$A$304,U$9,Attendance!$F$5:$F$304,"A")&gt;0,"A",IF(COUNTIFS(Attendance!$B$5:$B$304,$B17,Attendance!$A$5:$A$304,U$9,Attendance!$F$5:$F$304,"L")&gt;0,"L",""))))</f>
        <v/>
      </c>
      <c r="V17" s="62" t="str">
        <f aca="false">IF($B17="","",IF(COUNTIFS(Attendance!$B$5:$B$304,$B17,Attendance!$A$5:$A$304,V$9,Attendance!$F$5:$F$304,"P")&gt;0,"P",IF(COUNTIFS(Attendance!$B$5:$B$304,$B17,Attendance!$A$5:$A$304,V$9,Attendance!$F$5:$F$304,"A")&gt;0,"A",IF(COUNTIFS(Attendance!$B$5:$B$304,$B17,Attendance!$A$5:$A$304,V$9,Attendance!$F$5:$F$304,"L")&gt;0,"L",""))))</f>
        <v/>
      </c>
      <c r="W17" s="62" t="str">
        <f aca="false">IF($B17="","",IF(COUNTIFS(Attendance!$B$5:$B$304,$B17,Attendance!$A$5:$A$304,W$9,Attendance!$F$5:$F$304,"P")&gt;0,"P",IF(COUNTIFS(Attendance!$B$5:$B$304,$B17,Attendance!$A$5:$A$304,W$9,Attendance!$F$5:$F$304,"A")&gt;0,"A",IF(COUNTIFS(Attendance!$B$5:$B$304,$B17,Attendance!$A$5:$A$304,W$9,Attendance!$F$5:$F$304,"L")&gt;0,"L",""))))</f>
        <v/>
      </c>
      <c r="X17" s="62" t="str">
        <f aca="false">IF($B17="","",IF(COUNTIFS(Attendance!$B$5:$B$304,$B17,Attendance!$A$5:$A$304,X$9,Attendance!$F$5:$F$304,"P")&gt;0,"P",IF(COUNTIFS(Attendance!$B$5:$B$304,$B17,Attendance!$A$5:$A$304,X$9,Attendance!$F$5:$F$304,"A")&gt;0,"A",IF(COUNTIFS(Attendance!$B$5:$B$304,$B17,Attendance!$A$5:$A$304,X$9,Attendance!$F$5:$F$304,"L")&gt;0,"L",""))))</f>
        <v/>
      </c>
      <c r="Y17" s="59" t="str">
        <f aca="false">IF($B17="","",COUNTIFS(Attendance!$B$5:$B$304,$B17,Attendance!$F$5:$F$304,"P",Attendance!$A$5:$A$304,"&gt;="&amp;$AF$4,Attendance!$A$5:$A$304,"&lt;="&amp;$AF$5))</f>
        <v/>
      </c>
      <c r="Z17" s="59" t="str">
        <f aca="false">IF($B17="","",COUNTIFS(Attendance!$B$5:$B$304,$B17,Attendance!$F$5:$F$304,"A",Attendance!$A$5:$A$304,"&gt;="&amp;$AF$4,Attendance!$A$5:$A$304,"&lt;="&amp;$AF$5))</f>
        <v/>
      </c>
      <c r="AA17" s="59" t="str">
        <f aca="false">IF($B17="","",COUNTIFS(Attendance!$B$5:$B$304,$B17,Attendance!$F$5:$F$304,"L",Attendance!$A$5:$A$304,"&gt;="&amp;$AF$4,Attendance!$A$5:$A$304,"&lt;="&amp;$AF$5))</f>
        <v/>
      </c>
      <c r="AB17" s="59" t="str">
        <f aca="false">IF($B17="","",SUM(Y17:AA17))</f>
        <v/>
      </c>
      <c r="AC17" s="63" t="str">
        <f aca="false">IF($B17="","",IF(AB17=0,"-",(Y17+AA17)/AB17))</f>
        <v/>
      </c>
    </row>
    <row r="18" customFormat="false" ht="19.5" hidden="false" customHeight="true" outlineLevel="0" collapsed="false">
      <c r="A18" s="59" t="str">
        <f aca="false">IF($B18="","",9)</f>
        <v/>
      </c>
      <c r="B18" s="59" t="str">
        <f aca="false">IFERROR(INDEX(Students!$A$5:$A$304,MATCH($C$4&amp;"|"&amp;$C$5&amp;"|"&amp;9,Students!$O$5:$O$304,0)),"")</f>
        <v/>
      </c>
      <c r="C18" s="60" t="str">
        <f aca="false">IF($B18="","",INDEX(Students!$B$5:$B$304,MATCH($B18,Students!$A$5:$A$304,0)))</f>
        <v/>
      </c>
      <c r="D18" s="61"/>
      <c r="E18" s="62" t="str">
        <f aca="false">IF($B18="","",IF(COUNTIFS(Attendance!$B$5:$B$304,$B18,Attendance!$A$5:$A$304,E$9,Attendance!$F$5:$F$304,"P")&gt;0,"P",IF(COUNTIFS(Attendance!$B$5:$B$304,$B18,Attendance!$A$5:$A$304,E$9,Attendance!$F$5:$F$304,"A")&gt;0,"A",IF(COUNTIFS(Attendance!$B$5:$B$304,$B18,Attendance!$A$5:$A$304,E$9,Attendance!$F$5:$F$304,"L")&gt;0,"L",""))))</f>
        <v/>
      </c>
      <c r="F18" s="62" t="str">
        <f aca="false">IF($B18="","",IF(COUNTIFS(Attendance!$B$5:$B$304,$B18,Attendance!$A$5:$A$304,F$9,Attendance!$F$5:$F$304,"P")&gt;0,"P",IF(COUNTIFS(Attendance!$B$5:$B$304,$B18,Attendance!$A$5:$A$304,F$9,Attendance!$F$5:$F$304,"A")&gt;0,"A",IF(COUNTIFS(Attendance!$B$5:$B$304,$B18,Attendance!$A$5:$A$304,F$9,Attendance!$F$5:$F$304,"L")&gt;0,"L",""))))</f>
        <v/>
      </c>
      <c r="G18" s="62" t="str">
        <f aca="false">IF($B18="","",IF(COUNTIFS(Attendance!$B$5:$B$304,$B18,Attendance!$A$5:$A$304,G$9,Attendance!$F$5:$F$304,"P")&gt;0,"P",IF(COUNTIFS(Attendance!$B$5:$B$304,$B18,Attendance!$A$5:$A$304,G$9,Attendance!$F$5:$F$304,"A")&gt;0,"A",IF(COUNTIFS(Attendance!$B$5:$B$304,$B18,Attendance!$A$5:$A$304,G$9,Attendance!$F$5:$F$304,"L")&gt;0,"L",""))))</f>
        <v/>
      </c>
      <c r="H18" s="62" t="str">
        <f aca="false">IF($B18="","",IF(COUNTIFS(Attendance!$B$5:$B$304,$B18,Attendance!$A$5:$A$304,H$9,Attendance!$F$5:$F$304,"P")&gt;0,"P",IF(COUNTIFS(Attendance!$B$5:$B$304,$B18,Attendance!$A$5:$A$304,H$9,Attendance!$F$5:$F$304,"A")&gt;0,"A",IF(COUNTIFS(Attendance!$B$5:$B$304,$B18,Attendance!$A$5:$A$304,H$9,Attendance!$F$5:$F$304,"L")&gt;0,"L",""))))</f>
        <v/>
      </c>
      <c r="I18" s="62" t="str">
        <f aca="false">IF($B18="","",IF(COUNTIFS(Attendance!$B$5:$B$304,$B18,Attendance!$A$5:$A$304,I$9,Attendance!$F$5:$F$304,"P")&gt;0,"P",IF(COUNTIFS(Attendance!$B$5:$B$304,$B18,Attendance!$A$5:$A$304,I$9,Attendance!$F$5:$F$304,"A")&gt;0,"A",IF(COUNTIFS(Attendance!$B$5:$B$304,$B18,Attendance!$A$5:$A$304,I$9,Attendance!$F$5:$F$304,"L")&gt;0,"L",""))))</f>
        <v/>
      </c>
      <c r="J18" s="62" t="str">
        <f aca="false">IF($B18="","",IF(COUNTIFS(Attendance!$B$5:$B$304,$B18,Attendance!$A$5:$A$304,J$9,Attendance!$F$5:$F$304,"P")&gt;0,"P",IF(COUNTIFS(Attendance!$B$5:$B$304,$B18,Attendance!$A$5:$A$304,J$9,Attendance!$F$5:$F$304,"A")&gt;0,"A",IF(COUNTIFS(Attendance!$B$5:$B$304,$B18,Attendance!$A$5:$A$304,J$9,Attendance!$F$5:$F$304,"L")&gt;0,"L",""))))</f>
        <v/>
      </c>
      <c r="K18" s="62" t="str">
        <f aca="false">IF($B18="","",IF(COUNTIFS(Attendance!$B$5:$B$304,$B18,Attendance!$A$5:$A$304,K$9,Attendance!$F$5:$F$304,"P")&gt;0,"P",IF(COUNTIFS(Attendance!$B$5:$B$304,$B18,Attendance!$A$5:$A$304,K$9,Attendance!$F$5:$F$304,"A")&gt;0,"A",IF(COUNTIFS(Attendance!$B$5:$B$304,$B18,Attendance!$A$5:$A$304,K$9,Attendance!$F$5:$F$304,"L")&gt;0,"L",""))))</f>
        <v/>
      </c>
      <c r="L18" s="62" t="str">
        <f aca="false">IF($B18="","",IF(COUNTIFS(Attendance!$B$5:$B$304,$B18,Attendance!$A$5:$A$304,L$9,Attendance!$F$5:$F$304,"P")&gt;0,"P",IF(COUNTIFS(Attendance!$B$5:$B$304,$B18,Attendance!$A$5:$A$304,L$9,Attendance!$F$5:$F$304,"A")&gt;0,"A",IF(COUNTIFS(Attendance!$B$5:$B$304,$B18,Attendance!$A$5:$A$304,L$9,Attendance!$F$5:$F$304,"L")&gt;0,"L",""))))</f>
        <v/>
      </c>
      <c r="M18" s="62" t="str">
        <f aca="false">IF($B18="","",IF(COUNTIFS(Attendance!$B$5:$B$304,$B18,Attendance!$A$5:$A$304,M$9,Attendance!$F$5:$F$304,"P")&gt;0,"P",IF(COUNTIFS(Attendance!$B$5:$B$304,$B18,Attendance!$A$5:$A$304,M$9,Attendance!$F$5:$F$304,"A")&gt;0,"A",IF(COUNTIFS(Attendance!$B$5:$B$304,$B18,Attendance!$A$5:$A$304,M$9,Attendance!$F$5:$F$304,"L")&gt;0,"L",""))))</f>
        <v/>
      </c>
      <c r="N18" s="62" t="str">
        <f aca="false">IF($B18="","",IF(COUNTIFS(Attendance!$B$5:$B$304,$B18,Attendance!$A$5:$A$304,N$9,Attendance!$F$5:$F$304,"P")&gt;0,"P",IF(COUNTIFS(Attendance!$B$5:$B$304,$B18,Attendance!$A$5:$A$304,N$9,Attendance!$F$5:$F$304,"A")&gt;0,"A",IF(COUNTIFS(Attendance!$B$5:$B$304,$B18,Attendance!$A$5:$A$304,N$9,Attendance!$F$5:$F$304,"L")&gt;0,"L",""))))</f>
        <v/>
      </c>
      <c r="O18" s="62" t="str">
        <f aca="false">IF($B18="","",IF(COUNTIFS(Attendance!$B$5:$B$304,$B18,Attendance!$A$5:$A$304,O$9,Attendance!$F$5:$F$304,"P")&gt;0,"P",IF(COUNTIFS(Attendance!$B$5:$B$304,$B18,Attendance!$A$5:$A$304,O$9,Attendance!$F$5:$F$304,"A")&gt;0,"A",IF(COUNTIFS(Attendance!$B$5:$B$304,$B18,Attendance!$A$5:$A$304,O$9,Attendance!$F$5:$F$304,"L")&gt;0,"L",""))))</f>
        <v/>
      </c>
      <c r="P18" s="62" t="str">
        <f aca="false">IF($B18="","",IF(COUNTIFS(Attendance!$B$5:$B$304,$B18,Attendance!$A$5:$A$304,P$9,Attendance!$F$5:$F$304,"P")&gt;0,"P",IF(COUNTIFS(Attendance!$B$5:$B$304,$B18,Attendance!$A$5:$A$304,P$9,Attendance!$F$5:$F$304,"A")&gt;0,"A",IF(COUNTIFS(Attendance!$B$5:$B$304,$B18,Attendance!$A$5:$A$304,P$9,Attendance!$F$5:$F$304,"L")&gt;0,"L",""))))</f>
        <v/>
      </c>
      <c r="Q18" s="62" t="str">
        <f aca="false">IF($B18="","",IF(COUNTIFS(Attendance!$B$5:$B$304,$B18,Attendance!$A$5:$A$304,Q$9,Attendance!$F$5:$F$304,"P")&gt;0,"P",IF(COUNTIFS(Attendance!$B$5:$B$304,$B18,Attendance!$A$5:$A$304,Q$9,Attendance!$F$5:$F$304,"A")&gt;0,"A",IF(COUNTIFS(Attendance!$B$5:$B$304,$B18,Attendance!$A$5:$A$304,Q$9,Attendance!$F$5:$F$304,"L")&gt;0,"L",""))))</f>
        <v/>
      </c>
      <c r="R18" s="62" t="str">
        <f aca="false">IF($B18="","",IF(COUNTIFS(Attendance!$B$5:$B$304,$B18,Attendance!$A$5:$A$304,R$9,Attendance!$F$5:$F$304,"P")&gt;0,"P",IF(COUNTIFS(Attendance!$B$5:$B$304,$B18,Attendance!$A$5:$A$304,R$9,Attendance!$F$5:$F$304,"A")&gt;0,"A",IF(COUNTIFS(Attendance!$B$5:$B$304,$B18,Attendance!$A$5:$A$304,R$9,Attendance!$F$5:$F$304,"L")&gt;0,"L",""))))</f>
        <v/>
      </c>
      <c r="S18" s="62" t="str">
        <f aca="false">IF($B18="","",IF(COUNTIFS(Attendance!$B$5:$B$304,$B18,Attendance!$A$5:$A$304,S$9,Attendance!$F$5:$F$304,"P")&gt;0,"P",IF(COUNTIFS(Attendance!$B$5:$B$304,$B18,Attendance!$A$5:$A$304,S$9,Attendance!$F$5:$F$304,"A")&gt;0,"A",IF(COUNTIFS(Attendance!$B$5:$B$304,$B18,Attendance!$A$5:$A$304,S$9,Attendance!$F$5:$F$304,"L")&gt;0,"L",""))))</f>
        <v/>
      </c>
      <c r="T18" s="62" t="str">
        <f aca="false">IF($B18="","",IF(COUNTIFS(Attendance!$B$5:$B$304,$B18,Attendance!$A$5:$A$304,T$9,Attendance!$F$5:$F$304,"P")&gt;0,"P",IF(COUNTIFS(Attendance!$B$5:$B$304,$B18,Attendance!$A$5:$A$304,T$9,Attendance!$F$5:$F$304,"A")&gt;0,"A",IF(COUNTIFS(Attendance!$B$5:$B$304,$B18,Attendance!$A$5:$A$304,T$9,Attendance!$F$5:$F$304,"L")&gt;0,"L",""))))</f>
        <v/>
      </c>
      <c r="U18" s="62" t="str">
        <f aca="false">IF($B18="","",IF(COUNTIFS(Attendance!$B$5:$B$304,$B18,Attendance!$A$5:$A$304,U$9,Attendance!$F$5:$F$304,"P")&gt;0,"P",IF(COUNTIFS(Attendance!$B$5:$B$304,$B18,Attendance!$A$5:$A$304,U$9,Attendance!$F$5:$F$304,"A")&gt;0,"A",IF(COUNTIFS(Attendance!$B$5:$B$304,$B18,Attendance!$A$5:$A$304,U$9,Attendance!$F$5:$F$304,"L")&gt;0,"L",""))))</f>
        <v/>
      </c>
      <c r="V18" s="62" t="str">
        <f aca="false">IF($B18="","",IF(COUNTIFS(Attendance!$B$5:$B$304,$B18,Attendance!$A$5:$A$304,V$9,Attendance!$F$5:$F$304,"P")&gt;0,"P",IF(COUNTIFS(Attendance!$B$5:$B$304,$B18,Attendance!$A$5:$A$304,V$9,Attendance!$F$5:$F$304,"A")&gt;0,"A",IF(COUNTIFS(Attendance!$B$5:$B$304,$B18,Attendance!$A$5:$A$304,V$9,Attendance!$F$5:$F$304,"L")&gt;0,"L",""))))</f>
        <v/>
      </c>
      <c r="W18" s="62" t="str">
        <f aca="false">IF($B18="","",IF(COUNTIFS(Attendance!$B$5:$B$304,$B18,Attendance!$A$5:$A$304,W$9,Attendance!$F$5:$F$304,"P")&gt;0,"P",IF(COUNTIFS(Attendance!$B$5:$B$304,$B18,Attendance!$A$5:$A$304,W$9,Attendance!$F$5:$F$304,"A")&gt;0,"A",IF(COUNTIFS(Attendance!$B$5:$B$304,$B18,Attendance!$A$5:$A$304,W$9,Attendance!$F$5:$F$304,"L")&gt;0,"L",""))))</f>
        <v/>
      </c>
      <c r="X18" s="62" t="str">
        <f aca="false">IF($B18="","",IF(COUNTIFS(Attendance!$B$5:$B$304,$B18,Attendance!$A$5:$A$304,X$9,Attendance!$F$5:$F$304,"P")&gt;0,"P",IF(COUNTIFS(Attendance!$B$5:$B$304,$B18,Attendance!$A$5:$A$304,X$9,Attendance!$F$5:$F$304,"A")&gt;0,"A",IF(COUNTIFS(Attendance!$B$5:$B$304,$B18,Attendance!$A$5:$A$304,X$9,Attendance!$F$5:$F$304,"L")&gt;0,"L",""))))</f>
        <v/>
      </c>
      <c r="Y18" s="59" t="str">
        <f aca="false">IF($B18="","",COUNTIFS(Attendance!$B$5:$B$304,$B18,Attendance!$F$5:$F$304,"P",Attendance!$A$5:$A$304,"&gt;="&amp;$AF$4,Attendance!$A$5:$A$304,"&lt;="&amp;$AF$5))</f>
        <v/>
      </c>
      <c r="Z18" s="59" t="str">
        <f aca="false">IF($B18="","",COUNTIFS(Attendance!$B$5:$B$304,$B18,Attendance!$F$5:$F$304,"A",Attendance!$A$5:$A$304,"&gt;="&amp;$AF$4,Attendance!$A$5:$A$304,"&lt;="&amp;$AF$5))</f>
        <v/>
      </c>
      <c r="AA18" s="59" t="str">
        <f aca="false">IF($B18="","",COUNTIFS(Attendance!$B$5:$B$304,$B18,Attendance!$F$5:$F$304,"L",Attendance!$A$5:$A$304,"&gt;="&amp;$AF$4,Attendance!$A$5:$A$304,"&lt;="&amp;$AF$5))</f>
        <v/>
      </c>
      <c r="AB18" s="59" t="str">
        <f aca="false">IF($B18="","",SUM(Y18:AA18))</f>
        <v/>
      </c>
      <c r="AC18" s="63" t="str">
        <f aca="false">IF($B18="","",IF(AB18=0,"-",(Y18+AA18)/AB18))</f>
        <v/>
      </c>
    </row>
    <row r="19" customFormat="false" ht="19.5" hidden="false" customHeight="true" outlineLevel="0" collapsed="false">
      <c r="A19" s="59" t="str">
        <f aca="false">IF($B19="","",10)</f>
        <v/>
      </c>
      <c r="B19" s="59" t="str">
        <f aca="false">IFERROR(INDEX(Students!$A$5:$A$304,MATCH($C$4&amp;"|"&amp;$C$5&amp;"|"&amp;10,Students!$O$5:$O$304,0)),"")</f>
        <v/>
      </c>
      <c r="C19" s="60" t="str">
        <f aca="false">IF($B19="","",INDEX(Students!$B$5:$B$304,MATCH($B19,Students!$A$5:$A$304,0)))</f>
        <v/>
      </c>
      <c r="D19" s="61"/>
      <c r="E19" s="62" t="str">
        <f aca="false">IF($B19="","",IF(COUNTIFS(Attendance!$B$5:$B$304,$B19,Attendance!$A$5:$A$304,E$9,Attendance!$F$5:$F$304,"P")&gt;0,"P",IF(COUNTIFS(Attendance!$B$5:$B$304,$B19,Attendance!$A$5:$A$304,E$9,Attendance!$F$5:$F$304,"A")&gt;0,"A",IF(COUNTIFS(Attendance!$B$5:$B$304,$B19,Attendance!$A$5:$A$304,E$9,Attendance!$F$5:$F$304,"L")&gt;0,"L",""))))</f>
        <v/>
      </c>
      <c r="F19" s="62" t="str">
        <f aca="false">IF($B19="","",IF(COUNTIFS(Attendance!$B$5:$B$304,$B19,Attendance!$A$5:$A$304,F$9,Attendance!$F$5:$F$304,"P")&gt;0,"P",IF(COUNTIFS(Attendance!$B$5:$B$304,$B19,Attendance!$A$5:$A$304,F$9,Attendance!$F$5:$F$304,"A")&gt;0,"A",IF(COUNTIFS(Attendance!$B$5:$B$304,$B19,Attendance!$A$5:$A$304,F$9,Attendance!$F$5:$F$304,"L")&gt;0,"L",""))))</f>
        <v/>
      </c>
      <c r="G19" s="62" t="str">
        <f aca="false">IF($B19="","",IF(COUNTIFS(Attendance!$B$5:$B$304,$B19,Attendance!$A$5:$A$304,G$9,Attendance!$F$5:$F$304,"P")&gt;0,"P",IF(COUNTIFS(Attendance!$B$5:$B$304,$B19,Attendance!$A$5:$A$304,G$9,Attendance!$F$5:$F$304,"A")&gt;0,"A",IF(COUNTIFS(Attendance!$B$5:$B$304,$B19,Attendance!$A$5:$A$304,G$9,Attendance!$F$5:$F$304,"L")&gt;0,"L",""))))</f>
        <v/>
      </c>
      <c r="H19" s="62" t="str">
        <f aca="false">IF($B19="","",IF(COUNTIFS(Attendance!$B$5:$B$304,$B19,Attendance!$A$5:$A$304,H$9,Attendance!$F$5:$F$304,"P")&gt;0,"P",IF(COUNTIFS(Attendance!$B$5:$B$304,$B19,Attendance!$A$5:$A$304,H$9,Attendance!$F$5:$F$304,"A")&gt;0,"A",IF(COUNTIFS(Attendance!$B$5:$B$304,$B19,Attendance!$A$5:$A$304,H$9,Attendance!$F$5:$F$304,"L")&gt;0,"L",""))))</f>
        <v/>
      </c>
      <c r="I19" s="62" t="str">
        <f aca="false">IF($B19="","",IF(COUNTIFS(Attendance!$B$5:$B$304,$B19,Attendance!$A$5:$A$304,I$9,Attendance!$F$5:$F$304,"P")&gt;0,"P",IF(COUNTIFS(Attendance!$B$5:$B$304,$B19,Attendance!$A$5:$A$304,I$9,Attendance!$F$5:$F$304,"A")&gt;0,"A",IF(COUNTIFS(Attendance!$B$5:$B$304,$B19,Attendance!$A$5:$A$304,I$9,Attendance!$F$5:$F$304,"L")&gt;0,"L",""))))</f>
        <v/>
      </c>
      <c r="J19" s="62" t="str">
        <f aca="false">IF($B19="","",IF(COUNTIFS(Attendance!$B$5:$B$304,$B19,Attendance!$A$5:$A$304,J$9,Attendance!$F$5:$F$304,"P")&gt;0,"P",IF(COUNTIFS(Attendance!$B$5:$B$304,$B19,Attendance!$A$5:$A$304,J$9,Attendance!$F$5:$F$304,"A")&gt;0,"A",IF(COUNTIFS(Attendance!$B$5:$B$304,$B19,Attendance!$A$5:$A$304,J$9,Attendance!$F$5:$F$304,"L")&gt;0,"L",""))))</f>
        <v/>
      </c>
      <c r="K19" s="62" t="str">
        <f aca="false">IF($B19="","",IF(COUNTIFS(Attendance!$B$5:$B$304,$B19,Attendance!$A$5:$A$304,K$9,Attendance!$F$5:$F$304,"P")&gt;0,"P",IF(COUNTIFS(Attendance!$B$5:$B$304,$B19,Attendance!$A$5:$A$304,K$9,Attendance!$F$5:$F$304,"A")&gt;0,"A",IF(COUNTIFS(Attendance!$B$5:$B$304,$B19,Attendance!$A$5:$A$304,K$9,Attendance!$F$5:$F$304,"L")&gt;0,"L",""))))</f>
        <v/>
      </c>
      <c r="L19" s="62" t="str">
        <f aca="false">IF($B19="","",IF(COUNTIFS(Attendance!$B$5:$B$304,$B19,Attendance!$A$5:$A$304,L$9,Attendance!$F$5:$F$304,"P")&gt;0,"P",IF(COUNTIFS(Attendance!$B$5:$B$304,$B19,Attendance!$A$5:$A$304,L$9,Attendance!$F$5:$F$304,"A")&gt;0,"A",IF(COUNTIFS(Attendance!$B$5:$B$304,$B19,Attendance!$A$5:$A$304,L$9,Attendance!$F$5:$F$304,"L")&gt;0,"L",""))))</f>
        <v/>
      </c>
      <c r="M19" s="62" t="str">
        <f aca="false">IF($B19="","",IF(COUNTIFS(Attendance!$B$5:$B$304,$B19,Attendance!$A$5:$A$304,M$9,Attendance!$F$5:$F$304,"P")&gt;0,"P",IF(COUNTIFS(Attendance!$B$5:$B$304,$B19,Attendance!$A$5:$A$304,M$9,Attendance!$F$5:$F$304,"A")&gt;0,"A",IF(COUNTIFS(Attendance!$B$5:$B$304,$B19,Attendance!$A$5:$A$304,M$9,Attendance!$F$5:$F$304,"L")&gt;0,"L",""))))</f>
        <v/>
      </c>
      <c r="N19" s="62" t="str">
        <f aca="false">IF($B19="","",IF(COUNTIFS(Attendance!$B$5:$B$304,$B19,Attendance!$A$5:$A$304,N$9,Attendance!$F$5:$F$304,"P")&gt;0,"P",IF(COUNTIFS(Attendance!$B$5:$B$304,$B19,Attendance!$A$5:$A$304,N$9,Attendance!$F$5:$F$304,"A")&gt;0,"A",IF(COUNTIFS(Attendance!$B$5:$B$304,$B19,Attendance!$A$5:$A$304,N$9,Attendance!$F$5:$F$304,"L")&gt;0,"L",""))))</f>
        <v/>
      </c>
      <c r="O19" s="62" t="str">
        <f aca="false">IF($B19="","",IF(COUNTIFS(Attendance!$B$5:$B$304,$B19,Attendance!$A$5:$A$304,O$9,Attendance!$F$5:$F$304,"P")&gt;0,"P",IF(COUNTIFS(Attendance!$B$5:$B$304,$B19,Attendance!$A$5:$A$304,O$9,Attendance!$F$5:$F$304,"A")&gt;0,"A",IF(COUNTIFS(Attendance!$B$5:$B$304,$B19,Attendance!$A$5:$A$304,O$9,Attendance!$F$5:$F$304,"L")&gt;0,"L",""))))</f>
        <v/>
      </c>
      <c r="P19" s="62" t="str">
        <f aca="false">IF($B19="","",IF(COUNTIFS(Attendance!$B$5:$B$304,$B19,Attendance!$A$5:$A$304,P$9,Attendance!$F$5:$F$304,"P")&gt;0,"P",IF(COUNTIFS(Attendance!$B$5:$B$304,$B19,Attendance!$A$5:$A$304,P$9,Attendance!$F$5:$F$304,"A")&gt;0,"A",IF(COUNTIFS(Attendance!$B$5:$B$304,$B19,Attendance!$A$5:$A$304,P$9,Attendance!$F$5:$F$304,"L")&gt;0,"L",""))))</f>
        <v/>
      </c>
      <c r="Q19" s="62" t="str">
        <f aca="false">IF($B19="","",IF(COUNTIFS(Attendance!$B$5:$B$304,$B19,Attendance!$A$5:$A$304,Q$9,Attendance!$F$5:$F$304,"P")&gt;0,"P",IF(COUNTIFS(Attendance!$B$5:$B$304,$B19,Attendance!$A$5:$A$304,Q$9,Attendance!$F$5:$F$304,"A")&gt;0,"A",IF(COUNTIFS(Attendance!$B$5:$B$304,$B19,Attendance!$A$5:$A$304,Q$9,Attendance!$F$5:$F$304,"L")&gt;0,"L",""))))</f>
        <v/>
      </c>
      <c r="R19" s="62" t="str">
        <f aca="false">IF($B19="","",IF(COUNTIFS(Attendance!$B$5:$B$304,$B19,Attendance!$A$5:$A$304,R$9,Attendance!$F$5:$F$304,"P")&gt;0,"P",IF(COUNTIFS(Attendance!$B$5:$B$304,$B19,Attendance!$A$5:$A$304,R$9,Attendance!$F$5:$F$304,"A")&gt;0,"A",IF(COUNTIFS(Attendance!$B$5:$B$304,$B19,Attendance!$A$5:$A$304,R$9,Attendance!$F$5:$F$304,"L")&gt;0,"L",""))))</f>
        <v/>
      </c>
      <c r="S19" s="62" t="str">
        <f aca="false">IF($B19="","",IF(COUNTIFS(Attendance!$B$5:$B$304,$B19,Attendance!$A$5:$A$304,S$9,Attendance!$F$5:$F$304,"P")&gt;0,"P",IF(COUNTIFS(Attendance!$B$5:$B$304,$B19,Attendance!$A$5:$A$304,S$9,Attendance!$F$5:$F$304,"A")&gt;0,"A",IF(COUNTIFS(Attendance!$B$5:$B$304,$B19,Attendance!$A$5:$A$304,S$9,Attendance!$F$5:$F$304,"L")&gt;0,"L",""))))</f>
        <v/>
      </c>
      <c r="T19" s="62" t="str">
        <f aca="false">IF($B19="","",IF(COUNTIFS(Attendance!$B$5:$B$304,$B19,Attendance!$A$5:$A$304,T$9,Attendance!$F$5:$F$304,"P")&gt;0,"P",IF(COUNTIFS(Attendance!$B$5:$B$304,$B19,Attendance!$A$5:$A$304,T$9,Attendance!$F$5:$F$304,"A")&gt;0,"A",IF(COUNTIFS(Attendance!$B$5:$B$304,$B19,Attendance!$A$5:$A$304,T$9,Attendance!$F$5:$F$304,"L")&gt;0,"L",""))))</f>
        <v/>
      </c>
      <c r="U19" s="62" t="str">
        <f aca="false">IF($B19="","",IF(COUNTIFS(Attendance!$B$5:$B$304,$B19,Attendance!$A$5:$A$304,U$9,Attendance!$F$5:$F$304,"P")&gt;0,"P",IF(COUNTIFS(Attendance!$B$5:$B$304,$B19,Attendance!$A$5:$A$304,U$9,Attendance!$F$5:$F$304,"A")&gt;0,"A",IF(COUNTIFS(Attendance!$B$5:$B$304,$B19,Attendance!$A$5:$A$304,U$9,Attendance!$F$5:$F$304,"L")&gt;0,"L",""))))</f>
        <v/>
      </c>
      <c r="V19" s="62" t="str">
        <f aca="false">IF($B19="","",IF(COUNTIFS(Attendance!$B$5:$B$304,$B19,Attendance!$A$5:$A$304,V$9,Attendance!$F$5:$F$304,"P")&gt;0,"P",IF(COUNTIFS(Attendance!$B$5:$B$304,$B19,Attendance!$A$5:$A$304,V$9,Attendance!$F$5:$F$304,"A")&gt;0,"A",IF(COUNTIFS(Attendance!$B$5:$B$304,$B19,Attendance!$A$5:$A$304,V$9,Attendance!$F$5:$F$304,"L")&gt;0,"L",""))))</f>
        <v/>
      </c>
      <c r="W19" s="62" t="str">
        <f aca="false">IF($B19="","",IF(COUNTIFS(Attendance!$B$5:$B$304,$B19,Attendance!$A$5:$A$304,W$9,Attendance!$F$5:$F$304,"P")&gt;0,"P",IF(COUNTIFS(Attendance!$B$5:$B$304,$B19,Attendance!$A$5:$A$304,W$9,Attendance!$F$5:$F$304,"A")&gt;0,"A",IF(COUNTIFS(Attendance!$B$5:$B$304,$B19,Attendance!$A$5:$A$304,W$9,Attendance!$F$5:$F$304,"L")&gt;0,"L",""))))</f>
        <v/>
      </c>
      <c r="X19" s="62" t="str">
        <f aca="false">IF($B19="","",IF(COUNTIFS(Attendance!$B$5:$B$304,$B19,Attendance!$A$5:$A$304,X$9,Attendance!$F$5:$F$304,"P")&gt;0,"P",IF(COUNTIFS(Attendance!$B$5:$B$304,$B19,Attendance!$A$5:$A$304,X$9,Attendance!$F$5:$F$304,"A")&gt;0,"A",IF(COUNTIFS(Attendance!$B$5:$B$304,$B19,Attendance!$A$5:$A$304,X$9,Attendance!$F$5:$F$304,"L")&gt;0,"L",""))))</f>
        <v/>
      </c>
      <c r="Y19" s="59" t="str">
        <f aca="false">IF($B19="","",COUNTIFS(Attendance!$B$5:$B$304,$B19,Attendance!$F$5:$F$304,"P",Attendance!$A$5:$A$304,"&gt;="&amp;$AF$4,Attendance!$A$5:$A$304,"&lt;="&amp;$AF$5))</f>
        <v/>
      </c>
      <c r="Z19" s="59" t="str">
        <f aca="false">IF($B19="","",COUNTIFS(Attendance!$B$5:$B$304,$B19,Attendance!$F$5:$F$304,"A",Attendance!$A$5:$A$304,"&gt;="&amp;$AF$4,Attendance!$A$5:$A$304,"&lt;="&amp;$AF$5))</f>
        <v/>
      </c>
      <c r="AA19" s="59" t="str">
        <f aca="false">IF($B19="","",COUNTIFS(Attendance!$B$5:$B$304,$B19,Attendance!$F$5:$F$304,"L",Attendance!$A$5:$A$304,"&gt;="&amp;$AF$4,Attendance!$A$5:$A$304,"&lt;="&amp;$AF$5))</f>
        <v/>
      </c>
      <c r="AB19" s="59" t="str">
        <f aca="false">IF($B19="","",SUM(Y19:AA19))</f>
        <v/>
      </c>
      <c r="AC19" s="63" t="str">
        <f aca="false">IF($B19="","",IF(AB19=0,"-",(Y19+AA19)/AB19))</f>
        <v/>
      </c>
    </row>
    <row r="20" customFormat="false" ht="19.5" hidden="false" customHeight="true" outlineLevel="0" collapsed="false">
      <c r="A20" s="59" t="str">
        <f aca="false">IF($B20="","",11)</f>
        <v/>
      </c>
      <c r="B20" s="59" t="str">
        <f aca="false">IFERROR(INDEX(Students!$A$5:$A$304,MATCH($C$4&amp;"|"&amp;$C$5&amp;"|"&amp;11,Students!$O$5:$O$304,0)),"")</f>
        <v/>
      </c>
      <c r="C20" s="60" t="str">
        <f aca="false">IF($B20="","",INDEX(Students!$B$5:$B$304,MATCH($B20,Students!$A$5:$A$304,0)))</f>
        <v/>
      </c>
      <c r="D20" s="61"/>
      <c r="E20" s="62" t="str">
        <f aca="false">IF($B20="","",IF(COUNTIFS(Attendance!$B$5:$B$304,$B20,Attendance!$A$5:$A$304,E$9,Attendance!$F$5:$F$304,"P")&gt;0,"P",IF(COUNTIFS(Attendance!$B$5:$B$304,$B20,Attendance!$A$5:$A$304,E$9,Attendance!$F$5:$F$304,"A")&gt;0,"A",IF(COUNTIFS(Attendance!$B$5:$B$304,$B20,Attendance!$A$5:$A$304,E$9,Attendance!$F$5:$F$304,"L")&gt;0,"L",""))))</f>
        <v/>
      </c>
      <c r="F20" s="62" t="str">
        <f aca="false">IF($B20="","",IF(COUNTIFS(Attendance!$B$5:$B$304,$B20,Attendance!$A$5:$A$304,F$9,Attendance!$F$5:$F$304,"P")&gt;0,"P",IF(COUNTIFS(Attendance!$B$5:$B$304,$B20,Attendance!$A$5:$A$304,F$9,Attendance!$F$5:$F$304,"A")&gt;0,"A",IF(COUNTIFS(Attendance!$B$5:$B$304,$B20,Attendance!$A$5:$A$304,F$9,Attendance!$F$5:$F$304,"L")&gt;0,"L",""))))</f>
        <v/>
      </c>
      <c r="G20" s="62" t="str">
        <f aca="false">IF($B20="","",IF(COUNTIFS(Attendance!$B$5:$B$304,$B20,Attendance!$A$5:$A$304,G$9,Attendance!$F$5:$F$304,"P")&gt;0,"P",IF(COUNTIFS(Attendance!$B$5:$B$304,$B20,Attendance!$A$5:$A$304,G$9,Attendance!$F$5:$F$304,"A")&gt;0,"A",IF(COUNTIFS(Attendance!$B$5:$B$304,$B20,Attendance!$A$5:$A$304,G$9,Attendance!$F$5:$F$304,"L")&gt;0,"L",""))))</f>
        <v/>
      </c>
      <c r="H20" s="62" t="str">
        <f aca="false">IF($B20="","",IF(COUNTIFS(Attendance!$B$5:$B$304,$B20,Attendance!$A$5:$A$304,H$9,Attendance!$F$5:$F$304,"P")&gt;0,"P",IF(COUNTIFS(Attendance!$B$5:$B$304,$B20,Attendance!$A$5:$A$304,H$9,Attendance!$F$5:$F$304,"A")&gt;0,"A",IF(COUNTIFS(Attendance!$B$5:$B$304,$B20,Attendance!$A$5:$A$304,H$9,Attendance!$F$5:$F$304,"L")&gt;0,"L",""))))</f>
        <v/>
      </c>
      <c r="I20" s="62" t="str">
        <f aca="false">IF($B20="","",IF(COUNTIFS(Attendance!$B$5:$B$304,$B20,Attendance!$A$5:$A$304,I$9,Attendance!$F$5:$F$304,"P")&gt;0,"P",IF(COUNTIFS(Attendance!$B$5:$B$304,$B20,Attendance!$A$5:$A$304,I$9,Attendance!$F$5:$F$304,"A")&gt;0,"A",IF(COUNTIFS(Attendance!$B$5:$B$304,$B20,Attendance!$A$5:$A$304,I$9,Attendance!$F$5:$F$304,"L")&gt;0,"L",""))))</f>
        <v/>
      </c>
      <c r="J20" s="62" t="str">
        <f aca="false">IF($B20="","",IF(COUNTIFS(Attendance!$B$5:$B$304,$B20,Attendance!$A$5:$A$304,J$9,Attendance!$F$5:$F$304,"P")&gt;0,"P",IF(COUNTIFS(Attendance!$B$5:$B$304,$B20,Attendance!$A$5:$A$304,J$9,Attendance!$F$5:$F$304,"A")&gt;0,"A",IF(COUNTIFS(Attendance!$B$5:$B$304,$B20,Attendance!$A$5:$A$304,J$9,Attendance!$F$5:$F$304,"L")&gt;0,"L",""))))</f>
        <v/>
      </c>
      <c r="K20" s="62" t="str">
        <f aca="false">IF($B20="","",IF(COUNTIFS(Attendance!$B$5:$B$304,$B20,Attendance!$A$5:$A$304,K$9,Attendance!$F$5:$F$304,"P")&gt;0,"P",IF(COUNTIFS(Attendance!$B$5:$B$304,$B20,Attendance!$A$5:$A$304,K$9,Attendance!$F$5:$F$304,"A")&gt;0,"A",IF(COUNTIFS(Attendance!$B$5:$B$304,$B20,Attendance!$A$5:$A$304,K$9,Attendance!$F$5:$F$304,"L")&gt;0,"L",""))))</f>
        <v/>
      </c>
      <c r="L20" s="62" t="str">
        <f aca="false">IF($B20="","",IF(COUNTIFS(Attendance!$B$5:$B$304,$B20,Attendance!$A$5:$A$304,L$9,Attendance!$F$5:$F$304,"P")&gt;0,"P",IF(COUNTIFS(Attendance!$B$5:$B$304,$B20,Attendance!$A$5:$A$304,L$9,Attendance!$F$5:$F$304,"A")&gt;0,"A",IF(COUNTIFS(Attendance!$B$5:$B$304,$B20,Attendance!$A$5:$A$304,L$9,Attendance!$F$5:$F$304,"L")&gt;0,"L",""))))</f>
        <v/>
      </c>
      <c r="M20" s="62" t="str">
        <f aca="false">IF($B20="","",IF(COUNTIFS(Attendance!$B$5:$B$304,$B20,Attendance!$A$5:$A$304,M$9,Attendance!$F$5:$F$304,"P")&gt;0,"P",IF(COUNTIFS(Attendance!$B$5:$B$304,$B20,Attendance!$A$5:$A$304,M$9,Attendance!$F$5:$F$304,"A")&gt;0,"A",IF(COUNTIFS(Attendance!$B$5:$B$304,$B20,Attendance!$A$5:$A$304,M$9,Attendance!$F$5:$F$304,"L")&gt;0,"L",""))))</f>
        <v/>
      </c>
      <c r="N20" s="62" t="str">
        <f aca="false">IF($B20="","",IF(COUNTIFS(Attendance!$B$5:$B$304,$B20,Attendance!$A$5:$A$304,N$9,Attendance!$F$5:$F$304,"P")&gt;0,"P",IF(COUNTIFS(Attendance!$B$5:$B$304,$B20,Attendance!$A$5:$A$304,N$9,Attendance!$F$5:$F$304,"A")&gt;0,"A",IF(COUNTIFS(Attendance!$B$5:$B$304,$B20,Attendance!$A$5:$A$304,N$9,Attendance!$F$5:$F$304,"L")&gt;0,"L",""))))</f>
        <v/>
      </c>
      <c r="O20" s="62" t="str">
        <f aca="false">IF($B20="","",IF(COUNTIFS(Attendance!$B$5:$B$304,$B20,Attendance!$A$5:$A$304,O$9,Attendance!$F$5:$F$304,"P")&gt;0,"P",IF(COUNTIFS(Attendance!$B$5:$B$304,$B20,Attendance!$A$5:$A$304,O$9,Attendance!$F$5:$F$304,"A")&gt;0,"A",IF(COUNTIFS(Attendance!$B$5:$B$304,$B20,Attendance!$A$5:$A$304,O$9,Attendance!$F$5:$F$304,"L")&gt;0,"L",""))))</f>
        <v/>
      </c>
      <c r="P20" s="62" t="str">
        <f aca="false">IF($B20="","",IF(COUNTIFS(Attendance!$B$5:$B$304,$B20,Attendance!$A$5:$A$304,P$9,Attendance!$F$5:$F$304,"P")&gt;0,"P",IF(COUNTIFS(Attendance!$B$5:$B$304,$B20,Attendance!$A$5:$A$304,P$9,Attendance!$F$5:$F$304,"A")&gt;0,"A",IF(COUNTIFS(Attendance!$B$5:$B$304,$B20,Attendance!$A$5:$A$304,P$9,Attendance!$F$5:$F$304,"L")&gt;0,"L",""))))</f>
        <v/>
      </c>
      <c r="Q20" s="62" t="str">
        <f aca="false">IF($B20="","",IF(COUNTIFS(Attendance!$B$5:$B$304,$B20,Attendance!$A$5:$A$304,Q$9,Attendance!$F$5:$F$304,"P")&gt;0,"P",IF(COUNTIFS(Attendance!$B$5:$B$304,$B20,Attendance!$A$5:$A$304,Q$9,Attendance!$F$5:$F$304,"A")&gt;0,"A",IF(COUNTIFS(Attendance!$B$5:$B$304,$B20,Attendance!$A$5:$A$304,Q$9,Attendance!$F$5:$F$304,"L")&gt;0,"L",""))))</f>
        <v/>
      </c>
      <c r="R20" s="62" t="str">
        <f aca="false">IF($B20="","",IF(COUNTIFS(Attendance!$B$5:$B$304,$B20,Attendance!$A$5:$A$304,R$9,Attendance!$F$5:$F$304,"P")&gt;0,"P",IF(COUNTIFS(Attendance!$B$5:$B$304,$B20,Attendance!$A$5:$A$304,R$9,Attendance!$F$5:$F$304,"A")&gt;0,"A",IF(COUNTIFS(Attendance!$B$5:$B$304,$B20,Attendance!$A$5:$A$304,R$9,Attendance!$F$5:$F$304,"L")&gt;0,"L",""))))</f>
        <v/>
      </c>
      <c r="S20" s="62" t="str">
        <f aca="false">IF($B20="","",IF(COUNTIFS(Attendance!$B$5:$B$304,$B20,Attendance!$A$5:$A$304,S$9,Attendance!$F$5:$F$304,"P")&gt;0,"P",IF(COUNTIFS(Attendance!$B$5:$B$304,$B20,Attendance!$A$5:$A$304,S$9,Attendance!$F$5:$F$304,"A")&gt;0,"A",IF(COUNTIFS(Attendance!$B$5:$B$304,$B20,Attendance!$A$5:$A$304,S$9,Attendance!$F$5:$F$304,"L")&gt;0,"L",""))))</f>
        <v/>
      </c>
      <c r="T20" s="62" t="str">
        <f aca="false">IF($B20="","",IF(COUNTIFS(Attendance!$B$5:$B$304,$B20,Attendance!$A$5:$A$304,T$9,Attendance!$F$5:$F$304,"P")&gt;0,"P",IF(COUNTIFS(Attendance!$B$5:$B$304,$B20,Attendance!$A$5:$A$304,T$9,Attendance!$F$5:$F$304,"A")&gt;0,"A",IF(COUNTIFS(Attendance!$B$5:$B$304,$B20,Attendance!$A$5:$A$304,T$9,Attendance!$F$5:$F$304,"L")&gt;0,"L",""))))</f>
        <v/>
      </c>
      <c r="U20" s="62" t="str">
        <f aca="false">IF($B20="","",IF(COUNTIFS(Attendance!$B$5:$B$304,$B20,Attendance!$A$5:$A$304,U$9,Attendance!$F$5:$F$304,"P")&gt;0,"P",IF(COUNTIFS(Attendance!$B$5:$B$304,$B20,Attendance!$A$5:$A$304,U$9,Attendance!$F$5:$F$304,"A")&gt;0,"A",IF(COUNTIFS(Attendance!$B$5:$B$304,$B20,Attendance!$A$5:$A$304,U$9,Attendance!$F$5:$F$304,"L")&gt;0,"L",""))))</f>
        <v/>
      </c>
      <c r="V20" s="62" t="str">
        <f aca="false">IF($B20="","",IF(COUNTIFS(Attendance!$B$5:$B$304,$B20,Attendance!$A$5:$A$304,V$9,Attendance!$F$5:$F$304,"P")&gt;0,"P",IF(COUNTIFS(Attendance!$B$5:$B$304,$B20,Attendance!$A$5:$A$304,V$9,Attendance!$F$5:$F$304,"A")&gt;0,"A",IF(COUNTIFS(Attendance!$B$5:$B$304,$B20,Attendance!$A$5:$A$304,V$9,Attendance!$F$5:$F$304,"L")&gt;0,"L",""))))</f>
        <v/>
      </c>
      <c r="W20" s="62" t="str">
        <f aca="false">IF($B20="","",IF(COUNTIFS(Attendance!$B$5:$B$304,$B20,Attendance!$A$5:$A$304,W$9,Attendance!$F$5:$F$304,"P")&gt;0,"P",IF(COUNTIFS(Attendance!$B$5:$B$304,$B20,Attendance!$A$5:$A$304,W$9,Attendance!$F$5:$F$304,"A")&gt;0,"A",IF(COUNTIFS(Attendance!$B$5:$B$304,$B20,Attendance!$A$5:$A$304,W$9,Attendance!$F$5:$F$304,"L")&gt;0,"L",""))))</f>
        <v/>
      </c>
      <c r="X20" s="62" t="str">
        <f aca="false">IF($B20="","",IF(COUNTIFS(Attendance!$B$5:$B$304,$B20,Attendance!$A$5:$A$304,X$9,Attendance!$F$5:$F$304,"P")&gt;0,"P",IF(COUNTIFS(Attendance!$B$5:$B$304,$B20,Attendance!$A$5:$A$304,X$9,Attendance!$F$5:$F$304,"A")&gt;0,"A",IF(COUNTIFS(Attendance!$B$5:$B$304,$B20,Attendance!$A$5:$A$304,X$9,Attendance!$F$5:$F$304,"L")&gt;0,"L",""))))</f>
        <v/>
      </c>
      <c r="Y20" s="59" t="str">
        <f aca="false">IF($B20="","",COUNTIFS(Attendance!$B$5:$B$304,$B20,Attendance!$F$5:$F$304,"P",Attendance!$A$5:$A$304,"&gt;="&amp;$AF$4,Attendance!$A$5:$A$304,"&lt;="&amp;$AF$5))</f>
        <v/>
      </c>
      <c r="Z20" s="59" t="str">
        <f aca="false">IF($B20="","",COUNTIFS(Attendance!$B$5:$B$304,$B20,Attendance!$F$5:$F$304,"A",Attendance!$A$5:$A$304,"&gt;="&amp;$AF$4,Attendance!$A$5:$A$304,"&lt;="&amp;$AF$5))</f>
        <v/>
      </c>
      <c r="AA20" s="59" t="str">
        <f aca="false">IF($B20="","",COUNTIFS(Attendance!$B$5:$B$304,$B20,Attendance!$F$5:$F$304,"L",Attendance!$A$5:$A$304,"&gt;="&amp;$AF$4,Attendance!$A$5:$A$304,"&lt;="&amp;$AF$5))</f>
        <v/>
      </c>
      <c r="AB20" s="59" t="str">
        <f aca="false">IF($B20="","",SUM(Y20:AA20))</f>
        <v/>
      </c>
      <c r="AC20" s="63" t="str">
        <f aca="false">IF($B20="","",IF(AB20=0,"-",(Y20+AA20)/AB20))</f>
        <v/>
      </c>
    </row>
    <row r="21" customFormat="false" ht="19.5" hidden="false" customHeight="true" outlineLevel="0" collapsed="false">
      <c r="A21" s="59" t="str">
        <f aca="false">IF($B21="","",12)</f>
        <v/>
      </c>
      <c r="B21" s="59" t="str">
        <f aca="false">IFERROR(INDEX(Students!$A$5:$A$304,MATCH($C$4&amp;"|"&amp;$C$5&amp;"|"&amp;12,Students!$O$5:$O$304,0)),"")</f>
        <v/>
      </c>
      <c r="C21" s="60" t="str">
        <f aca="false">IF($B21="","",INDEX(Students!$B$5:$B$304,MATCH($B21,Students!$A$5:$A$304,0)))</f>
        <v/>
      </c>
      <c r="D21" s="61"/>
      <c r="E21" s="62" t="str">
        <f aca="false">IF($B21="","",IF(COUNTIFS(Attendance!$B$5:$B$304,$B21,Attendance!$A$5:$A$304,E$9,Attendance!$F$5:$F$304,"P")&gt;0,"P",IF(COUNTIFS(Attendance!$B$5:$B$304,$B21,Attendance!$A$5:$A$304,E$9,Attendance!$F$5:$F$304,"A")&gt;0,"A",IF(COUNTIFS(Attendance!$B$5:$B$304,$B21,Attendance!$A$5:$A$304,E$9,Attendance!$F$5:$F$304,"L")&gt;0,"L",""))))</f>
        <v/>
      </c>
      <c r="F21" s="62" t="str">
        <f aca="false">IF($B21="","",IF(COUNTIFS(Attendance!$B$5:$B$304,$B21,Attendance!$A$5:$A$304,F$9,Attendance!$F$5:$F$304,"P")&gt;0,"P",IF(COUNTIFS(Attendance!$B$5:$B$304,$B21,Attendance!$A$5:$A$304,F$9,Attendance!$F$5:$F$304,"A")&gt;0,"A",IF(COUNTIFS(Attendance!$B$5:$B$304,$B21,Attendance!$A$5:$A$304,F$9,Attendance!$F$5:$F$304,"L")&gt;0,"L",""))))</f>
        <v/>
      </c>
      <c r="G21" s="62" t="str">
        <f aca="false">IF($B21="","",IF(COUNTIFS(Attendance!$B$5:$B$304,$B21,Attendance!$A$5:$A$304,G$9,Attendance!$F$5:$F$304,"P")&gt;0,"P",IF(COUNTIFS(Attendance!$B$5:$B$304,$B21,Attendance!$A$5:$A$304,G$9,Attendance!$F$5:$F$304,"A")&gt;0,"A",IF(COUNTIFS(Attendance!$B$5:$B$304,$B21,Attendance!$A$5:$A$304,G$9,Attendance!$F$5:$F$304,"L")&gt;0,"L",""))))</f>
        <v/>
      </c>
      <c r="H21" s="62" t="str">
        <f aca="false">IF($B21="","",IF(COUNTIFS(Attendance!$B$5:$B$304,$B21,Attendance!$A$5:$A$304,H$9,Attendance!$F$5:$F$304,"P")&gt;0,"P",IF(COUNTIFS(Attendance!$B$5:$B$304,$B21,Attendance!$A$5:$A$304,H$9,Attendance!$F$5:$F$304,"A")&gt;0,"A",IF(COUNTIFS(Attendance!$B$5:$B$304,$B21,Attendance!$A$5:$A$304,H$9,Attendance!$F$5:$F$304,"L")&gt;0,"L",""))))</f>
        <v/>
      </c>
      <c r="I21" s="62" t="str">
        <f aca="false">IF($B21="","",IF(COUNTIFS(Attendance!$B$5:$B$304,$B21,Attendance!$A$5:$A$304,I$9,Attendance!$F$5:$F$304,"P")&gt;0,"P",IF(COUNTIFS(Attendance!$B$5:$B$304,$B21,Attendance!$A$5:$A$304,I$9,Attendance!$F$5:$F$304,"A")&gt;0,"A",IF(COUNTIFS(Attendance!$B$5:$B$304,$B21,Attendance!$A$5:$A$304,I$9,Attendance!$F$5:$F$304,"L")&gt;0,"L",""))))</f>
        <v/>
      </c>
      <c r="J21" s="62" t="str">
        <f aca="false">IF($B21="","",IF(COUNTIFS(Attendance!$B$5:$B$304,$B21,Attendance!$A$5:$A$304,J$9,Attendance!$F$5:$F$304,"P")&gt;0,"P",IF(COUNTIFS(Attendance!$B$5:$B$304,$B21,Attendance!$A$5:$A$304,J$9,Attendance!$F$5:$F$304,"A")&gt;0,"A",IF(COUNTIFS(Attendance!$B$5:$B$304,$B21,Attendance!$A$5:$A$304,J$9,Attendance!$F$5:$F$304,"L")&gt;0,"L",""))))</f>
        <v/>
      </c>
      <c r="K21" s="62" t="str">
        <f aca="false">IF($B21="","",IF(COUNTIFS(Attendance!$B$5:$B$304,$B21,Attendance!$A$5:$A$304,K$9,Attendance!$F$5:$F$304,"P")&gt;0,"P",IF(COUNTIFS(Attendance!$B$5:$B$304,$B21,Attendance!$A$5:$A$304,K$9,Attendance!$F$5:$F$304,"A")&gt;0,"A",IF(COUNTIFS(Attendance!$B$5:$B$304,$B21,Attendance!$A$5:$A$304,K$9,Attendance!$F$5:$F$304,"L")&gt;0,"L",""))))</f>
        <v/>
      </c>
      <c r="L21" s="62" t="str">
        <f aca="false">IF($B21="","",IF(COUNTIFS(Attendance!$B$5:$B$304,$B21,Attendance!$A$5:$A$304,L$9,Attendance!$F$5:$F$304,"P")&gt;0,"P",IF(COUNTIFS(Attendance!$B$5:$B$304,$B21,Attendance!$A$5:$A$304,L$9,Attendance!$F$5:$F$304,"A")&gt;0,"A",IF(COUNTIFS(Attendance!$B$5:$B$304,$B21,Attendance!$A$5:$A$304,L$9,Attendance!$F$5:$F$304,"L")&gt;0,"L",""))))</f>
        <v/>
      </c>
      <c r="M21" s="62" t="str">
        <f aca="false">IF($B21="","",IF(COUNTIFS(Attendance!$B$5:$B$304,$B21,Attendance!$A$5:$A$304,M$9,Attendance!$F$5:$F$304,"P")&gt;0,"P",IF(COUNTIFS(Attendance!$B$5:$B$304,$B21,Attendance!$A$5:$A$304,M$9,Attendance!$F$5:$F$304,"A")&gt;0,"A",IF(COUNTIFS(Attendance!$B$5:$B$304,$B21,Attendance!$A$5:$A$304,M$9,Attendance!$F$5:$F$304,"L")&gt;0,"L",""))))</f>
        <v/>
      </c>
      <c r="N21" s="62" t="str">
        <f aca="false">IF($B21="","",IF(COUNTIFS(Attendance!$B$5:$B$304,$B21,Attendance!$A$5:$A$304,N$9,Attendance!$F$5:$F$304,"P")&gt;0,"P",IF(COUNTIFS(Attendance!$B$5:$B$304,$B21,Attendance!$A$5:$A$304,N$9,Attendance!$F$5:$F$304,"A")&gt;0,"A",IF(COUNTIFS(Attendance!$B$5:$B$304,$B21,Attendance!$A$5:$A$304,N$9,Attendance!$F$5:$F$304,"L")&gt;0,"L",""))))</f>
        <v/>
      </c>
      <c r="O21" s="62" t="str">
        <f aca="false">IF($B21="","",IF(COUNTIFS(Attendance!$B$5:$B$304,$B21,Attendance!$A$5:$A$304,O$9,Attendance!$F$5:$F$304,"P")&gt;0,"P",IF(COUNTIFS(Attendance!$B$5:$B$304,$B21,Attendance!$A$5:$A$304,O$9,Attendance!$F$5:$F$304,"A")&gt;0,"A",IF(COUNTIFS(Attendance!$B$5:$B$304,$B21,Attendance!$A$5:$A$304,O$9,Attendance!$F$5:$F$304,"L")&gt;0,"L",""))))</f>
        <v/>
      </c>
      <c r="P21" s="62" t="str">
        <f aca="false">IF($B21="","",IF(COUNTIFS(Attendance!$B$5:$B$304,$B21,Attendance!$A$5:$A$304,P$9,Attendance!$F$5:$F$304,"P")&gt;0,"P",IF(COUNTIFS(Attendance!$B$5:$B$304,$B21,Attendance!$A$5:$A$304,P$9,Attendance!$F$5:$F$304,"A")&gt;0,"A",IF(COUNTIFS(Attendance!$B$5:$B$304,$B21,Attendance!$A$5:$A$304,P$9,Attendance!$F$5:$F$304,"L")&gt;0,"L",""))))</f>
        <v/>
      </c>
      <c r="Q21" s="62" t="str">
        <f aca="false">IF($B21="","",IF(COUNTIFS(Attendance!$B$5:$B$304,$B21,Attendance!$A$5:$A$304,Q$9,Attendance!$F$5:$F$304,"P")&gt;0,"P",IF(COUNTIFS(Attendance!$B$5:$B$304,$B21,Attendance!$A$5:$A$304,Q$9,Attendance!$F$5:$F$304,"A")&gt;0,"A",IF(COUNTIFS(Attendance!$B$5:$B$304,$B21,Attendance!$A$5:$A$304,Q$9,Attendance!$F$5:$F$304,"L")&gt;0,"L",""))))</f>
        <v/>
      </c>
      <c r="R21" s="62" t="str">
        <f aca="false">IF($B21="","",IF(COUNTIFS(Attendance!$B$5:$B$304,$B21,Attendance!$A$5:$A$304,R$9,Attendance!$F$5:$F$304,"P")&gt;0,"P",IF(COUNTIFS(Attendance!$B$5:$B$304,$B21,Attendance!$A$5:$A$304,R$9,Attendance!$F$5:$F$304,"A")&gt;0,"A",IF(COUNTIFS(Attendance!$B$5:$B$304,$B21,Attendance!$A$5:$A$304,R$9,Attendance!$F$5:$F$304,"L")&gt;0,"L",""))))</f>
        <v/>
      </c>
      <c r="S21" s="62" t="str">
        <f aca="false">IF($B21="","",IF(COUNTIFS(Attendance!$B$5:$B$304,$B21,Attendance!$A$5:$A$304,S$9,Attendance!$F$5:$F$304,"P")&gt;0,"P",IF(COUNTIFS(Attendance!$B$5:$B$304,$B21,Attendance!$A$5:$A$304,S$9,Attendance!$F$5:$F$304,"A")&gt;0,"A",IF(COUNTIFS(Attendance!$B$5:$B$304,$B21,Attendance!$A$5:$A$304,S$9,Attendance!$F$5:$F$304,"L")&gt;0,"L",""))))</f>
        <v/>
      </c>
      <c r="T21" s="62" t="str">
        <f aca="false">IF($B21="","",IF(COUNTIFS(Attendance!$B$5:$B$304,$B21,Attendance!$A$5:$A$304,T$9,Attendance!$F$5:$F$304,"P")&gt;0,"P",IF(COUNTIFS(Attendance!$B$5:$B$304,$B21,Attendance!$A$5:$A$304,T$9,Attendance!$F$5:$F$304,"A")&gt;0,"A",IF(COUNTIFS(Attendance!$B$5:$B$304,$B21,Attendance!$A$5:$A$304,T$9,Attendance!$F$5:$F$304,"L")&gt;0,"L",""))))</f>
        <v/>
      </c>
      <c r="U21" s="62" t="str">
        <f aca="false">IF($B21="","",IF(COUNTIFS(Attendance!$B$5:$B$304,$B21,Attendance!$A$5:$A$304,U$9,Attendance!$F$5:$F$304,"P")&gt;0,"P",IF(COUNTIFS(Attendance!$B$5:$B$304,$B21,Attendance!$A$5:$A$304,U$9,Attendance!$F$5:$F$304,"A")&gt;0,"A",IF(COUNTIFS(Attendance!$B$5:$B$304,$B21,Attendance!$A$5:$A$304,U$9,Attendance!$F$5:$F$304,"L")&gt;0,"L",""))))</f>
        <v/>
      </c>
      <c r="V21" s="62" t="str">
        <f aca="false">IF($B21="","",IF(COUNTIFS(Attendance!$B$5:$B$304,$B21,Attendance!$A$5:$A$304,V$9,Attendance!$F$5:$F$304,"P")&gt;0,"P",IF(COUNTIFS(Attendance!$B$5:$B$304,$B21,Attendance!$A$5:$A$304,V$9,Attendance!$F$5:$F$304,"A")&gt;0,"A",IF(COUNTIFS(Attendance!$B$5:$B$304,$B21,Attendance!$A$5:$A$304,V$9,Attendance!$F$5:$F$304,"L")&gt;0,"L",""))))</f>
        <v/>
      </c>
      <c r="W21" s="62" t="str">
        <f aca="false">IF($B21="","",IF(COUNTIFS(Attendance!$B$5:$B$304,$B21,Attendance!$A$5:$A$304,W$9,Attendance!$F$5:$F$304,"P")&gt;0,"P",IF(COUNTIFS(Attendance!$B$5:$B$304,$B21,Attendance!$A$5:$A$304,W$9,Attendance!$F$5:$F$304,"A")&gt;0,"A",IF(COUNTIFS(Attendance!$B$5:$B$304,$B21,Attendance!$A$5:$A$304,W$9,Attendance!$F$5:$F$304,"L")&gt;0,"L",""))))</f>
        <v/>
      </c>
      <c r="X21" s="62" t="str">
        <f aca="false">IF($B21="","",IF(COUNTIFS(Attendance!$B$5:$B$304,$B21,Attendance!$A$5:$A$304,X$9,Attendance!$F$5:$F$304,"P")&gt;0,"P",IF(COUNTIFS(Attendance!$B$5:$B$304,$B21,Attendance!$A$5:$A$304,X$9,Attendance!$F$5:$F$304,"A")&gt;0,"A",IF(COUNTIFS(Attendance!$B$5:$B$304,$B21,Attendance!$A$5:$A$304,X$9,Attendance!$F$5:$F$304,"L")&gt;0,"L",""))))</f>
        <v/>
      </c>
      <c r="Y21" s="59" t="str">
        <f aca="false">IF($B21="","",COUNTIFS(Attendance!$B$5:$B$304,$B21,Attendance!$F$5:$F$304,"P",Attendance!$A$5:$A$304,"&gt;="&amp;$AF$4,Attendance!$A$5:$A$304,"&lt;="&amp;$AF$5))</f>
        <v/>
      </c>
      <c r="Z21" s="59" t="str">
        <f aca="false">IF($B21="","",COUNTIFS(Attendance!$B$5:$B$304,$B21,Attendance!$F$5:$F$304,"A",Attendance!$A$5:$A$304,"&gt;="&amp;$AF$4,Attendance!$A$5:$A$304,"&lt;="&amp;$AF$5))</f>
        <v/>
      </c>
      <c r="AA21" s="59" t="str">
        <f aca="false">IF($B21="","",COUNTIFS(Attendance!$B$5:$B$304,$B21,Attendance!$F$5:$F$304,"L",Attendance!$A$5:$A$304,"&gt;="&amp;$AF$4,Attendance!$A$5:$A$304,"&lt;="&amp;$AF$5))</f>
        <v/>
      </c>
      <c r="AB21" s="59" t="str">
        <f aca="false">IF($B21="","",SUM(Y21:AA21))</f>
        <v/>
      </c>
      <c r="AC21" s="63" t="str">
        <f aca="false">IF($B21="","",IF(AB21=0,"-",(Y21+AA21)/AB21))</f>
        <v/>
      </c>
    </row>
    <row r="22" customFormat="false" ht="19.5" hidden="false" customHeight="true" outlineLevel="0" collapsed="false">
      <c r="A22" s="59" t="str">
        <f aca="false">IF($B22="","",13)</f>
        <v/>
      </c>
      <c r="B22" s="59" t="str">
        <f aca="false">IFERROR(INDEX(Students!$A$5:$A$304,MATCH($C$4&amp;"|"&amp;$C$5&amp;"|"&amp;13,Students!$O$5:$O$304,0)),"")</f>
        <v/>
      </c>
      <c r="C22" s="60" t="str">
        <f aca="false">IF($B22="","",INDEX(Students!$B$5:$B$304,MATCH($B22,Students!$A$5:$A$304,0)))</f>
        <v/>
      </c>
      <c r="D22" s="61"/>
      <c r="E22" s="62" t="str">
        <f aca="false">IF($B22="","",IF(COUNTIFS(Attendance!$B$5:$B$304,$B22,Attendance!$A$5:$A$304,E$9,Attendance!$F$5:$F$304,"P")&gt;0,"P",IF(COUNTIFS(Attendance!$B$5:$B$304,$B22,Attendance!$A$5:$A$304,E$9,Attendance!$F$5:$F$304,"A")&gt;0,"A",IF(COUNTIFS(Attendance!$B$5:$B$304,$B22,Attendance!$A$5:$A$304,E$9,Attendance!$F$5:$F$304,"L")&gt;0,"L",""))))</f>
        <v/>
      </c>
      <c r="F22" s="62" t="str">
        <f aca="false">IF($B22="","",IF(COUNTIFS(Attendance!$B$5:$B$304,$B22,Attendance!$A$5:$A$304,F$9,Attendance!$F$5:$F$304,"P")&gt;0,"P",IF(COUNTIFS(Attendance!$B$5:$B$304,$B22,Attendance!$A$5:$A$304,F$9,Attendance!$F$5:$F$304,"A")&gt;0,"A",IF(COUNTIFS(Attendance!$B$5:$B$304,$B22,Attendance!$A$5:$A$304,F$9,Attendance!$F$5:$F$304,"L")&gt;0,"L",""))))</f>
        <v/>
      </c>
      <c r="G22" s="62" t="str">
        <f aca="false">IF($B22="","",IF(COUNTIFS(Attendance!$B$5:$B$304,$B22,Attendance!$A$5:$A$304,G$9,Attendance!$F$5:$F$304,"P")&gt;0,"P",IF(COUNTIFS(Attendance!$B$5:$B$304,$B22,Attendance!$A$5:$A$304,G$9,Attendance!$F$5:$F$304,"A")&gt;0,"A",IF(COUNTIFS(Attendance!$B$5:$B$304,$B22,Attendance!$A$5:$A$304,G$9,Attendance!$F$5:$F$304,"L")&gt;0,"L",""))))</f>
        <v/>
      </c>
      <c r="H22" s="62" t="str">
        <f aca="false">IF($B22="","",IF(COUNTIFS(Attendance!$B$5:$B$304,$B22,Attendance!$A$5:$A$304,H$9,Attendance!$F$5:$F$304,"P")&gt;0,"P",IF(COUNTIFS(Attendance!$B$5:$B$304,$B22,Attendance!$A$5:$A$304,H$9,Attendance!$F$5:$F$304,"A")&gt;0,"A",IF(COUNTIFS(Attendance!$B$5:$B$304,$B22,Attendance!$A$5:$A$304,H$9,Attendance!$F$5:$F$304,"L")&gt;0,"L",""))))</f>
        <v/>
      </c>
      <c r="I22" s="62" t="str">
        <f aca="false">IF($B22="","",IF(COUNTIFS(Attendance!$B$5:$B$304,$B22,Attendance!$A$5:$A$304,I$9,Attendance!$F$5:$F$304,"P")&gt;0,"P",IF(COUNTIFS(Attendance!$B$5:$B$304,$B22,Attendance!$A$5:$A$304,I$9,Attendance!$F$5:$F$304,"A")&gt;0,"A",IF(COUNTIFS(Attendance!$B$5:$B$304,$B22,Attendance!$A$5:$A$304,I$9,Attendance!$F$5:$F$304,"L")&gt;0,"L",""))))</f>
        <v/>
      </c>
      <c r="J22" s="62" t="str">
        <f aca="false">IF($B22="","",IF(COUNTIFS(Attendance!$B$5:$B$304,$B22,Attendance!$A$5:$A$304,J$9,Attendance!$F$5:$F$304,"P")&gt;0,"P",IF(COUNTIFS(Attendance!$B$5:$B$304,$B22,Attendance!$A$5:$A$304,J$9,Attendance!$F$5:$F$304,"A")&gt;0,"A",IF(COUNTIFS(Attendance!$B$5:$B$304,$B22,Attendance!$A$5:$A$304,J$9,Attendance!$F$5:$F$304,"L")&gt;0,"L",""))))</f>
        <v/>
      </c>
      <c r="K22" s="62" t="str">
        <f aca="false">IF($B22="","",IF(COUNTIFS(Attendance!$B$5:$B$304,$B22,Attendance!$A$5:$A$304,K$9,Attendance!$F$5:$F$304,"P")&gt;0,"P",IF(COUNTIFS(Attendance!$B$5:$B$304,$B22,Attendance!$A$5:$A$304,K$9,Attendance!$F$5:$F$304,"A")&gt;0,"A",IF(COUNTIFS(Attendance!$B$5:$B$304,$B22,Attendance!$A$5:$A$304,K$9,Attendance!$F$5:$F$304,"L")&gt;0,"L",""))))</f>
        <v/>
      </c>
      <c r="L22" s="62" t="str">
        <f aca="false">IF($B22="","",IF(COUNTIFS(Attendance!$B$5:$B$304,$B22,Attendance!$A$5:$A$304,L$9,Attendance!$F$5:$F$304,"P")&gt;0,"P",IF(COUNTIFS(Attendance!$B$5:$B$304,$B22,Attendance!$A$5:$A$304,L$9,Attendance!$F$5:$F$304,"A")&gt;0,"A",IF(COUNTIFS(Attendance!$B$5:$B$304,$B22,Attendance!$A$5:$A$304,L$9,Attendance!$F$5:$F$304,"L")&gt;0,"L",""))))</f>
        <v/>
      </c>
      <c r="M22" s="62" t="str">
        <f aca="false">IF($B22="","",IF(COUNTIFS(Attendance!$B$5:$B$304,$B22,Attendance!$A$5:$A$304,M$9,Attendance!$F$5:$F$304,"P")&gt;0,"P",IF(COUNTIFS(Attendance!$B$5:$B$304,$B22,Attendance!$A$5:$A$304,M$9,Attendance!$F$5:$F$304,"A")&gt;0,"A",IF(COUNTIFS(Attendance!$B$5:$B$304,$B22,Attendance!$A$5:$A$304,M$9,Attendance!$F$5:$F$304,"L")&gt;0,"L",""))))</f>
        <v/>
      </c>
      <c r="N22" s="62" t="str">
        <f aca="false">IF($B22="","",IF(COUNTIFS(Attendance!$B$5:$B$304,$B22,Attendance!$A$5:$A$304,N$9,Attendance!$F$5:$F$304,"P")&gt;0,"P",IF(COUNTIFS(Attendance!$B$5:$B$304,$B22,Attendance!$A$5:$A$304,N$9,Attendance!$F$5:$F$304,"A")&gt;0,"A",IF(COUNTIFS(Attendance!$B$5:$B$304,$B22,Attendance!$A$5:$A$304,N$9,Attendance!$F$5:$F$304,"L")&gt;0,"L",""))))</f>
        <v/>
      </c>
      <c r="O22" s="62" t="str">
        <f aca="false">IF($B22="","",IF(COUNTIFS(Attendance!$B$5:$B$304,$B22,Attendance!$A$5:$A$304,O$9,Attendance!$F$5:$F$304,"P")&gt;0,"P",IF(COUNTIFS(Attendance!$B$5:$B$304,$B22,Attendance!$A$5:$A$304,O$9,Attendance!$F$5:$F$304,"A")&gt;0,"A",IF(COUNTIFS(Attendance!$B$5:$B$304,$B22,Attendance!$A$5:$A$304,O$9,Attendance!$F$5:$F$304,"L")&gt;0,"L",""))))</f>
        <v/>
      </c>
      <c r="P22" s="62" t="str">
        <f aca="false">IF($B22="","",IF(COUNTIFS(Attendance!$B$5:$B$304,$B22,Attendance!$A$5:$A$304,P$9,Attendance!$F$5:$F$304,"P")&gt;0,"P",IF(COUNTIFS(Attendance!$B$5:$B$304,$B22,Attendance!$A$5:$A$304,P$9,Attendance!$F$5:$F$304,"A")&gt;0,"A",IF(COUNTIFS(Attendance!$B$5:$B$304,$B22,Attendance!$A$5:$A$304,P$9,Attendance!$F$5:$F$304,"L")&gt;0,"L",""))))</f>
        <v/>
      </c>
      <c r="Q22" s="62" t="str">
        <f aca="false">IF($B22="","",IF(COUNTIFS(Attendance!$B$5:$B$304,$B22,Attendance!$A$5:$A$304,Q$9,Attendance!$F$5:$F$304,"P")&gt;0,"P",IF(COUNTIFS(Attendance!$B$5:$B$304,$B22,Attendance!$A$5:$A$304,Q$9,Attendance!$F$5:$F$304,"A")&gt;0,"A",IF(COUNTIFS(Attendance!$B$5:$B$304,$B22,Attendance!$A$5:$A$304,Q$9,Attendance!$F$5:$F$304,"L")&gt;0,"L",""))))</f>
        <v/>
      </c>
      <c r="R22" s="62" t="str">
        <f aca="false">IF($B22="","",IF(COUNTIFS(Attendance!$B$5:$B$304,$B22,Attendance!$A$5:$A$304,R$9,Attendance!$F$5:$F$304,"P")&gt;0,"P",IF(COUNTIFS(Attendance!$B$5:$B$304,$B22,Attendance!$A$5:$A$304,R$9,Attendance!$F$5:$F$304,"A")&gt;0,"A",IF(COUNTIFS(Attendance!$B$5:$B$304,$B22,Attendance!$A$5:$A$304,R$9,Attendance!$F$5:$F$304,"L")&gt;0,"L",""))))</f>
        <v/>
      </c>
      <c r="S22" s="62" t="str">
        <f aca="false">IF($B22="","",IF(COUNTIFS(Attendance!$B$5:$B$304,$B22,Attendance!$A$5:$A$304,S$9,Attendance!$F$5:$F$304,"P")&gt;0,"P",IF(COUNTIFS(Attendance!$B$5:$B$304,$B22,Attendance!$A$5:$A$304,S$9,Attendance!$F$5:$F$304,"A")&gt;0,"A",IF(COUNTIFS(Attendance!$B$5:$B$304,$B22,Attendance!$A$5:$A$304,S$9,Attendance!$F$5:$F$304,"L")&gt;0,"L",""))))</f>
        <v/>
      </c>
      <c r="T22" s="62" t="str">
        <f aca="false">IF($B22="","",IF(COUNTIFS(Attendance!$B$5:$B$304,$B22,Attendance!$A$5:$A$304,T$9,Attendance!$F$5:$F$304,"P")&gt;0,"P",IF(COUNTIFS(Attendance!$B$5:$B$304,$B22,Attendance!$A$5:$A$304,T$9,Attendance!$F$5:$F$304,"A")&gt;0,"A",IF(COUNTIFS(Attendance!$B$5:$B$304,$B22,Attendance!$A$5:$A$304,T$9,Attendance!$F$5:$F$304,"L")&gt;0,"L",""))))</f>
        <v/>
      </c>
      <c r="U22" s="62" t="str">
        <f aca="false">IF($B22="","",IF(COUNTIFS(Attendance!$B$5:$B$304,$B22,Attendance!$A$5:$A$304,U$9,Attendance!$F$5:$F$304,"P")&gt;0,"P",IF(COUNTIFS(Attendance!$B$5:$B$304,$B22,Attendance!$A$5:$A$304,U$9,Attendance!$F$5:$F$304,"A")&gt;0,"A",IF(COUNTIFS(Attendance!$B$5:$B$304,$B22,Attendance!$A$5:$A$304,U$9,Attendance!$F$5:$F$304,"L")&gt;0,"L",""))))</f>
        <v/>
      </c>
      <c r="V22" s="62" t="str">
        <f aca="false">IF($B22="","",IF(COUNTIFS(Attendance!$B$5:$B$304,$B22,Attendance!$A$5:$A$304,V$9,Attendance!$F$5:$F$304,"P")&gt;0,"P",IF(COUNTIFS(Attendance!$B$5:$B$304,$B22,Attendance!$A$5:$A$304,V$9,Attendance!$F$5:$F$304,"A")&gt;0,"A",IF(COUNTIFS(Attendance!$B$5:$B$304,$B22,Attendance!$A$5:$A$304,V$9,Attendance!$F$5:$F$304,"L")&gt;0,"L",""))))</f>
        <v/>
      </c>
      <c r="W22" s="62" t="str">
        <f aca="false">IF($B22="","",IF(COUNTIFS(Attendance!$B$5:$B$304,$B22,Attendance!$A$5:$A$304,W$9,Attendance!$F$5:$F$304,"P")&gt;0,"P",IF(COUNTIFS(Attendance!$B$5:$B$304,$B22,Attendance!$A$5:$A$304,W$9,Attendance!$F$5:$F$304,"A")&gt;0,"A",IF(COUNTIFS(Attendance!$B$5:$B$304,$B22,Attendance!$A$5:$A$304,W$9,Attendance!$F$5:$F$304,"L")&gt;0,"L",""))))</f>
        <v/>
      </c>
      <c r="X22" s="62" t="str">
        <f aca="false">IF($B22="","",IF(COUNTIFS(Attendance!$B$5:$B$304,$B22,Attendance!$A$5:$A$304,X$9,Attendance!$F$5:$F$304,"P")&gt;0,"P",IF(COUNTIFS(Attendance!$B$5:$B$304,$B22,Attendance!$A$5:$A$304,X$9,Attendance!$F$5:$F$304,"A")&gt;0,"A",IF(COUNTIFS(Attendance!$B$5:$B$304,$B22,Attendance!$A$5:$A$304,X$9,Attendance!$F$5:$F$304,"L")&gt;0,"L",""))))</f>
        <v/>
      </c>
      <c r="Y22" s="59" t="str">
        <f aca="false">IF($B22="","",COUNTIFS(Attendance!$B$5:$B$304,$B22,Attendance!$F$5:$F$304,"P",Attendance!$A$5:$A$304,"&gt;="&amp;$AF$4,Attendance!$A$5:$A$304,"&lt;="&amp;$AF$5))</f>
        <v/>
      </c>
      <c r="Z22" s="59" t="str">
        <f aca="false">IF($B22="","",COUNTIFS(Attendance!$B$5:$B$304,$B22,Attendance!$F$5:$F$304,"A",Attendance!$A$5:$A$304,"&gt;="&amp;$AF$4,Attendance!$A$5:$A$304,"&lt;="&amp;$AF$5))</f>
        <v/>
      </c>
      <c r="AA22" s="59" t="str">
        <f aca="false">IF($B22="","",COUNTIFS(Attendance!$B$5:$B$304,$B22,Attendance!$F$5:$F$304,"L",Attendance!$A$5:$A$304,"&gt;="&amp;$AF$4,Attendance!$A$5:$A$304,"&lt;="&amp;$AF$5))</f>
        <v/>
      </c>
      <c r="AB22" s="59" t="str">
        <f aca="false">IF($B22="","",SUM(Y22:AA22))</f>
        <v/>
      </c>
      <c r="AC22" s="63" t="str">
        <f aca="false">IF($B22="","",IF(AB22=0,"-",(Y22+AA22)/AB22))</f>
        <v/>
      </c>
    </row>
    <row r="23" customFormat="false" ht="19.5" hidden="false" customHeight="true" outlineLevel="0" collapsed="false">
      <c r="A23" s="59" t="str">
        <f aca="false">IF($B23="","",14)</f>
        <v/>
      </c>
      <c r="B23" s="59" t="str">
        <f aca="false">IFERROR(INDEX(Students!$A$5:$A$304,MATCH($C$4&amp;"|"&amp;$C$5&amp;"|"&amp;14,Students!$O$5:$O$304,0)),"")</f>
        <v/>
      </c>
      <c r="C23" s="60" t="str">
        <f aca="false">IF($B23="","",INDEX(Students!$B$5:$B$304,MATCH($B23,Students!$A$5:$A$304,0)))</f>
        <v/>
      </c>
      <c r="D23" s="61"/>
      <c r="E23" s="62" t="str">
        <f aca="false">IF($B23="","",IF(COUNTIFS(Attendance!$B$5:$B$304,$B23,Attendance!$A$5:$A$304,E$9,Attendance!$F$5:$F$304,"P")&gt;0,"P",IF(COUNTIFS(Attendance!$B$5:$B$304,$B23,Attendance!$A$5:$A$304,E$9,Attendance!$F$5:$F$304,"A")&gt;0,"A",IF(COUNTIFS(Attendance!$B$5:$B$304,$B23,Attendance!$A$5:$A$304,E$9,Attendance!$F$5:$F$304,"L")&gt;0,"L",""))))</f>
        <v/>
      </c>
      <c r="F23" s="62" t="str">
        <f aca="false">IF($B23="","",IF(COUNTIFS(Attendance!$B$5:$B$304,$B23,Attendance!$A$5:$A$304,F$9,Attendance!$F$5:$F$304,"P")&gt;0,"P",IF(COUNTIFS(Attendance!$B$5:$B$304,$B23,Attendance!$A$5:$A$304,F$9,Attendance!$F$5:$F$304,"A")&gt;0,"A",IF(COUNTIFS(Attendance!$B$5:$B$304,$B23,Attendance!$A$5:$A$304,F$9,Attendance!$F$5:$F$304,"L")&gt;0,"L",""))))</f>
        <v/>
      </c>
      <c r="G23" s="62" t="str">
        <f aca="false">IF($B23="","",IF(COUNTIFS(Attendance!$B$5:$B$304,$B23,Attendance!$A$5:$A$304,G$9,Attendance!$F$5:$F$304,"P")&gt;0,"P",IF(COUNTIFS(Attendance!$B$5:$B$304,$B23,Attendance!$A$5:$A$304,G$9,Attendance!$F$5:$F$304,"A")&gt;0,"A",IF(COUNTIFS(Attendance!$B$5:$B$304,$B23,Attendance!$A$5:$A$304,G$9,Attendance!$F$5:$F$304,"L")&gt;0,"L",""))))</f>
        <v/>
      </c>
      <c r="H23" s="62" t="str">
        <f aca="false">IF($B23="","",IF(COUNTIFS(Attendance!$B$5:$B$304,$B23,Attendance!$A$5:$A$304,H$9,Attendance!$F$5:$F$304,"P")&gt;0,"P",IF(COUNTIFS(Attendance!$B$5:$B$304,$B23,Attendance!$A$5:$A$304,H$9,Attendance!$F$5:$F$304,"A")&gt;0,"A",IF(COUNTIFS(Attendance!$B$5:$B$304,$B23,Attendance!$A$5:$A$304,H$9,Attendance!$F$5:$F$304,"L")&gt;0,"L",""))))</f>
        <v/>
      </c>
      <c r="I23" s="62" t="str">
        <f aca="false">IF($B23="","",IF(COUNTIFS(Attendance!$B$5:$B$304,$B23,Attendance!$A$5:$A$304,I$9,Attendance!$F$5:$F$304,"P")&gt;0,"P",IF(COUNTIFS(Attendance!$B$5:$B$304,$B23,Attendance!$A$5:$A$304,I$9,Attendance!$F$5:$F$304,"A")&gt;0,"A",IF(COUNTIFS(Attendance!$B$5:$B$304,$B23,Attendance!$A$5:$A$304,I$9,Attendance!$F$5:$F$304,"L")&gt;0,"L",""))))</f>
        <v/>
      </c>
      <c r="J23" s="62" t="str">
        <f aca="false">IF($B23="","",IF(COUNTIFS(Attendance!$B$5:$B$304,$B23,Attendance!$A$5:$A$304,J$9,Attendance!$F$5:$F$304,"P")&gt;0,"P",IF(COUNTIFS(Attendance!$B$5:$B$304,$B23,Attendance!$A$5:$A$304,J$9,Attendance!$F$5:$F$304,"A")&gt;0,"A",IF(COUNTIFS(Attendance!$B$5:$B$304,$B23,Attendance!$A$5:$A$304,J$9,Attendance!$F$5:$F$304,"L")&gt;0,"L",""))))</f>
        <v/>
      </c>
      <c r="K23" s="62" t="str">
        <f aca="false">IF($B23="","",IF(COUNTIFS(Attendance!$B$5:$B$304,$B23,Attendance!$A$5:$A$304,K$9,Attendance!$F$5:$F$304,"P")&gt;0,"P",IF(COUNTIFS(Attendance!$B$5:$B$304,$B23,Attendance!$A$5:$A$304,K$9,Attendance!$F$5:$F$304,"A")&gt;0,"A",IF(COUNTIFS(Attendance!$B$5:$B$304,$B23,Attendance!$A$5:$A$304,K$9,Attendance!$F$5:$F$304,"L")&gt;0,"L",""))))</f>
        <v/>
      </c>
      <c r="L23" s="62" t="str">
        <f aca="false">IF($B23="","",IF(COUNTIFS(Attendance!$B$5:$B$304,$B23,Attendance!$A$5:$A$304,L$9,Attendance!$F$5:$F$304,"P")&gt;0,"P",IF(COUNTIFS(Attendance!$B$5:$B$304,$B23,Attendance!$A$5:$A$304,L$9,Attendance!$F$5:$F$304,"A")&gt;0,"A",IF(COUNTIFS(Attendance!$B$5:$B$304,$B23,Attendance!$A$5:$A$304,L$9,Attendance!$F$5:$F$304,"L")&gt;0,"L",""))))</f>
        <v/>
      </c>
      <c r="M23" s="62" t="str">
        <f aca="false">IF($B23="","",IF(COUNTIFS(Attendance!$B$5:$B$304,$B23,Attendance!$A$5:$A$304,M$9,Attendance!$F$5:$F$304,"P")&gt;0,"P",IF(COUNTIFS(Attendance!$B$5:$B$304,$B23,Attendance!$A$5:$A$304,M$9,Attendance!$F$5:$F$304,"A")&gt;0,"A",IF(COUNTIFS(Attendance!$B$5:$B$304,$B23,Attendance!$A$5:$A$304,M$9,Attendance!$F$5:$F$304,"L")&gt;0,"L",""))))</f>
        <v/>
      </c>
      <c r="N23" s="62" t="str">
        <f aca="false">IF($B23="","",IF(COUNTIFS(Attendance!$B$5:$B$304,$B23,Attendance!$A$5:$A$304,N$9,Attendance!$F$5:$F$304,"P")&gt;0,"P",IF(COUNTIFS(Attendance!$B$5:$B$304,$B23,Attendance!$A$5:$A$304,N$9,Attendance!$F$5:$F$304,"A")&gt;0,"A",IF(COUNTIFS(Attendance!$B$5:$B$304,$B23,Attendance!$A$5:$A$304,N$9,Attendance!$F$5:$F$304,"L")&gt;0,"L",""))))</f>
        <v/>
      </c>
      <c r="O23" s="62" t="str">
        <f aca="false">IF($B23="","",IF(COUNTIFS(Attendance!$B$5:$B$304,$B23,Attendance!$A$5:$A$304,O$9,Attendance!$F$5:$F$304,"P")&gt;0,"P",IF(COUNTIFS(Attendance!$B$5:$B$304,$B23,Attendance!$A$5:$A$304,O$9,Attendance!$F$5:$F$304,"A")&gt;0,"A",IF(COUNTIFS(Attendance!$B$5:$B$304,$B23,Attendance!$A$5:$A$304,O$9,Attendance!$F$5:$F$304,"L")&gt;0,"L",""))))</f>
        <v/>
      </c>
      <c r="P23" s="62" t="str">
        <f aca="false">IF($B23="","",IF(COUNTIFS(Attendance!$B$5:$B$304,$B23,Attendance!$A$5:$A$304,P$9,Attendance!$F$5:$F$304,"P")&gt;0,"P",IF(COUNTIFS(Attendance!$B$5:$B$304,$B23,Attendance!$A$5:$A$304,P$9,Attendance!$F$5:$F$304,"A")&gt;0,"A",IF(COUNTIFS(Attendance!$B$5:$B$304,$B23,Attendance!$A$5:$A$304,P$9,Attendance!$F$5:$F$304,"L")&gt;0,"L",""))))</f>
        <v/>
      </c>
      <c r="Q23" s="62" t="str">
        <f aca="false">IF($B23="","",IF(COUNTIFS(Attendance!$B$5:$B$304,$B23,Attendance!$A$5:$A$304,Q$9,Attendance!$F$5:$F$304,"P")&gt;0,"P",IF(COUNTIFS(Attendance!$B$5:$B$304,$B23,Attendance!$A$5:$A$304,Q$9,Attendance!$F$5:$F$304,"A")&gt;0,"A",IF(COUNTIFS(Attendance!$B$5:$B$304,$B23,Attendance!$A$5:$A$304,Q$9,Attendance!$F$5:$F$304,"L")&gt;0,"L",""))))</f>
        <v/>
      </c>
      <c r="R23" s="62" t="str">
        <f aca="false">IF($B23="","",IF(COUNTIFS(Attendance!$B$5:$B$304,$B23,Attendance!$A$5:$A$304,R$9,Attendance!$F$5:$F$304,"P")&gt;0,"P",IF(COUNTIFS(Attendance!$B$5:$B$304,$B23,Attendance!$A$5:$A$304,R$9,Attendance!$F$5:$F$304,"A")&gt;0,"A",IF(COUNTIFS(Attendance!$B$5:$B$304,$B23,Attendance!$A$5:$A$304,R$9,Attendance!$F$5:$F$304,"L")&gt;0,"L",""))))</f>
        <v/>
      </c>
      <c r="S23" s="62" t="str">
        <f aca="false">IF($B23="","",IF(COUNTIFS(Attendance!$B$5:$B$304,$B23,Attendance!$A$5:$A$304,S$9,Attendance!$F$5:$F$304,"P")&gt;0,"P",IF(COUNTIFS(Attendance!$B$5:$B$304,$B23,Attendance!$A$5:$A$304,S$9,Attendance!$F$5:$F$304,"A")&gt;0,"A",IF(COUNTIFS(Attendance!$B$5:$B$304,$B23,Attendance!$A$5:$A$304,S$9,Attendance!$F$5:$F$304,"L")&gt;0,"L",""))))</f>
        <v/>
      </c>
      <c r="T23" s="62" t="str">
        <f aca="false">IF($B23="","",IF(COUNTIFS(Attendance!$B$5:$B$304,$B23,Attendance!$A$5:$A$304,T$9,Attendance!$F$5:$F$304,"P")&gt;0,"P",IF(COUNTIFS(Attendance!$B$5:$B$304,$B23,Attendance!$A$5:$A$304,T$9,Attendance!$F$5:$F$304,"A")&gt;0,"A",IF(COUNTIFS(Attendance!$B$5:$B$304,$B23,Attendance!$A$5:$A$304,T$9,Attendance!$F$5:$F$304,"L")&gt;0,"L",""))))</f>
        <v/>
      </c>
      <c r="U23" s="62" t="str">
        <f aca="false">IF($B23="","",IF(COUNTIFS(Attendance!$B$5:$B$304,$B23,Attendance!$A$5:$A$304,U$9,Attendance!$F$5:$F$304,"P")&gt;0,"P",IF(COUNTIFS(Attendance!$B$5:$B$304,$B23,Attendance!$A$5:$A$304,U$9,Attendance!$F$5:$F$304,"A")&gt;0,"A",IF(COUNTIFS(Attendance!$B$5:$B$304,$B23,Attendance!$A$5:$A$304,U$9,Attendance!$F$5:$F$304,"L")&gt;0,"L",""))))</f>
        <v/>
      </c>
      <c r="V23" s="62" t="str">
        <f aca="false">IF($B23="","",IF(COUNTIFS(Attendance!$B$5:$B$304,$B23,Attendance!$A$5:$A$304,V$9,Attendance!$F$5:$F$304,"P")&gt;0,"P",IF(COUNTIFS(Attendance!$B$5:$B$304,$B23,Attendance!$A$5:$A$304,V$9,Attendance!$F$5:$F$304,"A")&gt;0,"A",IF(COUNTIFS(Attendance!$B$5:$B$304,$B23,Attendance!$A$5:$A$304,V$9,Attendance!$F$5:$F$304,"L")&gt;0,"L",""))))</f>
        <v/>
      </c>
      <c r="W23" s="62" t="str">
        <f aca="false">IF($B23="","",IF(COUNTIFS(Attendance!$B$5:$B$304,$B23,Attendance!$A$5:$A$304,W$9,Attendance!$F$5:$F$304,"P")&gt;0,"P",IF(COUNTIFS(Attendance!$B$5:$B$304,$B23,Attendance!$A$5:$A$304,W$9,Attendance!$F$5:$F$304,"A")&gt;0,"A",IF(COUNTIFS(Attendance!$B$5:$B$304,$B23,Attendance!$A$5:$A$304,W$9,Attendance!$F$5:$F$304,"L")&gt;0,"L",""))))</f>
        <v/>
      </c>
      <c r="X23" s="62" t="str">
        <f aca="false">IF($B23="","",IF(COUNTIFS(Attendance!$B$5:$B$304,$B23,Attendance!$A$5:$A$304,X$9,Attendance!$F$5:$F$304,"P")&gt;0,"P",IF(COUNTIFS(Attendance!$B$5:$B$304,$B23,Attendance!$A$5:$A$304,X$9,Attendance!$F$5:$F$304,"A")&gt;0,"A",IF(COUNTIFS(Attendance!$B$5:$B$304,$B23,Attendance!$A$5:$A$304,X$9,Attendance!$F$5:$F$304,"L")&gt;0,"L",""))))</f>
        <v/>
      </c>
      <c r="Y23" s="59" t="str">
        <f aca="false">IF($B23="","",COUNTIFS(Attendance!$B$5:$B$304,$B23,Attendance!$F$5:$F$304,"P",Attendance!$A$5:$A$304,"&gt;="&amp;$AF$4,Attendance!$A$5:$A$304,"&lt;="&amp;$AF$5))</f>
        <v/>
      </c>
      <c r="Z23" s="59" t="str">
        <f aca="false">IF($B23="","",COUNTIFS(Attendance!$B$5:$B$304,$B23,Attendance!$F$5:$F$304,"A",Attendance!$A$5:$A$304,"&gt;="&amp;$AF$4,Attendance!$A$5:$A$304,"&lt;="&amp;$AF$5))</f>
        <v/>
      </c>
      <c r="AA23" s="59" t="str">
        <f aca="false">IF($B23="","",COUNTIFS(Attendance!$B$5:$B$304,$B23,Attendance!$F$5:$F$304,"L",Attendance!$A$5:$A$304,"&gt;="&amp;$AF$4,Attendance!$A$5:$A$304,"&lt;="&amp;$AF$5))</f>
        <v/>
      </c>
      <c r="AB23" s="59" t="str">
        <f aca="false">IF($B23="","",SUM(Y23:AA23))</f>
        <v/>
      </c>
      <c r="AC23" s="63" t="str">
        <f aca="false">IF($B23="","",IF(AB23=0,"-",(Y23+AA23)/AB23))</f>
        <v/>
      </c>
    </row>
    <row r="24" customFormat="false" ht="19.5" hidden="false" customHeight="true" outlineLevel="0" collapsed="false">
      <c r="A24" s="59" t="str">
        <f aca="false">IF($B24="","",15)</f>
        <v/>
      </c>
      <c r="B24" s="59" t="str">
        <f aca="false">IFERROR(INDEX(Students!$A$5:$A$304,MATCH($C$4&amp;"|"&amp;$C$5&amp;"|"&amp;15,Students!$O$5:$O$304,0)),"")</f>
        <v/>
      </c>
      <c r="C24" s="60" t="str">
        <f aca="false">IF($B24="","",INDEX(Students!$B$5:$B$304,MATCH($B24,Students!$A$5:$A$304,0)))</f>
        <v/>
      </c>
      <c r="D24" s="61"/>
      <c r="E24" s="62" t="str">
        <f aca="false">IF($B24="","",IF(COUNTIFS(Attendance!$B$5:$B$304,$B24,Attendance!$A$5:$A$304,E$9,Attendance!$F$5:$F$304,"P")&gt;0,"P",IF(COUNTIFS(Attendance!$B$5:$B$304,$B24,Attendance!$A$5:$A$304,E$9,Attendance!$F$5:$F$304,"A")&gt;0,"A",IF(COUNTIFS(Attendance!$B$5:$B$304,$B24,Attendance!$A$5:$A$304,E$9,Attendance!$F$5:$F$304,"L")&gt;0,"L",""))))</f>
        <v/>
      </c>
      <c r="F24" s="62" t="str">
        <f aca="false">IF($B24="","",IF(COUNTIFS(Attendance!$B$5:$B$304,$B24,Attendance!$A$5:$A$304,F$9,Attendance!$F$5:$F$304,"P")&gt;0,"P",IF(COUNTIFS(Attendance!$B$5:$B$304,$B24,Attendance!$A$5:$A$304,F$9,Attendance!$F$5:$F$304,"A")&gt;0,"A",IF(COUNTIFS(Attendance!$B$5:$B$304,$B24,Attendance!$A$5:$A$304,F$9,Attendance!$F$5:$F$304,"L")&gt;0,"L",""))))</f>
        <v/>
      </c>
      <c r="G24" s="62" t="str">
        <f aca="false">IF($B24="","",IF(COUNTIFS(Attendance!$B$5:$B$304,$B24,Attendance!$A$5:$A$304,G$9,Attendance!$F$5:$F$304,"P")&gt;0,"P",IF(COUNTIFS(Attendance!$B$5:$B$304,$B24,Attendance!$A$5:$A$304,G$9,Attendance!$F$5:$F$304,"A")&gt;0,"A",IF(COUNTIFS(Attendance!$B$5:$B$304,$B24,Attendance!$A$5:$A$304,G$9,Attendance!$F$5:$F$304,"L")&gt;0,"L",""))))</f>
        <v/>
      </c>
      <c r="H24" s="62" t="str">
        <f aca="false">IF($B24="","",IF(COUNTIFS(Attendance!$B$5:$B$304,$B24,Attendance!$A$5:$A$304,H$9,Attendance!$F$5:$F$304,"P")&gt;0,"P",IF(COUNTIFS(Attendance!$B$5:$B$304,$B24,Attendance!$A$5:$A$304,H$9,Attendance!$F$5:$F$304,"A")&gt;0,"A",IF(COUNTIFS(Attendance!$B$5:$B$304,$B24,Attendance!$A$5:$A$304,H$9,Attendance!$F$5:$F$304,"L")&gt;0,"L",""))))</f>
        <v/>
      </c>
      <c r="I24" s="62" t="str">
        <f aca="false">IF($B24="","",IF(COUNTIFS(Attendance!$B$5:$B$304,$B24,Attendance!$A$5:$A$304,I$9,Attendance!$F$5:$F$304,"P")&gt;0,"P",IF(COUNTIFS(Attendance!$B$5:$B$304,$B24,Attendance!$A$5:$A$304,I$9,Attendance!$F$5:$F$304,"A")&gt;0,"A",IF(COUNTIFS(Attendance!$B$5:$B$304,$B24,Attendance!$A$5:$A$304,I$9,Attendance!$F$5:$F$304,"L")&gt;0,"L",""))))</f>
        <v/>
      </c>
      <c r="J24" s="62" t="str">
        <f aca="false">IF($B24="","",IF(COUNTIFS(Attendance!$B$5:$B$304,$B24,Attendance!$A$5:$A$304,J$9,Attendance!$F$5:$F$304,"P")&gt;0,"P",IF(COUNTIFS(Attendance!$B$5:$B$304,$B24,Attendance!$A$5:$A$304,J$9,Attendance!$F$5:$F$304,"A")&gt;0,"A",IF(COUNTIFS(Attendance!$B$5:$B$304,$B24,Attendance!$A$5:$A$304,J$9,Attendance!$F$5:$F$304,"L")&gt;0,"L",""))))</f>
        <v/>
      </c>
      <c r="K24" s="62" t="str">
        <f aca="false">IF($B24="","",IF(COUNTIFS(Attendance!$B$5:$B$304,$B24,Attendance!$A$5:$A$304,K$9,Attendance!$F$5:$F$304,"P")&gt;0,"P",IF(COUNTIFS(Attendance!$B$5:$B$304,$B24,Attendance!$A$5:$A$304,K$9,Attendance!$F$5:$F$304,"A")&gt;0,"A",IF(COUNTIFS(Attendance!$B$5:$B$304,$B24,Attendance!$A$5:$A$304,K$9,Attendance!$F$5:$F$304,"L")&gt;0,"L",""))))</f>
        <v/>
      </c>
      <c r="L24" s="62" t="str">
        <f aca="false">IF($B24="","",IF(COUNTIFS(Attendance!$B$5:$B$304,$B24,Attendance!$A$5:$A$304,L$9,Attendance!$F$5:$F$304,"P")&gt;0,"P",IF(COUNTIFS(Attendance!$B$5:$B$304,$B24,Attendance!$A$5:$A$304,L$9,Attendance!$F$5:$F$304,"A")&gt;0,"A",IF(COUNTIFS(Attendance!$B$5:$B$304,$B24,Attendance!$A$5:$A$304,L$9,Attendance!$F$5:$F$304,"L")&gt;0,"L",""))))</f>
        <v/>
      </c>
      <c r="M24" s="62" t="str">
        <f aca="false">IF($B24="","",IF(COUNTIFS(Attendance!$B$5:$B$304,$B24,Attendance!$A$5:$A$304,M$9,Attendance!$F$5:$F$304,"P")&gt;0,"P",IF(COUNTIFS(Attendance!$B$5:$B$304,$B24,Attendance!$A$5:$A$304,M$9,Attendance!$F$5:$F$304,"A")&gt;0,"A",IF(COUNTIFS(Attendance!$B$5:$B$304,$B24,Attendance!$A$5:$A$304,M$9,Attendance!$F$5:$F$304,"L")&gt;0,"L",""))))</f>
        <v/>
      </c>
      <c r="N24" s="62" t="str">
        <f aca="false">IF($B24="","",IF(COUNTIFS(Attendance!$B$5:$B$304,$B24,Attendance!$A$5:$A$304,N$9,Attendance!$F$5:$F$304,"P")&gt;0,"P",IF(COUNTIFS(Attendance!$B$5:$B$304,$B24,Attendance!$A$5:$A$304,N$9,Attendance!$F$5:$F$304,"A")&gt;0,"A",IF(COUNTIFS(Attendance!$B$5:$B$304,$B24,Attendance!$A$5:$A$304,N$9,Attendance!$F$5:$F$304,"L")&gt;0,"L",""))))</f>
        <v/>
      </c>
      <c r="O24" s="62" t="str">
        <f aca="false">IF($B24="","",IF(COUNTIFS(Attendance!$B$5:$B$304,$B24,Attendance!$A$5:$A$304,O$9,Attendance!$F$5:$F$304,"P")&gt;0,"P",IF(COUNTIFS(Attendance!$B$5:$B$304,$B24,Attendance!$A$5:$A$304,O$9,Attendance!$F$5:$F$304,"A")&gt;0,"A",IF(COUNTIFS(Attendance!$B$5:$B$304,$B24,Attendance!$A$5:$A$304,O$9,Attendance!$F$5:$F$304,"L")&gt;0,"L",""))))</f>
        <v/>
      </c>
      <c r="P24" s="62" t="str">
        <f aca="false">IF($B24="","",IF(COUNTIFS(Attendance!$B$5:$B$304,$B24,Attendance!$A$5:$A$304,P$9,Attendance!$F$5:$F$304,"P")&gt;0,"P",IF(COUNTIFS(Attendance!$B$5:$B$304,$B24,Attendance!$A$5:$A$304,P$9,Attendance!$F$5:$F$304,"A")&gt;0,"A",IF(COUNTIFS(Attendance!$B$5:$B$304,$B24,Attendance!$A$5:$A$304,P$9,Attendance!$F$5:$F$304,"L")&gt;0,"L",""))))</f>
        <v/>
      </c>
      <c r="Q24" s="62" t="str">
        <f aca="false">IF($B24="","",IF(COUNTIFS(Attendance!$B$5:$B$304,$B24,Attendance!$A$5:$A$304,Q$9,Attendance!$F$5:$F$304,"P")&gt;0,"P",IF(COUNTIFS(Attendance!$B$5:$B$304,$B24,Attendance!$A$5:$A$304,Q$9,Attendance!$F$5:$F$304,"A")&gt;0,"A",IF(COUNTIFS(Attendance!$B$5:$B$304,$B24,Attendance!$A$5:$A$304,Q$9,Attendance!$F$5:$F$304,"L")&gt;0,"L",""))))</f>
        <v/>
      </c>
      <c r="R24" s="62" t="str">
        <f aca="false">IF($B24="","",IF(COUNTIFS(Attendance!$B$5:$B$304,$B24,Attendance!$A$5:$A$304,R$9,Attendance!$F$5:$F$304,"P")&gt;0,"P",IF(COUNTIFS(Attendance!$B$5:$B$304,$B24,Attendance!$A$5:$A$304,R$9,Attendance!$F$5:$F$304,"A")&gt;0,"A",IF(COUNTIFS(Attendance!$B$5:$B$304,$B24,Attendance!$A$5:$A$304,R$9,Attendance!$F$5:$F$304,"L")&gt;0,"L",""))))</f>
        <v/>
      </c>
      <c r="S24" s="62" t="str">
        <f aca="false">IF($B24="","",IF(COUNTIFS(Attendance!$B$5:$B$304,$B24,Attendance!$A$5:$A$304,S$9,Attendance!$F$5:$F$304,"P")&gt;0,"P",IF(COUNTIFS(Attendance!$B$5:$B$304,$B24,Attendance!$A$5:$A$304,S$9,Attendance!$F$5:$F$304,"A")&gt;0,"A",IF(COUNTIFS(Attendance!$B$5:$B$304,$B24,Attendance!$A$5:$A$304,S$9,Attendance!$F$5:$F$304,"L")&gt;0,"L",""))))</f>
        <v/>
      </c>
      <c r="T24" s="62" t="str">
        <f aca="false">IF($B24="","",IF(COUNTIFS(Attendance!$B$5:$B$304,$B24,Attendance!$A$5:$A$304,T$9,Attendance!$F$5:$F$304,"P")&gt;0,"P",IF(COUNTIFS(Attendance!$B$5:$B$304,$B24,Attendance!$A$5:$A$304,T$9,Attendance!$F$5:$F$304,"A")&gt;0,"A",IF(COUNTIFS(Attendance!$B$5:$B$304,$B24,Attendance!$A$5:$A$304,T$9,Attendance!$F$5:$F$304,"L")&gt;0,"L",""))))</f>
        <v/>
      </c>
      <c r="U24" s="62" t="str">
        <f aca="false">IF($B24="","",IF(COUNTIFS(Attendance!$B$5:$B$304,$B24,Attendance!$A$5:$A$304,U$9,Attendance!$F$5:$F$304,"P")&gt;0,"P",IF(COUNTIFS(Attendance!$B$5:$B$304,$B24,Attendance!$A$5:$A$304,U$9,Attendance!$F$5:$F$304,"A")&gt;0,"A",IF(COUNTIFS(Attendance!$B$5:$B$304,$B24,Attendance!$A$5:$A$304,U$9,Attendance!$F$5:$F$304,"L")&gt;0,"L",""))))</f>
        <v/>
      </c>
      <c r="V24" s="62" t="str">
        <f aca="false">IF($B24="","",IF(COUNTIFS(Attendance!$B$5:$B$304,$B24,Attendance!$A$5:$A$304,V$9,Attendance!$F$5:$F$304,"P")&gt;0,"P",IF(COUNTIFS(Attendance!$B$5:$B$304,$B24,Attendance!$A$5:$A$304,V$9,Attendance!$F$5:$F$304,"A")&gt;0,"A",IF(COUNTIFS(Attendance!$B$5:$B$304,$B24,Attendance!$A$5:$A$304,V$9,Attendance!$F$5:$F$304,"L")&gt;0,"L",""))))</f>
        <v/>
      </c>
      <c r="W24" s="62" t="str">
        <f aca="false">IF($B24="","",IF(COUNTIFS(Attendance!$B$5:$B$304,$B24,Attendance!$A$5:$A$304,W$9,Attendance!$F$5:$F$304,"P")&gt;0,"P",IF(COUNTIFS(Attendance!$B$5:$B$304,$B24,Attendance!$A$5:$A$304,W$9,Attendance!$F$5:$F$304,"A")&gt;0,"A",IF(COUNTIFS(Attendance!$B$5:$B$304,$B24,Attendance!$A$5:$A$304,W$9,Attendance!$F$5:$F$304,"L")&gt;0,"L",""))))</f>
        <v/>
      </c>
      <c r="X24" s="62" t="str">
        <f aca="false">IF($B24="","",IF(COUNTIFS(Attendance!$B$5:$B$304,$B24,Attendance!$A$5:$A$304,X$9,Attendance!$F$5:$F$304,"P")&gt;0,"P",IF(COUNTIFS(Attendance!$B$5:$B$304,$B24,Attendance!$A$5:$A$304,X$9,Attendance!$F$5:$F$304,"A")&gt;0,"A",IF(COUNTIFS(Attendance!$B$5:$B$304,$B24,Attendance!$A$5:$A$304,X$9,Attendance!$F$5:$F$304,"L")&gt;0,"L",""))))</f>
        <v/>
      </c>
      <c r="Y24" s="59" t="str">
        <f aca="false">IF($B24="","",COUNTIFS(Attendance!$B$5:$B$304,$B24,Attendance!$F$5:$F$304,"P",Attendance!$A$5:$A$304,"&gt;="&amp;$AF$4,Attendance!$A$5:$A$304,"&lt;="&amp;$AF$5))</f>
        <v/>
      </c>
      <c r="Z24" s="59" t="str">
        <f aca="false">IF($B24="","",COUNTIFS(Attendance!$B$5:$B$304,$B24,Attendance!$F$5:$F$304,"A",Attendance!$A$5:$A$304,"&gt;="&amp;$AF$4,Attendance!$A$5:$A$304,"&lt;="&amp;$AF$5))</f>
        <v/>
      </c>
      <c r="AA24" s="59" t="str">
        <f aca="false">IF($B24="","",COUNTIFS(Attendance!$B$5:$B$304,$B24,Attendance!$F$5:$F$304,"L",Attendance!$A$5:$A$304,"&gt;="&amp;$AF$4,Attendance!$A$5:$A$304,"&lt;="&amp;$AF$5))</f>
        <v/>
      </c>
      <c r="AB24" s="59" t="str">
        <f aca="false">IF($B24="","",SUM(Y24:AA24))</f>
        <v/>
      </c>
      <c r="AC24" s="63" t="str">
        <f aca="false">IF($B24="","",IF(AB24=0,"-",(Y24+AA24)/AB24))</f>
        <v/>
      </c>
    </row>
    <row r="25" customFormat="false" ht="19.5" hidden="false" customHeight="true" outlineLevel="0" collapsed="false">
      <c r="A25" s="59" t="str">
        <f aca="false">IF($B25="","",16)</f>
        <v/>
      </c>
      <c r="B25" s="59" t="str">
        <f aca="false">IFERROR(INDEX(Students!$A$5:$A$304,MATCH($C$4&amp;"|"&amp;$C$5&amp;"|"&amp;16,Students!$O$5:$O$304,0)),"")</f>
        <v/>
      </c>
      <c r="C25" s="60" t="str">
        <f aca="false">IF($B25="","",INDEX(Students!$B$5:$B$304,MATCH($B25,Students!$A$5:$A$304,0)))</f>
        <v/>
      </c>
      <c r="D25" s="61"/>
      <c r="E25" s="62" t="str">
        <f aca="false">IF($B25="","",IF(COUNTIFS(Attendance!$B$5:$B$304,$B25,Attendance!$A$5:$A$304,E$9,Attendance!$F$5:$F$304,"P")&gt;0,"P",IF(COUNTIFS(Attendance!$B$5:$B$304,$B25,Attendance!$A$5:$A$304,E$9,Attendance!$F$5:$F$304,"A")&gt;0,"A",IF(COUNTIFS(Attendance!$B$5:$B$304,$B25,Attendance!$A$5:$A$304,E$9,Attendance!$F$5:$F$304,"L")&gt;0,"L",""))))</f>
        <v/>
      </c>
      <c r="F25" s="62" t="str">
        <f aca="false">IF($B25="","",IF(COUNTIFS(Attendance!$B$5:$B$304,$B25,Attendance!$A$5:$A$304,F$9,Attendance!$F$5:$F$304,"P")&gt;0,"P",IF(COUNTIFS(Attendance!$B$5:$B$304,$B25,Attendance!$A$5:$A$304,F$9,Attendance!$F$5:$F$304,"A")&gt;0,"A",IF(COUNTIFS(Attendance!$B$5:$B$304,$B25,Attendance!$A$5:$A$304,F$9,Attendance!$F$5:$F$304,"L")&gt;0,"L",""))))</f>
        <v/>
      </c>
      <c r="G25" s="62" t="str">
        <f aca="false">IF($B25="","",IF(COUNTIFS(Attendance!$B$5:$B$304,$B25,Attendance!$A$5:$A$304,G$9,Attendance!$F$5:$F$304,"P")&gt;0,"P",IF(COUNTIFS(Attendance!$B$5:$B$304,$B25,Attendance!$A$5:$A$304,G$9,Attendance!$F$5:$F$304,"A")&gt;0,"A",IF(COUNTIFS(Attendance!$B$5:$B$304,$B25,Attendance!$A$5:$A$304,G$9,Attendance!$F$5:$F$304,"L")&gt;0,"L",""))))</f>
        <v/>
      </c>
      <c r="H25" s="62" t="str">
        <f aca="false">IF($B25="","",IF(COUNTIFS(Attendance!$B$5:$B$304,$B25,Attendance!$A$5:$A$304,H$9,Attendance!$F$5:$F$304,"P")&gt;0,"P",IF(COUNTIFS(Attendance!$B$5:$B$304,$B25,Attendance!$A$5:$A$304,H$9,Attendance!$F$5:$F$304,"A")&gt;0,"A",IF(COUNTIFS(Attendance!$B$5:$B$304,$B25,Attendance!$A$5:$A$304,H$9,Attendance!$F$5:$F$304,"L")&gt;0,"L",""))))</f>
        <v/>
      </c>
      <c r="I25" s="62" t="str">
        <f aca="false">IF($B25="","",IF(COUNTIFS(Attendance!$B$5:$B$304,$B25,Attendance!$A$5:$A$304,I$9,Attendance!$F$5:$F$304,"P")&gt;0,"P",IF(COUNTIFS(Attendance!$B$5:$B$304,$B25,Attendance!$A$5:$A$304,I$9,Attendance!$F$5:$F$304,"A")&gt;0,"A",IF(COUNTIFS(Attendance!$B$5:$B$304,$B25,Attendance!$A$5:$A$304,I$9,Attendance!$F$5:$F$304,"L")&gt;0,"L",""))))</f>
        <v/>
      </c>
      <c r="J25" s="62" t="str">
        <f aca="false">IF($B25="","",IF(COUNTIFS(Attendance!$B$5:$B$304,$B25,Attendance!$A$5:$A$304,J$9,Attendance!$F$5:$F$304,"P")&gt;0,"P",IF(COUNTIFS(Attendance!$B$5:$B$304,$B25,Attendance!$A$5:$A$304,J$9,Attendance!$F$5:$F$304,"A")&gt;0,"A",IF(COUNTIFS(Attendance!$B$5:$B$304,$B25,Attendance!$A$5:$A$304,J$9,Attendance!$F$5:$F$304,"L")&gt;0,"L",""))))</f>
        <v/>
      </c>
      <c r="K25" s="62" t="str">
        <f aca="false">IF($B25="","",IF(COUNTIFS(Attendance!$B$5:$B$304,$B25,Attendance!$A$5:$A$304,K$9,Attendance!$F$5:$F$304,"P")&gt;0,"P",IF(COUNTIFS(Attendance!$B$5:$B$304,$B25,Attendance!$A$5:$A$304,K$9,Attendance!$F$5:$F$304,"A")&gt;0,"A",IF(COUNTIFS(Attendance!$B$5:$B$304,$B25,Attendance!$A$5:$A$304,K$9,Attendance!$F$5:$F$304,"L")&gt;0,"L",""))))</f>
        <v/>
      </c>
      <c r="L25" s="62" t="str">
        <f aca="false">IF($B25="","",IF(COUNTIFS(Attendance!$B$5:$B$304,$B25,Attendance!$A$5:$A$304,L$9,Attendance!$F$5:$F$304,"P")&gt;0,"P",IF(COUNTIFS(Attendance!$B$5:$B$304,$B25,Attendance!$A$5:$A$304,L$9,Attendance!$F$5:$F$304,"A")&gt;0,"A",IF(COUNTIFS(Attendance!$B$5:$B$304,$B25,Attendance!$A$5:$A$304,L$9,Attendance!$F$5:$F$304,"L")&gt;0,"L",""))))</f>
        <v/>
      </c>
      <c r="M25" s="62" t="str">
        <f aca="false">IF($B25="","",IF(COUNTIFS(Attendance!$B$5:$B$304,$B25,Attendance!$A$5:$A$304,M$9,Attendance!$F$5:$F$304,"P")&gt;0,"P",IF(COUNTIFS(Attendance!$B$5:$B$304,$B25,Attendance!$A$5:$A$304,M$9,Attendance!$F$5:$F$304,"A")&gt;0,"A",IF(COUNTIFS(Attendance!$B$5:$B$304,$B25,Attendance!$A$5:$A$304,M$9,Attendance!$F$5:$F$304,"L")&gt;0,"L",""))))</f>
        <v/>
      </c>
      <c r="N25" s="62" t="str">
        <f aca="false">IF($B25="","",IF(COUNTIFS(Attendance!$B$5:$B$304,$B25,Attendance!$A$5:$A$304,N$9,Attendance!$F$5:$F$304,"P")&gt;0,"P",IF(COUNTIFS(Attendance!$B$5:$B$304,$B25,Attendance!$A$5:$A$304,N$9,Attendance!$F$5:$F$304,"A")&gt;0,"A",IF(COUNTIFS(Attendance!$B$5:$B$304,$B25,Attendance!$A$5:$A$304,N$9,Attendance!$F$5:$F$304,"L")&gt;0,"L",""))))</f>
        <v/>
      </c>
      <c r="O25" s="62" t="str">
        <f aca="false">IF($B25="","",IF(COUNTIFS(Attendance!$B$5:$B$304,$B25,Attendance!$A$5:$A$304,O$9,Attendance!$F$5:$F$304,"P")&gt;0,"P",IF(COUNTIFS(Attendance!$B$5:$B$304,$B25,Attendance!$A$5:$A$304,O$9,Attendance!$F$5:$F$304,"A")&gt;0,"A",IF(COUNTIFS(Attendance!$B$5:$B$304,$B25,Attendance!$A$5:$A$304,O$9,Attendance!$F$5:$F$304,"L")&gt;0,"L",""))))</f>
        <v/>
      </c>
      <c r="P25" s="62" t="str">
        <f aca="false">IF($B25="","",IF(COUNTIFS(Attendance!$B$5:$B$304,$B25,Attendance!$A$5:$A$304,P$9,Attendance!$F$5:$F$304,"P")&gt;0,"P",IF(COUNTIFS(Attendance!$B$5:$B$304,$B25,Attendance!$A$5:$A$304,P$9,Attendance!$F$5:$F$304,"A")&gt;0,"A",IF(COUNTIFS(Attendance!$B$5:$B$304,$B25,Attendance!$A$5:$A$304,P$9,Attendance!$F$5:$F$304,"L")&gt;0,"L",""))))</f>
        <v/>
      </c>
      <c r="Q25" s="62" t="str">
        <f aca="false">IF($B25="","",IF(COUNTIFS(Attendance!$B$5:$B$304,$B25,Attendance!$A$5:$A$304,Q$9,Attendance!$F$5:$F$304,"P")&gt;0,"P",IF(COUNTIFS(Attendance!$B$5:$B$304,$B25,Attendance!$A$5:$A$304,Q$9,Attendance!$F$5:$F$304,"A")&gt;0,"A",IF(COUNTIFS(Attendance!$B$5:$B$304,$B25,Attendance!$A$5:$A$304,Q$9,Attendance!$F$5:$F$304,"L")&gt;0,"L",""))))</f>
        <v/>
      </c>
      <c r="R25" s="62" t="str">
        <f aca="false">IF($B25="","",IF(COUNTIFS(Attendance!$B$5:$B$304,$B25,Attendance!$A$5:$A$304,R$9,Attendance!$F$5:$F$304,"P")&gt;0,"P",IF(COUNTIFS(Attendance!$B$5:$B$304,$B25,Attendance!$A$5:$A$304,R$9,Attendance!$F$5:$F$304,"A")&gt;0,"A",IF(COUNTIFS(Attendance!$B$5:$B$304,$B25,Attendance!$A$5:$A$304,R$9,Attendance!$F$5:$F$304,"L")&gt;0,"L",""))))</f>
        <v/>
      </c>
      <c r="S25" s="62" t="str">
        <f aca="false">IF($B25="","",IF(COUNTIFS(Attendance!$B$5:$B$304,$B25,Attendance!$A$5:$A$304,S$9,Attendance!$F$5:$F$304,"P")&gt;0,"P",IF(COUNTIFS(Attendance!$B$5:$B$304,$B25,Attendance!$A$5:$A$304,S$9,Attendance!$F$5:$F$304,"A")&gt;0,"A",IF(COUNTIFS(Attendance!$B$5:$B$304,$B25,Attendance!$A$5:$A$304,S$9,Attendance!$F$5:$F$304,"L")&gt;0,"L",""))))</f>
        <v/>
      </c>
      <c r="T25" s="62" t="str">
        <f aca="false">IF($B25="","",IF(COUNTIFS(Attendance!$B$5:$B$304,$B25,Attendance!$A$5:$A$304,T$9,Attendance!$F$5:$F$304,"P")&gt;0,"P",IF(COUNTIFS(Attendance!$B$5:$B$304,$B25,Attendance!$A$5:$A$304,T$9,Attendance!$F$5:$F$304,"A")&gt;0,"A",IF(COUNTIFS(Attendance!$B$5:$B$304,$B25,Attendance!$A$5:$A$304,T$9,Attendance!$F$5:$F$304,"L")&gt;0,"L",""))))</f>
        <v/>
      </c>
      <c r="U25" s="62" t="str">
        <f aca="false">IF($B25="","",IF(COUNTIFS(Attendance!$B$5:$B$304,$B25,Attendance!$A$5:$A$304,U$9,Attendance!$F$5:$F$304,"P")&gt;0,"P",IF(COUNTIFS(Attendance!$B$5:$B$304,$B25,Attendance!$A$5:$A$304,U$9,Attendance!$F$5:$F$304,"A")&gt;0,"A",IF(COUNTIFS(Attendance!$B$5:$B$304,$B25,Attendance!$A$5:$A$304,U$9,Attendance!$F$5:$F$304,"L")&gt;0,"L",""))))</f>
        <v/>
      </c>
      <c r="V25" s="62" t="str">
        <f aca="false">IF($B25="","",IF(COUNTIFS(Attendance!$B$5:$B$304,$B25,Attendance!$A$5:$A$304,V$9,Attendance!$F$5:$F$304,"P")&gt;0,"P",IF(COUNTIFS(Attendance!$B$5:$B$304,$B25,Attendance!$A$5:$A$304,V$9,Attendance!$F$5:$F$304,"A")&gt;0,"A",IF(COUNTIFS(Attendance!$B$5:$B$304,$B25,Attendance!$A$5:$A$304,V$9,Attendance!$F$5:$F$304,"L")&gt;0,"L",""))))</f>
        <v/>
      </c>
      <c r="W25" s="62" t="str">
        <f aca="false">IF($B25="","",IF(COUNTIFS(Attendance!$B$5:$B$304,$B25,Attendance!$A$5:$A$304,W$9,Attendance!$F$5:$F$304,"P")&gt;0,"P",IF(COUNTIFS(Attendance!$B$5:$B$304,$B25,Attendance!$A$5:$A$304,W$9,Attendance!$F$5:$F$304,"A")&gt;0,"A",IF(COUNTIFS(Attendance!$B$5:$B$304,$B25,Attendance!$A$5:$A$304,W$9,Attendance!$F$5:$F$304,"L")&gt;0,"L",""))))</f>
        <v/>
      </c>
      <c r="X25" s="62" t="str">
        <f aca="false">IF($B25="","",IF(COUNTIFS(Attendance!$B$5:$B$304,$B25,Attendance!$A$5:$A$304,X$9,Attendance!$F$5:$F$304,"P")&gt;0,"P",IF(COUNTIFS(Attendance!$B$5:$B$304,$B25,Attendance!$A$5:$A$304,X$9,Attendance!$F$5:$F$304,"A")&gt;0,"A",IF(COUNTIFS(Attendance!$B$5:$B$304,$B25,Attendance!$A$5:$A$304,X$9,Attendance!$F$5:$F$304,"L")&gt;0,"L",""))))</f>
        <v/>
      </c>
      <c r="Y25" s="59" t="str">
        <f aca="false">IF($B25="","",COUNTIFS(Attendance!$B$5:$B$304,$B25,Attendance!$F$5:$F$304,"P",Attendance!$A$5:$A$304,"&gt;="&amp;$AF$4,Attendance!$A$5:$A$304,"&lt;="&amp;$AF$5))</f>
        <v/>
      </c>
      <c r="Z25" s="59" t="str">
        <f aca="false">IF($B25="","",COUNTIFS(Attendance!$B$5:$B$304,$B25,Attendance!$F$5:$F$304,"A",Attendance!$A$5:$A$304,"&gt;="&amp;$AF$4,Attendance!$A$5:$A$304,"&lt;="&amp;$AF$5))</f>
        <v/>
      </c>
      <c r="AA25" s="59" t="str">
        <f aca="false">IF($B25="","",COUNTIFS(Attendance!$B$5:$B$304,$B25,Attendance!$F$5:$F$304,"L",Attendance!$A$5:$A$304,"&gt;="&amp;$AF$4,Attendance!$A$5:$A$304,"&lt;="&amp;$AF$5))</f>
        <v/>
      </c>
      <c r="AB25" s="59" t="str">
        <f aca="false">IF($B25="","",SUM(Y25:AA25))</f>
        <v/>
      </c>
      <c r="AC25" s="63" t="str">
        <f aca="false">IF($B25="","",IF(AB25=0,"-",(Y25+AA25)/AB25))</f>
        <v/>
      </c>
    </row>
    <row r="26" customFormat="false" ht="19.5" hidden="false" customHeight="true" outlineLevel="0" collapsed="false">
      <c r="A26" s="59" t="str">
        <f aca="false">IF($B26="","",17)</f>
        <v/>
      </c>
      <c r="B26" s="59" t="str">
        <f aca="false">IFERROR(INDEX(Students!$A$5:$A$304,MATCH($C$4&amp;"|"&amp;$C$5&amp;"|"&amp;17,Students!$O$5:$O$304,0)),"")</f>
        <v/>
      </c>
      <c r="C26" s="60" t="str">
        <f aca="false">IF($B26="","",INDEX(Students!$B$5:$B$304,MATCH($B26,Students!$A$5:$A$304,0)))</f>
        <v/>
      </c>
      <c r="D26" s="61"/>
      <c r="E26" s="62" t="str">
        <f aca="false">IF($B26="","",IF(COUNTIFS(Attendance!$B$5:$B$304,$B26,Attendance!$A$5:$A$304,E$9,Attendance!$F$5:$F$304,"P")&gt;0,"P",IF(COUNTIFS(Attendance!$B$5:$B$304,$B26,Attendance!$A$5:$A$304,E$9,Attendance!$F$5:$F$304,"A")&gt;0,"A",IF(COUNTIFS(Attendance!$B$5:$B$304,$B26,Attendance!$A$5:$A$304,E$9,Attendance!$F$5:$F$304,"L")&gt;0,"L",""))))</f>
        <v/>
      </c>
      <c r="F26" s="62" t="str">
        <f aca="false">IF($B26="","",IF(COUNTIFS(Attendance!$B$5:$B$304,$B26,Attendance!$A$5:$A$304,F$9,Attendance!$F$5:$F$304,"P")&gt;0,"P",IF(COUNTIFS(Attendance!$B$5:$B$304,$B26,Attendance!$A$5:$A$304,F$9,Attendance!$F$5:$F$304,"A")&gt;0,"A",IF(COUNTIFS(Attendance!$B$5:$B$304,$B26,Attendance!$A$5:$A$304,F$9,Attendance!$F$5:$F$304,"L")&gt;0,"L",""))))</f>
        <v/>
      </c>
      <c r="G26" s="62" t="str">
        <f aca="false">IF($B26="","",IF(COUNTIFS(Attendance!$B$5:$B$304,$B26,Attendance!$A$5:$A$304,G$9,Attendance!$F$5:$F$304,"P")&gt;0,"P",IF(COUNTIFS(Attendance!$B$5:$B$304,$B26,Attendance!$A$5:$A$304,G$9,Attendance!$F$5:$F$304,"A")&gt;0,"A",IF(COUNTIFS(Attendance!$B$5:$B$304,$B26,Attendance!$A$5:$A$304,G$9,Attendance!$F$5:$F$304,"L")&gt;0,"L",""))))</f>
        <v/>
      </c>
      <c r="H26" s="62" t="str">
        <f aca="false">IF($B26="","",IF(COUNTIFS(Attendance!$B$5:$B$304,$B26,Attendance!$A$5:$A$304,H$9,Attendance!$F$5:$F$304,"P")&gt;0,"P",IF(COUNTIFS(Attendance!$B$5:$B$304,$B26,Attendance!$A$5:$A$304,H$9,Attendance!$F$5:$F$304,"A")&gt;0,"A",IF(COUNTIFS(Attendance!$B$5:$B$304,$B26,Attendance!$A$5:$A$304,H$9,Attendance!$F$5:$F$304,"L")&gt;0,"L",""))))</f>
        <v/>
      </c>
      <c r="I26" s="62" t="str">
        <f aca="false">IF($B26="","",IF(COUNTIFS(Attendance!$B$5:$B$304,$B26,Attendance!$A$5:$A$304,I$9,Attendance!$F$5:$F$304,"P")&gt;0,"P",IF(COUNTIFS(Attendance!$B$5:$B$304,$B26,Attendance!$A$5:$A$304,I$9,Attendance!$F$5:$F$304,"A")&gt;0,"A",IF(COUNTIFS(Attendance!$B$5:$B$304,$B26,Attendance!$A$5:$A$304,I$9,Attendance!$F$5:$F$304,"L")&gt;0,"L",""))))</f>
        <v/>
      </c>
      <c r="J26" s="62" t="str">
        <f aca="false">IF($B26="","",IF(COUNTIFS(Attendance!$B$5:$B$304,$B26,Attendance!$A$5:$A$304,J$9,Attendance!$F$5:$F$304,"P")&gt;0,"P",IF(COUNTIFS(Attendance!$B$5:$B$304,$B26,Attendance!$A$5:$A$304,J$9,Attendance!$F$5:$F$304,"A")&gt;0,"A",IF(COUNTIFS(Attendance!$B$5:$B$304,$B26,Attendance!$A$5:$A$304,J$9,Attendance!$F$5:$F$304,"L")&gt;0,"L",""))))</f>
        <v/>
      </c>
      <c r="K26" s="62" t="str">
        <f aca="false">IF($B26="","",IF(COUNTIFS(Attendance!$B$5:$B$304,$B26,Attendance!$A$5:$A$304,K$9,Attendance!$F$5:$F$304,"P")&gt;0,"P",IF(COUNTIFS(Attendance!$B$5:$B$304,$B26,Attendance!$A$5:$A$304,K$9,Attendance!$F$5:$F$304,"A")&gt;0,"A",IF(COUNTIFS(Attendance!$B$5:$B$304,$B26,Attendance!$A$5:$A$304,K$9,Attendance!$F$5:$F$304,"L")&gt;0,"L",""))))</f>
        <v/>
      </c>
      <c r="L26" s="62" t="str">
        <f aca="false">IF($B26="","",IF(COUNTIFS(Attendance!$B$5:$B$304,$B26,Attendance!$A$5:$A$304,L$9,Attendance!$F$5:$F$304,"P")&gt;0,"P",IF(COUNTIFS(Attendance!$B$5:$B$304,$B26,Attendance!$A$5:$A$304,L$9,Attendance!$F$5:$F$304,"A")&gt;0,"A",IF(COUNTIFS(Attendance!$B$5:$B$304,$B26,Attendance!$A$5:$A$304,L$9,Attendance!$F$5:$F$304,"L")&gt;0,"L",""))))</f>
        <v/>
      </c>
      <c r="M26" s="62" t="str">
        <f aca="false">IF($B26="","",IF(COUNTIFS(Attendance!$B$5:$B$304,$B26,Attendance!$A$5:$A$304,M$9,Attendance!$F$5:$F$304,"P")&gt;0,"P",IF(COUNTIFS(Attendance!$B$5:$B$304,$B26,Attendance!$A$5:$A$304,M$9,Attendance!$F$5:$F$304,"A")&gt;0,"A",IF(COUNTIFS(Attendance!$B$5:$B$304,$B26,Attendance!$A$5:$A$304,M$9,Attendance!$F$5:$F$304,"L")&gt;0,"L",""))))</f>
        <v/>
      </c>
      <c r="N26" s="62" t="str">
        <f aca="false">IF($B26="","",IF(COUNTIFS(Attendance!$B$5:$B$304,$B26,Attendance!$A$5:$A$304,N$9,Attendance!$F$5:$F$304,"P")&gt;0,"P",IF(COUNTIFS(Attendance!$B$5:$B$304,$B26,Attendance!$A$5:$A$304,N$9,Attendance!$F$5:$F$304,"A")&gt;0,"A",IF(COUNTIFS(Attendance!$B$5:$B$304,$B26,Attendance!$A$5:$A$304,N$9,Attendance!$F$5:$F$304,"L")&gt;0,"L",""))))</f>
        <v/>
      </c>
      <c r="O26" s="62" t="str">
        <f aca="false">IF($B26="","",IF(COUNTIFS(Attendance!$B$5:$B$304,$B26,Attendance!$A$5:$A$304,O$9,Attendance!$F$5:$F$304,"P")&gt;0,"P",IF(COUNTIFS(Attendance!$B$5:$B$304,$B26,Attendance!$A$5:$A$304,O$9,Attendance!$F$5:$F$304,"A")&gt;0,"A",IF(COUNTIFS(Attendance!$B$5:$B$304,$B26,Attendance!$A$5:$A$304,O$9,Attendance!$F$5:$F$304,"L")&gt;0,"L",""))))</f>
        <v/>
      </c>
      <c r="P26" s="62" t="str">
        <f aca="false">IF($B26="","",IF(COUNTIFS(Attendance!$B$5:$B$304,$B26,Attendance!$A$5:$A$304,P$9,Attendance!$F$5:$F$304,"P")&gt;0,"P",IF(COUNTIFS(Attendance!$B$5:$B$304,$B26,Attendance!$A$5:$A$304,P$9,Attendance!$F$5:$F$304,"A")&gt;0,"A",IF(COUNTIFS(Attendance!$B$5:$B$304,$B26,Attendance!$A$5:$A$304,P$9,Attendance!$F$5:$F$304,"L")&gt;0,"L",""))))</f>
        <v/>
      </c>
      <c r="Q26" s="62" t="str">
        <f aca="false">IF($B26="","",IF(COUNTIFS(Attendance!$B$5:$B$304,$B26,Attendance!$A$5:$A$304,Q$9,Attendance!$F$5:$F$304,"P")&gt;0,"P",IF(COUNTIFS(Attendance!$B$5:$B$304,$B26,Attendance!$A$5:$A$304,Q$9,Attendance!$F$5:$F$304,"A")&gt;0,"A",IF(COUNTIFS(Attendance!$B$5:$B$304,$B26,Attendance!$A$5:$A$304,Q$9,Attendance!$F$5:$F$304,"L")&gt;0,"L",""))))</f>
        <v/>
      </c>
      <c r="R26" s="62" t="str">
        <f aca="false">IF($B26="","",IF(COUNTIFS(Attendance!$B$5:$B$304,$B26,Attendance!$A$5:$A$304,R$9,Attendance!$F$5:$F$304,"P")&gt;0,"P",IF(COUNTIFS(Attendance!$B$5:$B$304,$B26,Attendance!$A$5:$A$304,R$9,Attendance!$F$5:$F$304,"A")&gt;0,"A",IF(COUNTIFS(Attendance!$B$5:$B$304,$B26,Attendance!$A$5:$A$304,R$9,Attendance!$F$5:$F$304,"L")&gt;0,"L",""))))</f>
        <v/>
      </c>
      <c r="S26" s="62" t="str">
        <f aca="false">IF($B26="","",IF(COUNTIFS(Attendance!$B$5:$B$304,$B26,Attendance!$A$5:$A$304,S$9,Attendance!$F$5:$F$304,"P")&gt;0,"P",IF(COUNTIFS(Attendance!$B$5:$B$304,$B26,Attendance!$A$5:$A$304,S$9,Attendance!$F$5:$F$304,"A")&gt;0,"A",IF(COUNTIFS(Attendance!$B$5:$B$304,$B26,Attendance!$A$5:$A$304,S$9,Attendance!$F$5:$F$304,"L")&gt;0,"L",""))))</f>
        <v/>
      </c>
      <c r="T26" s="62" t="str">
        <f aca="false">IF($B26="","",IF(COUNTIFS(Attendance!$B$5:$B$304,$B26,Attendance!$A$5:$A$304,T$9,Attendance!$F$5:$F$304,"P")&gt;0,"P",IF(COUNTIFS(Attendance!$B$5:$B$304,$B26,Attendance!$A$5:$A$304,T$9,Attendance!$F$5:$F$304,"A")&gt;0,"A",IF(COUNTIFS(Attendance!$B$5:$B$304,$B26,Attendance!$A$5:$A$304,T$9,Attendance!$F$5:$F$304,"L")&gt;0,"L",""))))</f>
        <v/>
      </c>
      <c r="U26" s="62" t="str">
        <f aca="false">IF($B26="","",IF(COUNTIFS(Attendance!$B$5:$B$304,$B26,Attendance!$A$5:$A$304,U$9,Attendance!$F$5:$F$304,"P")&gt;0,"P",IF(COUNTIFS(Attendance!$B$5:$B$304,$B26,Attendance!$A$5:$A$304,U$9,Attendance!$F$5:$F$304,"A")&gt;0,"A",IF(COUNTIFS(Attendance!$B$5:$B$304,$B26,Attendance!$A$5:$A$304,U$9,Attendance!$F$5:$F$304,"L")&gt;0,"L",""))))</f>
        <v/>
      </c>
      <c r="V26" s="62" t="str">
        <f aca="false">IF($B26="","",IF(COUNTIFS(Attendance!$B$5:$B$304,$B26,Attendance!$A$5:$A$304,V$9,Attendance!$F$5:$F$304,"P")&gt;0,"P",IF(COUNTIFS(Attendance!$B$5:$B$304,$B26,Attendance!$A$5:$A$304,V$9,Attendance!$F$5:$F$304,"A")&gt;0,"A",IF(COUNTIFS(Attendance!$B$5:$B$304,$B26,Attendance!$A$5:$A$304,V$9,Attendance!$F$5:$F$304,"L")&gt;0,"L",""))))</f>
        <v/>
      </c>
      <c r="W26" s="62" t="str">
        <f aca="false">IF($B26="","",IF(COUNTIFS(Attendance!$B$5:$B$304,$B26,Attendance!$A$5:$A$304,W$9,Attendance!$F$5:$F$304,"P")&gt;0,"P",IF(COUNTIFS(Attendance!$B$5:$B$304,$B26,Attendance!$A$5:$A$304,W$9,Attendance!$F$5:$F$304,"A")&gt;0,"A",IF(COUNTIFS(Attendance!$B$5:$B$304,$B26,Attendance!$A$5:$A$304,W$9,Attendance!$F$5:$F$304,"L")&gt;0,"L",""))))</f>
        <v/>
      </c>
      <c r="X26" s="62" t="str">
        <f aca="false">IF($B26="","",IF(COUNTIFS(Attendance!$B$5:$B$304,$B26,Attendance!$A$5:$A$304,X$9,Attendance!$F$5:$F$304,"P")&gt;0,"P",IF(COUNTIFS(Attendance!$B$5:$B$304,$B26,Attendance!$A$5:$A$304,X$9,Attendance!$F$5:$F$304,"A")&gt;0,"A",IF(COUNTIFS(Attendance!$B$5:$B$304,$B26,Attendance!$A$5:$A$304,X$9,Attendance!$F$5:$F$304,"L")&gt;0,"L",""))))</f>
        <v/>
      </c>
      <c r="Y26" s="59" t="str">
        <f aca="false">IF($B26="","",COUNTIFS(Attendance!$B$5:$B$304,$B26,Attendance!$F$5:$F$304,"P",Attendance!$A$5:$A$304,"&gt;="&amp;$AF$4,Attendance!$A$5:$A$304,"&lt;="&amp;$AF$5))</f>
        <v/>
      </c>
      <c r="Z26" s="59" t="str">
        <f aca="false">IF($B26="","",COUNTIFS(Attendance!$B$5:$B$304,$B26,Attendance!$F$5:$F$304,"A",Attendance!$A$5:$A$304,"&gt;="&amp;$AF$4,Attendance!$A$5:$A$304,"&lt;="&amp;$AF$5))</f>
        <v/>
      </c>
      <c r="AA26" s="59" t="str">
        <f aca="false">IF($B26="","",COUNTIFS(Attendance!$B$5:$B$304,$B26,Attendance!$F$5:$F$304,"L",Attendance!$A$5:$A$304,"&gt;="&amp;$AF$4,Attendance!$A$5:$A$304,"&lt;="&amp;$AF$5))</f>
        <v/>
      </c>
      <c r="AB26" s="59" t="str">
        <f aca="false">IF($B26="","",SUM(Y26:AA26))</f>
        <v/>
      </c>
      <c r="AC26" s="63" t="str">
        <f aca="false">IF($B26="","",IF(AB26=0,"-",(Y26+AA26)/AB26))</f>
        <v/>
      </c>
    </row>
    <row r="27" customFormat="false" ht="19.5" hidden="false" customHeight="true" outlineLevel="0" collapsed="false">
      <c r="A27" s="59" t="str">
        <f aca="false">IF($B27="","",18)</f>
        <v/>
      </c>
      <c r="B27" s="59" t="str">
        <f aca="false">IFERROR(INDEX(Students!$A$5:$A$304,MATCH($C$4&amp;"|"&amp;$C$5&amp;"|"&amp;18,Students!$O$5:$O$304,0)),"")</f>
        <v/>
      </c>
      <c r="C27" s="60" t="str">
        <f aca="false">IF($B27="","",INDEX(Students!$B$5:$B$304,MATCH($B27,Students!$A$5:$A$304,0)))</f>
        <v/>
      </c>
      <c r="D27" s="61"/>
      <c r="E27" s="62" t="str">
        <f aca="false">IF($B27="","",IF(COUNTIFS(Attendance!$B$5:$B$304,$B27,Attendance!$A$5:$A$304,E$9,Attendance!$F$5:$F$304,"P")&gt;0,"P",IF(COUNTIFS(Attendance!$B$5:$B$304,$B27,Attendance!$A$5:$A$304,E$9,Attendance!$F$5:$F$304,"A")&gt;0,"A",IF(COUNTIFS(Attendance!$B$5:$B$304,$B27,Attendance!$A$5:$A$304,E$9,Attendance!$F$5:$F$304,"L")&gt;0,"L",""))))</f>
        <v/>
      </c>
      <c r="F27" s="62" t="str">
        <f aca="false">IF($B27="","",IF(COUNTIFS(Attendance!$B$5:$B$304,$B27,Attendance!$A$5:$A$304,F$9,Attendance!$F$5:$F$304,"P")&gt;0,"P",IF(COUNTIFS(Attendance!$B$5:$B$304,$B27,Attendance!$A$5:$A$304,F$9,Attendance!$F$5:$F$304,"A")&gt;0,"A",IF(COUNTIFS(Attendance!$B$5:$B$304,$B27,Attendance!$A$5:$A$304,F$9,Attendance!$F$5:$F$304,"L")&gt;0,"L",""))))</f>
        <v/>
      </c>
      <c r="G27" s="62" t="str">
        <f aca="false">IF($B27="","",IF(COUNTIFS(Attendance!$B$5:$B$304,$B27,Attendance!$A$5:$A$304,G$9,Attendance!$F$5:$F$304,"P")&gt;0,"P",IF(COUNTIFS(Attendance!$B$5:$B$304,$B27,Attendance!$A$5:$A$304,G$9,Attendance!$F$5:$F$304,"A")&gt;0,"A",IF(COUNTIFS(Attendance!$B$5:$B$304,$B27,Attendance!$A$5:$A$304,G$9,Attendance!$F$5:$F$304,"L")&gt;0,"L",""))))</f>
        <v/>
      </c>
      <c r="H27" s="62" t="str">
        <f aca="false">IF($B27="","",IF(COUNTIFS(Attendance!$B$5:$B$304,$B27,Attendance!$A$5:$A$304,H$9,Attendance!$F$5:$F$304,"P")&gt;0,"P",IF(COUNTIFS(Attendance!$B$5:$B$304,$B27,Attendance!$A$5:$A$304,H$9,Attendance!$F$5:$F$304,"A")&gt;0,"A",IF(COUNTIFS(Attendance!$B$5:$B$304,$B27,Attendance!$A$5:$A$304,H$9,Attendance!$F$5:$F$304,"L")&gt;0,"L",""))))</f>
        <v/>
      </c>
      <c r="I27" s="62" t="str">
        <f aca="false">IF($B27="","",IF(COUNTIFS(Attendance!$B$5:$B$304,$B27,Attendance!$A$5:$A$304,I$9,Attendance!$F$5:$F$304,"P")&gt;0,"P",IF(COUNTIFS(Attendance!$B$5:$B$304,$B27,Attendance!$A$5:$A$304,I$9,Attendance!$F$5:$F$304,"A")&gt;0,"A",IF(COUNTIFS(Attendance!$B$5:$B$304,$B27,Attendance!$A$5:$A$304,I$9,Attendance!$F$5:$F$304,"L")&gt;0,"L",""))))</f>
        <v/>
      </c>
      <c r="J27" s="62" t="str">
        <f aca="false">IF($B27="","",IF(COUNTIFS(Attendance!$B$5:$B$304,$B27,Attendance!$A$5:$A$304,J$9,Attendance!$F$5:$F$304,"P")&gt;0,"P",IF(COUNTIFS(Attendance!$B$5:$B$304,$B27,Attendance!$A$5:$A$304,J$9,Attendance!$F$5:$F$304,"A")&gt;0,"A",IF(COUNTIFS(Attendance!$B$5:$B$304,$B27,Attendance!$A$5:$A$304,J$9,Attendance!$F$5:$F$304,"L")&gt;0,"L",""))))</f>
        <v/>
      </c>
      <c r="K27" s="62" t="str">
        <f aca="false">IF($B27="","",IF(COUNTIFS(Attendance!$B$5:$B$304,$B27,Attendance!$A$5:$A$304,K$9,Attendance!$F$5:$F$304,"P")&gt;0,"P",IF(COUNTIFS(Attendance!$B$5:$B$304,$B27,Attendance!$A$5:$A$304,K$9,Attendance!$F$5:$F$304,"A")&gt;0,"A",IF(COUNTIFS(Attendance!$B$5:$B$304,$B27,Attendance!$A$5:$A$304,K$9,Attendance!$F$5:$F$304,"L")&gt;0,"L",""))))</f>
        <v/>
      </c>
      <c r="L27" s="62" t="str">
        <f aca="false">IF($B27="","",IF(COUNTIFS(Attendance!$B$5:$B$304,$B27,Attendance!$A$5:$A$304,L$9,Attendance!$F$5:$F$304,"P")&gt;0,"P",IF(COUNTIFS(Attendance!$B$5:$B$304,$B27,Attendance!$A$5:$A$304,L$9,Attendance!$F$5:$F$304,"A")&gt;0,"A",IF(COUNTIFS(Attendance!$B$5:$B$304,$B27,Attendance!$A$5:$A$304,L$9,Attendance!$F$5:$F$304,"L")&gt;0,"L",""))))</f>
        <v/>
      </c>
      <c r="M27" s="62" t="str">
        <f aca="false">IF($B27="","",IF(COUNTIFS(Attendance!$B$5:$B$304,$B27,Attendance!$A$5:$A$304,M$9,Attendance!$F$5:$F$304,"P")&gt;0,"P",IF(COUNTIFS(Attendance!$B$5:$B$304,$B27,Attendance!$A$5:$A$304,M$9,Attendance!$F$5:$F$304,"A")&gt;0,"A",IF(COUNTIFS(Attendance!$B$5:$B$304,$B27,Attendance!$A$5:$A$304,M$9,Attendance!$F$5:$F$304,"L")&gt;0,"L",""))))</f>
        <v/>
      </c>
      <c r="N27" s="62" t="str">
        <f aca="false">IF($B27="","",IF(COUNTIFS(Attendance!$B$5:$B$304,$B27,Attendance!$A$5:$A$304,N$9,Attendance!$F$5:$F$304,"P")&gt;0,"P",IF(COUNTIFS(Attendance!$B$5:$B$304,$B27,Attendance!$A$5:$A$304,N$9,Attendance!$F$5:$F$304,"A")&gt;0,"A",IF(COUNTIFS(Attendance!$B$5:$B$304,$B27,Attendance!$A$5:$A$304,N$9,Attendance!$F$5:$F$304,"L")&gt;0,"L",""))))</f>
        <v/>
      </c>
      <c r="O27" s="62" t="str">
        <f aca="false">IF($B27="","",IF(COUNTIFS(Attendance!$B$5:$B$304,$B27,Attendance!$A$5:$A$304,O$9,Attendance!$F$5:$F$304,"P")&gt;0,"P",IF(COUNTIFS(Attendance!$B$5:$B$304,$B27,Attendance!$A$5:$A$304,O$9,Attendance!$F$5:$F$304,"A")&gt;0,"A",IF(COUNTIFS(Attendance!$B$5:$B$304,$B27,Attendance!$A$5:$A$304,O$9,Attendance!$F$5:$F$304,"L")&gt;0,"L",""))))</f>
        <v/>
      </c>
      <c r="P27" s="62" t="str">
        <f aca="false">IF($B27="","",IF(COUNTIFS(Attendance!$B$5:$B$304,$B27,Attendance!$A$5:$A$304,P$9,Attendance!$F$5:$F$304,"P")&gt;0,"P",IF(COUNTIFS(Attendance!$B$5:$B$304,$B27,Attendance!$A$5:$A$304,P$9,Attendance!$F$5:$F$304,"A")&gt;0,"A",IF(COUNTIFS(Attendance!$B$5:$B$304,$B27,Attendance!$A$5:$A$304,P$9,Attendance!$F$5:$F$304,"L")&gt;0,"L",""))))</f>
        <v/>
      </c>
      <c r="Q27" s="62" t="str">
        <f aca="false">IF($B27="","",IF(COUNTIFS(Attendance!$B$5:$B$304,$B27,Attendance!$A$5:$A$304,Q$9,Attendance!$F$5:$F$304,"P")&gt;0,"P",IF(COUNTIFS(Attendance!$B$5:$B$304,$B27,Attendance!$A$5:$A$304,Q$9,Attendance!$F$5:$F$304,"A")&gt;0,"A",IF(COUNTIFS(Attendance!$B$5:$B$304,$B27,Attendance!$A$5:$A$304,Q$9,Attendance!$F$5:$F$304,"L")&gt;0,"L",""))))</f>
        <v/>
      </c>
      <c r="R27" s="62" t="str">
        <f aca="false">IF($B27="","",IF(COUNTIFS(Attendance!$B$5:$B$304,$B27,Attendance!$A$5:$A$304,R$9,Attendance!$F$5:$F$304,"P")&gt;0,"P",IF(COUNTIFS(Attendance!$B$5:$B$304,$B27,Attendance!$A$5:$A$304,R$9,Attendance!$F$5:$F$304,"A")&gt;0,"A",IF(COUNTIFS(Attendance!$B$5:$B$304,$B27,Attendance!$A$5:$A$304,R$9,Attendance!$F$5:$F$304,"L")&gt;0,"L",""))))</f>
        <v/>
      </c>
      <c r="S27" s="62" t="str">
        <f aca="false">IF($B27="","",IF(COUNTIFS(Attendance!$B$5:$B$304,$B27,Attendance!$A$5:$A$304,S$9,Attendance!$F$5:$F$304,"P")&gt;0,"P",IF(COUNTIFS(Attendance!$B$5:$B$304,$B27,Attendance!$A$5:$A$304,S$9,Attendance!$F$5:$F$304,"A")&gt;0,"A",IF(COUNTIFS(Attendance!$B$5:$B$304,$B27,Attendance!$A$5:$A$304,S$9,Attendance!$F$5:$F$304,"L")&gt;0,"L",""))))</f>
        <v/>
      </c>
      <c r="T27" s="62" t="str">
        <f aca="false">IF($B27="","",IF(COUNTIFS(Attendance!$B$5:$B$304,$B27,Attendance!$A$5:$A$304,T$9,Attendance!$F$5:$F$304,"P")&gt;0,"P",IF(COUNTIFS(Attendance!$B$5:$B$304,$B27,Attendance!$A$5:$A$304,T$9,Attendance!$F$5:$F$304,"A")&gt;0,"A",IF(COUNTIFS(Attendance!$B$5:$B$304,$B27,Attendance!$A$5:$A$304,T$9,Attendance!$F$5:$F$304,"L")&gt;0,"L",""))))</f>
        <v/>
      </c>
      <c r="U27" s="62" t="str">
        <f aca="false">IF($B27="","",IF(COUNTIFS(Attendance!$B$5:$B$304,$B27,Attendance!$A$5:$A$304,U$9,Attendance!$F$5:$F$304,"P")&gt;0,"P",IF(COUNTIFS(Attendance!$B$5:$B$304,$B27,Attendance!$A$5:$A$304,U$9,Attendance!$F$5:$F$304,"A")&gt;0,"A",IF(COUNTIFS(Attendance!$B$5:$B$304,$B27,Attendance!$A$5:$A$304,U$9,Attendance!$F$5:$F$304,"L")&gt;0,"L",""))))</f>
        <v/>
      </c>
      <c r="V27" s="62" t="str">
        <f aca="false">IF($B27="","",IF(COUNTIFS(Attendance!$B$5:$B$304,$B27,Attendance!$A$5:$A$304,V$9,Attendance!$F$5:$F$304,"P")&gt;0,"P",IF(COUNTIFS(Attendance!$B$5:$B$304,$B27,Attendance!$A$5:$A$304,V$9,Attendance!$F$5:$F$304,"A")&gt;0,"A",IF(COUNTIFS(Attendance!$B$5:$B$304,$B27,Attendance!$A$5:$A$304,V$9,Attendance!$F$5:$F$304,"L")&gt;0,"L",""))))</f>
        <v/>
      </c>
      <c r="W27" s="62" t="str">
        <f aca="false">IF($B27="","",IF(COUNTIFS(Attendance!$B$5:$B$304,$B27,Attendance!$A$5:$A$304,W$9,Attendance!$F$5:$F$304,"P")&gt;0,"P",IF(COUNTIFS(Attendance!$B$5:$B$304,$B27,Attendance!$A$5:$A$304,W$9,Attendance!$F$5:$F$304,"A")&gt;0,"A",IF(COUNTIFS(Attendance!$B$5:$B$304,$B27,Attendance!$A$5:$A$304,W$9,Attendance!$F$5:$F$304,"L")&gt;0,"L",""))))</f>
        <v/>
      </c>
      <c r="X27" s="62" t="str">
        <f aca="false">IF($B27="","",IF(COUNTIFS(Attendance!$B$5:$B$304,$B27,Attendance!$A$5:$A$304,X$9,Attendance!$F$5:$F$304,"P")&gt;0,"P",IF(COUNTIFS(Attendance!$B$5:$B$304,$B27,Attendance!$A$5:$A$304,X$9,Attendance!$F$5:$F$304,"A")&gt;0,"A",IF(COUNTIFS(Attendance!$B$5:$B$304,$B27,Attendance!$A$5:$A$304,X$9,Attendance!$F$5:$F$304,"L")&gt;0,"L",""))))</f>
        <v/>
      </c>
      <c r="Y27" s="59" t="str">
        <f aca="false">IF($B27="","",COUNTIFS(Attendance!$B$5:$B$304,$B27,Attendance!$F$5:$F$304,"P",Attendance!$A$5:$A$304,"&gt;="&amp;$AF$4,Attendance!$A$5:$A$304,"&lt;="&amp;$AF$5))</f>
        <v/>
      </c>
      <c r="Z27" s="59" t="str">
        <f aca="false">IF($B27="","",COUNTIFS(Attendance!$B$5:$B$304,$B27,Attendance!$F$5:$F$304,"A",Attendance!$A$5:$A$304,"&gt;="&amp;$AF$4,Attendance!$A$5:$A$304,"&lt;="&amp;$AF$5))</f>
        <v/>
      </c>
      <c r="AA27" s="59" t="str">
        <f aca="false">IF($B27="","",COUNTIFS(Attendance!$B$5:$B$304,$B27,Attendance!$F$5:$F$304,"L",Attendance!$A$5:$A$304,"&gt;="&amp;$AF$4,Attendance!$A$5:$A$304,"&lt;="&amp;$AF$5))</f>
        <v/>
      </c>
      <c r="AB27" s="59" t="str">
        <f aca="false">IF($B27="","",SUM(Y27:AA27))</f>
        <v/>
      </c>
      <c r="AC27" s="63" t="str">
        <f aca="false">IF($B27="","",IF(AB27=0,"-",(Y27+AA27)/AB27))</f>
        <v/>
      </c>
    </row>
    <row r="28" customFormat="false" ht="19.5" hidden="false" customHeight="true" outlineLevel="0" collapsed="false">
      <c r="A28" s="59" t="str">
        <f aca="false">IF($B28="","",19)</f>
        <v/>
      </c>
      <c r="B28" s="59" t="str">
        <f aca="false">IFERROR(INDEX(Students!$A$5:$A$304,MATCH($C$4&amp;"|"&amp;$C$5&amp;"|"&amp;19,Students!$O$5:$O$304,0)),"")</f>
        <v/>
      </c>
      <c r="C28" s="60" t="str">
        <f aca="false">IF($B28="","",INDEX(Students!$B$5:$B$304,MATCH($B28,Students!$A$5:$A$304,0)))</f>
        <v/>
      </c>
      <c r="D28" s="61"/>
      <c r="E28" s="62" t="str">
        <f aca="false">IF($B28="","",IF(COUNTIFS(Attendance!$B$5:$B$304,$B28,Attendance!$A$5:$A$304,E$9,Attendance!$F$5:$F$304,"P")&gt;0,"P",IF(COUNTIFS(Attendance!$B$5:$B$304,$B28,Attendance!$A$5:$A$304,E$9,Attendance!$F$5:$F$304,"A")&gt;0,"A",IF(COUNTIFS(Attendance!$B$5:$B$304,$B28,Attendance!$A$5:$A$304,E$9,Attendance!$F$5:$F$304,"L")&gt;0,"L",""))))</f>
        <v/>
      </c>
      <c r="F28" s="62" t="str">
        <f aca="false">IF($B28="","",IF(COUNTIFS(Attendance!$B$5:$B$304,$B28,Attendance!$A$5:$A$304,F$9,Attendance!$F$5:$F$304,"P")&gt;0,"P",IF(COUNTIFS(Attendance!$B$5:$B$304,$B28,Attendance!$A$5:$A$304,F$9,Attendance!$F$5:$F$304,"A")&gt;0,"A",IF(COUNTIFS(Attendance!$B$5:$B$304,$B28,Attendance!$A$5:$A$304,F$9,Attendance!$F$5:$F$304,"L")&gt;0,"L",""))))</f>
        <v/>
      </c>
      <c r="G28" s="62" t="str">
        <f aca="false">IF($B28="","",IF(COUNTIFS(Attendance!$B$5:$B$304,$B28,Attendance!$A$5:$A$304,G$9,Attendance!$F$5:$F$304,"P")&gt;0,"P",IF(COUNTIFS(Attendance!$B$5:$B$304,$B28,Attendance!$A$5:$A$304,G$9,Attendance!$F$5:$F$304,"A")&gt;0,"A",IF(COUNTIFS(Attendance!$B$5:$B$304,$B28,Attendance!$A$5:$A$304,G$9,Attendance!$F$5:$F$304,"L")&gt;0,"L",""))))</f>
        <v/>
      </c>
      <c r="H28" s="62" t="str">
        <f aca="false">IF($B28="","",IF(COUNTIFS(Attendance!$B$5:$B$304,$B28,Attendance!$A$5:$A$304,H$9,Attendance!$F$5:$F$304,"P")&gt;0,"P",IF(COUNTIFS(Attendance!$B$5:$B$304,$B28,Attendance!$A$5:$A$304,H$9,Attendance!$F$5:$F$304,"A")&gt;0,"A",IF(COUNTIFS(Attendance!$B$5:$B$304,$B28,Attendance!$A$5:$A$304,H$9,Attendance!$F$5:$F$304,"L")&gt;0,"L",""))))</f>
        <v/>
      </c>
      <c r="I28" s="62" t="str">
        <f aca="false">IF($B28="","",IF(COUNTIFS(Attendance!$B$5:$B$304,$B28,Attendance!$A$5:$A$304,I$9,Attendance!$F$5:$F$304,"P")&gt;0,"P",IF(COUNTIFS(Attendance!$B$5:$B$304,$B28,Attendance!$A$5:$A$304,I$9,Attendance!$F$5:$F$304,"A")&gt;0,"A",IF(COUNTIFS(Attendance!$B$5:$B$304,$B28,Attendance!$A$5:$A$304,I$9,Attendance!$F$5:$F$304,"L")&gt;0,"L",""))))</f>
        <v/>
      </c>
      <c r="J28" s="62" t="str">
        <f aca="false">IF($B28="","",IF(COUNTIFS(Attendance!$B$5:$B$304,$B28,Attendance!$A$5:$A$304,J$9,Attendance!$F$5:$F$304,"P")&gt;0,"P",IF(COUNTIFS(Attendance!$B$5:$B$304,$B28,Attendance!$A$5:$A$304,J$9,Attendance!$F$5:$F$304,"A")&gt;0,"A",IF(COUNTIFS(Attendance!$B$5:$B$304,$B28,Attendance!$A$5:$A$304,J$9,Attendance!$F$5:$F$304,"L")&gt;0,"L",""))))</f>
        <v/>
      </c>
      <c r="K28" s="62" t="str">
        <f aca="false">IF($B28="","",IF(COUNTIFS(Attendance!$B$5:$B$304,$B28,Attendance!$A$5:$A$304,K$9,Attendance!$F$5:$F$304,"P")&gt;0,"P",IF(COUNTIFS(Attendance!$B$5:$B$304,$B28,Attendance!$A$5:$A$304,K$9,Attendance!$F$5:$F$304,"A")&gt;0,"A",IF(COUNTIFS(Attendance!$B$5:$B$304,$B28,Attendance!$A$5:$A$304,K$9,Attendance!$F$5:$F$304,"L")&gt;0,"L",""))))</f>
        <v/>
      </c>
      <c r="L28" s="62" t="str">
        <f aca="false">IF($B28="","",IF(COUNTIFS(Attendance!$B$5:$B$304,$B28,Attendance!$A$5:$A$304,L$9,Attendance!$F$5:$F$304,"P")&gt;0,"P",IF(COUNTIFS(Attendance!$B$5:$B$304,$B28,Attendance!$A$5:$A$304,L$9,Attendance!$F$5:$F$304,"A")&gt;0,"A",IF(COUNTIFS(Attendance!$B$5:$B$304,$B28,Attendance!$A$5:$A$304,L$9,Attendance!$F$5:$F$304,"L")&gt;0,"L",""))))</f>
        <v/>
      </c>
      <c r="M28" s="62" t="str">
        <f aca="false">IF($B28="","",IF(COUNTIFS(Attendance!$B$5:$B$304,$B28,Attendance!$A$5:$A$304,M$9,Attendance!$F$5:$F$304,"P")&gt;0,"P",IF(COUNTIFS(Attendance!$B$5:$B$304,$B28,Attendance!$A$5:$A$304,M$9,Attendance!$F$5:$F$304,"A")&gt;0,"A",IF(COUNTIFS(Attendance!$B$5:$B$304,$B28,Attendance!$A$5:$A$304,M$9,Attendance!$F$5:$F$304,"L")&gt;0,"L",""))))</f>
        <v/>
      </c>
      <c r="N28" s="62" t="str">
        <f aca="false">IF($B28="","",IF(COUNTIFS(Attendance!$B$5:$B$304,$B28,Attendance!$A$5:$A$304,N$9,Attendance!$F$5:$F$304,"P")&gt;0,"P",IF(COUNTIFS(Attendance!$B$5:$B$304,$B28,Attendance!$A$5:$A$304,N$9,Attendance!$F$5:$F$304,"A")&gt;0,"A",IF(COUNTIFS(Attendance!$B$5:$B$304,$B28,Attendance!$A$5:$A$304,N$9,Attendance!$F$5:$F$304,"L")&gt;0,"L",""))))</f>
        <v/>
      </c>
      <c r="O28" s="62" t="str">
        <f aca="false">IF($B28="","",IF(COUNTIFS(Attendance!$B$5:$B$304,$B28,Attendance!$A$5:$A$304,O$9,Attendance!$F$5:$F$304,"P")&gt;0,"P",IF(COUNTIFS(Attendance!$B$5:$B$304,$B28,Attendance!$A$5:$A$304,O$9,Attendance!$F$5:$F$304,"A")&gt;0,"A",IF(COUNTIFS(Attendance!$B$5:$B$304,$B28,Attendance!$A$5:$A$304,O$9,Attendance!$F$5:$F$304,"L")&gt;0,"L",""))))</f>
        <v/>
      </c>
      <c r="P28" s="62" t="str">
        <f aca="false">IF($B28="","",IF(COUNTIFS(Attendance!$B$5:$B$304,$B28,Attendance!$A$5:$A$304,P$9,Attendance!$F$5:$F$304,"P")&gt;0,"P",IF(COUNTIFS(Attendance!$B$5:$B$304,$B28,Attendance!$A$5:$A$304,P$9,Attendance!$F$5:$F$304,"A")&gt;0,"A",IF(COUNTIFS(Attendance!$B$5:$B$304,$B28,Attendance!$A$5:$A$304,P$9,Attendance!$F$5:$F$304,"L")&gt;0,"L",""))))</f>
        <v/>
      </c>
      <c r="Q28" s="62" t="str">
        <f aca="false">IF($B28="","",IF(COUNTIFS(Attendance!$B$5:$B$304,$B28,Attendance!$A$5:$A$304,Q$9,Attendance!$F$5:$F$304,"P")&gt;0,"P",IF(COUNTIFS(Attendance!$B$5:$B$304,$B28,Attendance!$A$5:$A$304,Q$9,Attendance!$F$5:$F$304,"A")&gt;0,"A",IF(COUNTIFS(Attendance!$B$5:$B$304,$B28,Attendance!$A$5:$A$304,Q$9,Attendance!$F$5:$F$304,"L")&gt;0,"L",""))))</f>
        <v/>
      </c>
      <c r="R28" s="62" t="str">
        <f aca="false">IF($B28="","",IF(COUNTIFS(Attendance!$B$5:$B$304,$B28,Attendance!$A$5:$A$304,R$9,Attendance!$F$5:$F$304,"P")&gt;0,"P",IF(COUNTIFS(Attendance!$B$5:$B$304,$B28,Attendance!$A$5:$A$304,R$9,Attendance!$F$5:$F$304,"A")&gt;0,"A",IF(COUNTIFS(Attendance!$B$5:$B$304,$B28,Attendance!$A$5:$A$304,R$9,Attendance!$F$5:$F$304,"L")&gt;0,"L",""))))</f>
        <v/>
      </c>
      <c r="S28" s="62" t="str">
        <f aca="false">IF($B28="","",IF(COUNTIFS(Attendance!$B$5:$B$304,$B28,Attendance!$A$5:$A$304,S$9,Attendance!$F$5:$F$304,"P")&gt;0,"P",IF(COUNTIFS(Attendance!$B$5:$B$304,$B28,Attendance!$A$5:$A$304,S$9,Attendance!$F$5:$F$304,"A")&gt;0,"A",IF(COUNTIFS(Attendance!$B$5:$B$304,$B28,Attendance!$A$5:$A$304,S$9,Attendance!$F$5:$F$304,"L")&gt;0,"L",""))))</f>
        <v/>
      </c>
      <c r="T28" s="62" t="str">
        <f aca="false">IF($B28="","",IF(COUNTIFS(Attendance!$B$5:$B$304,$B28,Attendance!$A$5:$A$304,T$9,Attendance!$F$5:$F$304,"P")&gt;0,"P",IF(COUNTIFS(Attendance!$B$5:$B$304,$B28,Attendance!$A$5:$A$304,T$9,Attendance!$F$5:$F$304,"A")&gt;0,"A",IF(COUNTIFS(Attendance!$B$5:$B$304,$B28,Attendance!$A$5:$A$304,T$9,Attendance!$F$5:$F$304,"L")&gt;0,"L",""))))</f>
        <v/>
      </c>
      <c r="U28" s="62" t="str">
        <f aca="false">IF($B28="","",IF(COUNTIFS(Attendance!$B$5:$B$304,$B28,Attendance!$A$5:$A$304,U$9,Attendance!$F$5:$F$304,"P")&gt;0,"P",IF(COUNTIFS(Attendance!$B$5:$B$304,$B28,Attendance!$A$5:$A$304,U$9,Attendance!$F$5:$F$304,"A")&gt;0,"A",IF(COUNTIFS(Attendance!$B$5:$B$304,$B28,Attendance!$A$5:$A$304,U$9,Attendance!$F$5:$F$304,"L")&gt;0,"L",""))))</f>
        <v/>
      </c>
      <c r="V28" s="62" t="str">
        <f aca="false">IF($B28="","",IF(COUNTIFS(Attendance!$B$5:$B$304,$B28,Attendance!$A$5:$A$304,V$9,Attendance!$F$5:$F$304,"P")&gt;0,"P",IF(COUNTIFS(Attendance!$B$5:$B$304,$B28,Attendance!$A$5:$A$304,V$9,Attendance!$F$5:$F$304,"A")&gt;0,"A",IF(COUNTIFS(Attendance!$B$5:$B$304,$B28,Attendance!$A$5:$A$304,V$9,Attendance!$F$5:$F$304,"L")&gt;0,"L",""))))</f>
        <v/>
      </c>
      <c r="W28" s="62" t="str">
        <f aca="false">IF($B28="","",IF(COUNTIFS(Attendance!$B$5:$B$304,$B28,Attendance!$A$5:$A$304,W$9,Attendance!$F$5:$F$304,"P")&gt;0,"P",IF(COUNTIFS(Attendance!$B$5:$B$304,$B28,Attendance!$A$5:$A$304,W$9,Attendance!$F$5:$F$304,"A")&gt;0,"A",IF(COUNTIFS(Attendance!$B$5:$B$304,$B28,Attendance!$A$5:$A$304,W$9,Attendance!$F$5:$F$304,"L")&gt;0,"L",""))))</f>
        <v/>
      </c>
      <c r="X28" s="62" t="str">
        <f aca="false">IF($B28="","",IF(COUNTIFS(Attendance!$B$5:$B$304,$B28,Attendance!$A$5:$A$304,X$9,Attendance!$F$5:$F$304,"P")&gt;0,"P",IF(COUNTIFS(Attendance!$B$5:$B$304,$B28,Attendance!$A$5:$A$304,X$9,Attendance!$F$5:$F$304,"A")&gt;0,"A",IF(COUNTIFS(Attendance!$B$5:$B$304,$B28,Attendance!$A$5:$A$304,X$9,Attendance!$F$5:$F$304,"L")&gt;0,"L",""))))</f>
        <v/>
      </c>
      <c r="Y28" s="59" t="str">
        <f aca="false">IF($B28="","",COUNTIFS(Attendance!$B$5:$B$304,$B28,Attendance!$F$5:$F$304,"P",Attendance!$A$5:$A$304,"&gt;="&amp;$AF$4,Attendance!$A$5:$A$304,"&lt;="&amp;$AF$5))</f>
        <v/>
      </c>
      <c r="Z28" s="59" t="str">
        <f aca="false">IF($B28="","",COUNTIFS(Attendance!$B$5:$B$304,$B28,Attendance!$F$5:$F$304,"A",Attendance!$A$5:$A$304,"&gt;="&amp;$AF$4,Attendance!$A$5:$A$304,"&lt;="&amp;$AF$5))</f>
        <v/>
      </c>
      <c r="AA28" s="59" t="str">
        <f aca="false">IF($B28="","",COUNTIFS(Attendance!$B$5:$B$304,$B28,Attendance!$F$5:$F$304,"L",Attendance!$A$5:$A$304,"&gt;="&amp;$AF$4,Attendance!$A$5:$A$304,"&lt;="&amp;$AF$5))</f>
        <v/>
      </c>
      <c r="AB28" s="59" t="str">
        <f aca="false">IF($B28="","",SUM(Y28:AA28))</f>
        <v/>
      </c>
      <c r="AC28" s="63" t="str">
        <f aca="false">IF($B28="","",IF(AB28=0,"-",(Y28+AA28)/AB28))</f>
        <v/>
      </c>
    </row>
    <row r="29" customFormat="false" ht="19.5" hidden="false" customHeight="true" outlineLevel="0" collapsed="false">
      <c r="A29" s="59" t="str">
        <f aca="false">IF($B29="","",20)</f>
        <v/>
      </c>
      <c r="B29" s="59" t="str">
        <f aca="false">IFERROR(INDEX(Students!$A$5:$A$304,MATCH($C$4&amp;"|"&amp;$C$5&amp;"|"&amp;20,Students!$O$5:$O$304,0)),"")</f>
        <v/>
      </c>
      <c r="C29" s="60" t="str">
        <f aca="false">IF($B29="","",INDEX(Students!$B$5:$B$304,MATCH($B29,Students!$A$5:$A$304,0)))</f>
        <v/>
      </c>
      <c r="D29" s="61"/>
      <c r="E29" s="62" t="str">
        <f aca="false">IF($B29="","",IF(COUNTIFS(Attendance!$B$5:$B$304,$B29,Attendance!$A$5:$A$304,E$9,Attendance!$F$5:$F$304,"P")&gt;0,"P",IF(COUNTIFS(Attendance!$B$5:$B$304,$B29,Attendance!$A$5:$A$304,E$9,Attendance!$F$5:$F$304,"A")&gt;0,"A",IF(COUNTIFS(Attendance!$B$5:$B$304,$B29,Attendance!$A$5:$A$304,E$9,Attendance!$F$5:$F$304,"L")&gt;0,"L",""))))</f>
        <v/>
      </c>
      <c r="F29" s="62" t="str">
        <f aca="false">IF($B29="","",IF(COUNTIFS(Attendance!$B$5:$B$304,$B29,Attendance!$A$5:$A$304,F$9,Attendance!$F$5:$F$304,"P")&gt;0,"P",IF(COUNTIFS(Attendance!$B$5:$B$304,$B29,Attendance!$A$5:$A$304,F$9,Attendance!$F$5:$F$304,"A")&gt;0,"A",IF(COUNTIFS(Attendance!$B$5:$B$304,$B29,Attendance!$A$5:$A$304,F$9,Attendance!$F$5:$F$304,"L")&gt;0,"L",""))))</f>
        <v/>
      </c>
      <c r="G29" s="62" t="str">
        <f aca="false">IF($B29="","",IF(COUNTIFS(Attendance!$B$5:$B$304,$B29,Attendance!$A$5:$A$304,G$9,Attendance!$F$5:$F$304,"P")&gt;0,"P",IF(COUNTIFS(Attendance!$B$5:$B$304,$B29,Attendance!$A$5:$A$304,G$9,Attendance!$F$5:$F$304,"A")&gt;0,"A",IF(COUNTIFS(Attendance!$B$5:$B$304,$B29,Attendance!$A$5:$A$304,G$9,Attendance!$F$5:$F$304,"L")&gt;0,"L",""))))</f>
        <v/>
      </c>
      <c r="H29" s="62" t="str">
        <f aca="false">IF($B29="","",IF(COUNTIFS(Attendance!$B$5:$B$304,$B29,Attendance!$A$5:$A$304,H$9,Attendance!$F$5:$F$304,"P")&gt;0,"P",IF(COUNTIFS(Attendance!$B$5:$B$304,$B29,Attendance!$A$5:$A$304,H$9,Attendance!$F$5:$F$304,"A")&gt;0,"A",IF(COUNTIFS(Attendance!$B$5:$B$304,$B29,Attendance!$A$5:$A$304,H$9,Attendance!$F$5:$F$304,"L")&gt;0,"L",""))))</f>
        <v/>
      </c>
      <c r="I29" s="62" t="str">
        <f aca="false">IF($B29="","",IF(COUNTIFS(Attendance!$B$5:$B$304,$B29,Attendance!$A$5:$A$304,I$9,Attendance!$F$5:$F$304,"P")&gt;0,"P",IF(COUNTIFS(Attendance!$B$5:$B$304,$B29,Attendance!$A$5:$A$304,I$9,Attendance!$F$5:$F$304,"A")&gt;0,"A",IF(COUNTIFS(Attendance!$B$5:$B$304,$B29,Attendance!$A$5:$A$304,I$9,Attendance!$F$5:$F$304,"L")&gt;0,"L",""))))</f>
        <v/>
      </c>
      <c r="J29" s="62" t="str">
        <f aca="false">IF($B29="","",IF(COUNTIFS(Attendance!$B$5:$B$304,$B29,Attendance!$A$5:$A$304,J$9,Attendance!$F$5:$F$304,"P")&gt;0,"P",IF(COUNTIFS(Attendance!$B$5:$B$304,$B29,Attendance!$A$5:$A$304,J$9,Attendance!$F$5:$F$304,"A")&gt;0,"A",IF(COUNTIFS(Attendance!$B$5:$B$304,$B29,Attendance!$A$5:$A$304,J$9,Attendance!$F$5:$F$304,"L")&gt;0,"L",""))))</f>
        <v/>
      </c>
      <c r="K29" s="62" t="str">
        <f aca="false">IF($B29="","",IF(COUNTIFS(Attendance!$B$5:$B$304,$B29,Attendance!$A$5:$A$304,K$9,Attendance!$F$5:$F$304,"P")&gt;0,"P",IF(COUNTIFS(Attendance!$B$5:$B$304,$B29,Attendance!$A$5:$A$304,K$9,Attendance!$F$5:$F$304,"A")&gt;0,"A",IF(COUNTIFS(Attendance!$B$5:$B$304,$B29,Attendance!$A$5:$A$304,K$9,Attendance!$F$5:$F$304,"L")&gt;0,"L",""))))</f>
        <v/>
      </c>
      <c r="L29" s="62" t="str">
        <f aca="false">IF($B29="","",IF(COUNTIFS(Attendance!$B$5:$B$304,$B29,Attendance!$A$5:$A$304,L$9,Attendance!$F$5:$F$304,"P")&gt;0,"P",IF(COUNTIFS(Attendance!$B$5:$B$304,$B29,Attendance!$A$5:$A$304,L$9,Attendance!$F$5:$F$304,"A")&gt;0,"A",IF(COUNTIFS(Attendance!$B$5:$B$304,$B29,Attendance!$A$5:$A$304,L$9,Attendance!$F$5:$F$304,"L")&gt;0,"L",""))))</f>
        <v/>
      </c>
      <c r="M29" s="62" t="str">
        <f aca="false">IF($B29="","",IF(COUNTIFS(Attendance!$B$5:$B$304,$B29,Attendance!$A$5:$A$304,M$9,Attendance!$F$5:$F$304,"P")&gt;0,"P",IF(COUNTIFS(Attendance!$B$5:$B$304,$B29,Attendance!$A$5:$A$304,M$9,Attendance!$F$5:$F$304,"A")&gt;0,"A",IF(COUNTIFS(Attendance!$B$5:$B$304,$B29,Attendance!$A$5:$A$304,M$9,Attendance!$F$5:$F$304,"L")&gt;0,"L",""))))</f>
        <v/>
      </c>
      <c r="N29" s="62" t="str">
        <f aca="false">IF($B29="","",IF(COUNTIFS(Attendance!$B$5:$B$304,$B29,Attendance!$A$5:$A$304,N$9,Attendance!$F$5:$F$304,"P")&gt;0,"P",IF(COUNTIFS(Attendance!$B$5:$B$304,$B29,Attendance!$A$5:$A$304,N$9,Attendance!$F$5:$F$304,"A")&gt;0,"A",IF(COUNTIFS(Attendance!$B$5:$B$304,$B29,Attendance!$A$5:$A$304,N$9,Attendance!$F$5:$F$304,"L")&gt;0,"L",""))))</f>
        <v/>
      </c>
      <c r="O29" s="62" t="str">
        <f aca="false">IF($B29="","",IF(COUNTIFS(Attendance!$B$5:$B$304,$B29,Attendance!$A$5:$A$304,O$9,Attendance!$F$5:$F$304,"P")&gt;0,"P",IF(COUNTIFS(Attendance!$B$5:$B$304,$B29,Attendance!$A$5:$A$304,O$9,Attendance!$F$5:$F$304,"A")&gt;0,"A",IF(COUNTIFS(Attendance!$B$5:$B$304,$B29,Attendance!$A$5:$A$304,O$9,Attendance!$F$5:$F$304,"L")&gt;0,"L",""))))</f>
        <v/>
      </c>
      <c r="P29" s="62" t="str">
        <f aca="false">IF($B29="","",IF(COUNTIFS(Attendance!$B$5:$B$304,$B29,Attendance!$A$5:$A$304,P$9,Attendance!$F$5:$F$304,"P")&gt;0,"P",IF(COUNTIFS(Attendance!$B$5:$B$304,$B29,Attendance!$A$5:$A$304,P$9,Attendance!$F$5:$F$304,"A")&gt;0,"A",IF(COUNTIFS(Attendance!$B$5:$B$304,$B29,Attendance!$A$5:$A$304,P$9,Attendance!$F$5:$F$304,"L")&gt;0,"L",""))))</f>
        <v/>
      </c>
      <c r="Q29" s="62" t="str">
        <f aca="false">IF($B29="","",IF(COUNTIFS(Attendance!$B$5:$B$304,$B29,Attendance!$A$5:$A$304,Q$9,Attendance!$F$5:$F$304,"P")&gt;0,"P",IF(COUNTIFS(Attendance!$B$5:$B$304,$B29,Attendance!$A$5:$A$304,Q$9,Attendance!$F$5:$F$304,"A")&gt;0,"A",IF(COUNTIFS(Attendance!$B$5:$B$304,$B29,Attendance!$A$5:$A$304,Q$9,Attendance!$F$5:$F$304,"L")&gt;0,"L",""))))</f>
        <v/>
      </c>
      <c r="R29" s="62" t="str">
        <f aca="false">IF($B29="","",IF(COUNTIFS(Attendance!$B$5:$B$304,$B29,Attendance!$A$5:$A$304,R$9,Attendance!$F$5:$F$304,"P")&gt;0,"P",IF(COUNTIFS(Attendance!$B$5:$B$304,$B29,Attendance!$A$5:$A$304,R$9,Attendance!$F$5:$F$304,"A")&gt;0,"A",IF(COUNTIFS(Attendance!$B$5:$B$304,$B29,Attendance!$A$5:$A$304,R$9,Attendance!$F$5:$F$304,"L")&gt;0,"L",""))))</f>
        <v/>
      </c>
      <c r="S29" s="62" t="str">
        <f aca="false">IF($B29="","",IF(COUNTIFS(Attendance!$B$5:$B$304,$B29,Attendance!$A$5:$A$304,S$9,Attendance!$F$5:$F$304,"P")&gt;0,"P",IF(COUNTIFS(Attendance!$B$5:$B$304,$B29,Attendance!$A$5:$A$304,S$9,Attendance!$F$5:$F$304,"A")&gt;0,"A",IF(COUNTIFS(Attendance!$B$5:$B$304,$B29,Attendance!$A$5:$A$304,S$9,Attendance!$F$5:$F$304,"L")&gt;0,"L",""))))</f>
        <v/>
      </c>
      <c r="T29" s="62" t="str">
        <f aca="false">IF($B29="","",IF(COUNTIFS(Attendance!$B$5:$B$304,$B29,Attendance!$A$5:$A$304,T$9,Attendance!$F$5:$F$304,"P")&gt;0,"P",IF(COUNTIFS(Attendance!$B$5:$B$304,$B29,Attendance!$A$5:$A$304,T$9,Attendance!$F$5:$F$304,"A")&gt;0,"A",IF(COUNTIFS(Attendance!$B$5:$B$304,$B29,Attendance!$A$5:$A$304,T$9,Attendance!$F$5:$F$304,"L")&gt;0,"L",""))))</f>
        <v/>
      </c>
      <c r="U29" s="62" t="str">
        <f aca="false">IF($B29="","",IF(COUNTIFS(Attendance!$B$5:$B$304,$B29,Attendance!$A$5:$A$304,U$9,Attendance!$F$5:$F$304,"P")&gt;0,"P",IF(COUNTIFS(Attendance!$B$5:$B$304,$B29,Attendance!$A$5:$A$304,U$9,Attendance!$F$5:$F$304,"A")&gt;0,"A",IF(COUNTIFS(Attendance!$B$5:$B$304,$B29,Attendance!$A$5:$A$304,U$9,Attendance!$F$5:$F$304,"L")&gt;0,"L",""))))</f>
        <v/>
      </c>
      <c r="V29" s="62" t="str">
        <f aca="false">IF($B29="","",IF(COUNTIFS(Attendance!$B$5:$B$304,$B29,Attendance!$A$5:$A$304,V$9,Attendance!$F$5:$F$304,"P")&gt;0,"P",IF(COUNTIFS(Attendance!$B$5:$B$304,$B29,Attendance!$A$5:$A$304,V$9,Attendance!$F$5:$F$304,"A")&gt;0,"A",IF(COUNTIFS(Attendance!$B$5:$B$304,$B29,Attendance!$A$5:$A$304,V$9,Attendance!$F$5:$F$304,"L")&gt;0,"L",""))))</f>
        <v/>
      </c>
      <c r="W29" s="62" t="str">
        <f aca="false">IF($B29="","",IF(COUNTIFS(Attendance!$B$5:$B$304,$B29,Attendance!$A$5:$A$304,W$9,Attendance!$F$5:$F$304,"P")&gt;0,"P",IF(COUNTIFS(Attendance!$B$5:$B$304,$B29,Attendance!$A$5:$A$304,W$9,Attendance!$F$5:$F$304,"A")&gt;0,"A",IF(COUNTIFS(Attendance!$B$5:$B$304,$B29,Attendance!$A$5:$A$304,W$9,Attendance!$F$5:$F$304,"L")&gt;0,"L",""))))</f>
        <v/>
      </c>
      <c r="X29" s="62" t="str">
        <f aca="false">IF($B29="","",IF(COUNTIFS(Attendance!$B$5:$B$304,$B29,Attendance!$A$5:$A$304,X$9,Attendance!$F$5:$F$304,"P")&gt;0,"P",IF(COUNTIFS(Attendance!$B$5:$B$304,$B29,Attendance!$A$5:$A$304,X$9,Attendance!$F$5:$F$304,"A")&gt;0,"A",IF(COUNTIFS(Attendance!$B$5:$B$304,$B29,Attendance!$A$5:$A$304,X$9,Attendance!$F$5:$F$304,"L")&gt;0,"L",""))))</f>
        <v/>
      </c>
      <c r="Y29" s="59" t="str">
        <f aca="false">IF($B29="","",COUNTIFS(Attendance!$B$5:$B$304,$B29,Attendance!$F$5:$F$304,"P",Attendance!$A$5:$A$304,"&gt;="&amp;$AF$4,Attendance!$A$5:$A$304,"&lt;="&amp;$AF$5))</f>
        <v/>
      </c>
      <c r="Z29" s="59" t="str">
        <f aca="false">IF($B29="","",COUNTIFS(Attendance!$B$5:$B$304,$B29,Attendance!$F$5:$F$304,"A",Attendance!$A$5:$A$304,"&gt;="&amp;$AF$4,Attendance!$A$5:$A$304,"&lt;="&amp;$AF$5))</f>
        <v/>
      </c>
      <c r="AA29" s="59" t="str">
        <f aca="false">IF($B29="","",COUNTIFS(Attendance!$B$5:$B$304,$B29,Attendance!$F$5:$F$304,"L",Attendance!$A$5:$A$304,"&gt;="&amp;$AF$4,Attendance!$A$5:$A$304,"&lt;="&amp;$AF$5))</f>
        <v/>
      </c>
      <c r="AB29" s="59" t="str">
        <f aca="false">IF($B29="","",SUM(Y29:AA29))</f>
        <v/>
      </c>
      <c r="AC29" s="63" t="str">
        <f aca="false">IF($B29="","",IF(AB29=0,"-",(Y29+AA29)/AB29))</f>
        <v/>
      </c>
    </row>
    <row r="30" customFormat="false" ht="19.5" hidden="false" customHeight="true" outlineLevel="0" collapsed="false">
      <c r="A30" s="59" t="str">
        <f aca="false">IF($B30="","",21)</f>
        <v/>
      </c>
      <c r="B30" s="59" t="str">
        <f aca="false">IFERROR(INDEX(Students!$A$5:$A$304,MATCH($C$4&amp;"|"&amp;$C$5&amp;"|"&amp;21,Students!$O$5:$O$304,0)),"")</f>
        <v/>
      </c>
      <c r="C30" s="60" t="str">
        <f aca="false">IF($B30="","",INDEX(Students!$B$5:$B$304,MATCH($B30,Students!$A$5:$A$304,0)))</f>
        <v/>
      </c>
      <c r="D30" s="61"/>
      <c r="E30" s="62" t="str">
        <f aca="false">IF($B30="","",IF(COUNTIFS(Attendance!$B$5:$B$304,$B30,Attendance!$A$5:$A$304,E$9,Attendance!$F$5:$F$304,"P")&gt;0,"P",IF(COUNTIFS(Attendance!$B$5:$B$304,$B30,Attendance!$A$5:$A$304,E$9,Attendance!$F$5:$F$304,"A")&gt;0,"A",IF(COUNTIFS(Attendance!$B$5:$B$304,$B30,Attendance!$A$5:$A$304,E$9,Attendance!$F$5:$F$304,"L")&gt;0,"L",""))))</f>
        <v/>
      </c>
      <c r="F30" s="62" t="str">
        <f aca="false">IF($B30="","",IF(COUNTIFS(Attendance!$B$5:$B$304,$B30,Attendance!$A$5:$A$304,F$9,Attendance!$F$5:$F$304,"P")&gt;0,"P",IF(COUNTIFS(Attendance!$B$5:$B$304,$B30,Attendance!$A$5:$A$304,F$9,Attendance!$F$5:$F$304,"A")&gt;0,"A",IF(COUNTIFS(Attendance!$B$5:$B$304,$B30,Attendance!$A$5:$A$304,F$9,Attendance!$F$5:$F$304,"L")&gt;0,"L",""))))</f>
        <v/>
      </c>
      <c r="G30" s="62" t="str">
        <f aca="false">IF($B30="","",IF(COUNTIFS(Attendance!$B$5:$B$304,$B30,Attendance!$A$5:$A$304,G$9,Attendance!$F$5:$F$304,"P")&gt;0,"P",IF(COUNTIFS(Attendance!$B$5:$B$304,$B30,Attendance!$A$5:$A$304,G$9,Attendance!$F$5:$F$304,"A")&gt;0,"A",IF(COUNTIFS(Attendance!$B$5:$B$304,$B30,Attendance!$A$5:$A$304,G$9,Attendance!$F$5:$F$304,"L")&gt;0,"L",""))))</f>
        <v/>
      </c>
      <c r="H30" s="62" t="str">
        <f aca="false">IF($B30="","",IF(COUNTIFS(Attendance!$B$5:$B$304,$B30,Attendance!$A$5:$A$304,H$9,Attendance!$F$5:$F$304,"P")&gt;0,"P",IF(COUNTIFS(Attendance!$B$5:$B$304,$B30,Attendance!$A$5:$A$304,H$9,Attendance!$F$5:$F$304,"A")&gt;0,"A",IF(COUNTIFS(Attendance!$B$5:$B$304,$B30,Attendance!$A$5:$A$304,H$9,Attendance!$F$5:$F$304,"L")&gt;0,"L",""))))</f>
        <v/>
      </c>
      <c r="I30" s="62" t="str">
        <f aca="false">IF($B30="","",IF(COUNTIFS(Attendance!$B$5:$B$304,$B30,Attendance!$A$5:$A$304,I$9,Attendance!$F$5:$F$304,"P")&gt;0,"P",IF(COUNTIFS(Attendance!$B$5:$B$304,$B30,Attendance!$A$5:$A$304,I$9,Attendance!$F$5:$F$304,"A")&gt;0,"A",IF(COUNTIFS(Attendance!$B$5:$B$304,$B30,Attendance!$A$5:$A$304,I$9,Attendance!$F$5:$F$304,"L")&gt;0,"L",""))))</f>
        <v/>
      </c>
      <c r="J30" s="62" t="str">
        <f aca="false">IF($B30="","",IF(COUNTIFS(Attendance!$B$5:$B$304,$B30,Attendance!$A$5:$A$304,J$9,Attendance!$F$5:$F$304,"P")&gt;0,"P",IF(COUNTIFS(Attendance!$B$5:$B$304,$B30,Attendance!$A$5:$A$304,J$9,Attendance!$F$5:$F$304,"A")&gt;0,"A",IF(COUNTIFS(Attendance!$B$5:$B$304,$B30,Attendance!$A$5:$A$304,J$9,Attendance!$F$5:$F$304,"L")&gt;0,"L",""))))</f>
        <v/>
      </c>
      <c r="K30" s="62" t="str">
        <f aca="false">IF($B30="","",IF(COUNTIFS(Attendance!$B$5:$B$304,$B30,Attendance!$A$5:$A$304,K$9,Attendance!$F$5:$F$304,"P")&gt;0,"P",IF(COUNTIFS(Attendance!$B$5:$B$304,$B30,Attendance!$A$5:$A$304,K$9,Attendance!$F$5:$F$304,"A")&gt;0,"A",IF(COUNTIFS(Attendance!$B$5:$B$304,$B30,Attendance!$A$5:$A$304,K$9,Attendance!$F$5:$F$304,"L")&gt;0,"L",""))))</f>
        <v/>
      </c>
      <c r="L30" s="62" t="str">
        <f aca="false">IF($B30="","",IF(COUNTIFS(Attendance!$B$5:$B$304,$B30,Attendance!$A$5:$A$304,L$9,Attendance!$F$5:$F$304,"P")&gt;0,"P",IF(COUNTIFS(Attendance!$B$5:$B$304,$B30,Attendance!$A$5:$A$304,L$9,Attendance!$F$5:$F$304,"A")&gt;0,"A",IF(COUNTIFS(Attendance!$B$5:$B$304,$B30,Attendance!$A$5:$A$304,L$9,Attendance!$F$5:$F$304,"L")&gt;0,"L",""))))</f>
        <v/>
      </c>
      <c r="M30" s="62" t="str">
        <f aca="false">IF($B30="","",IF(COUNTIFS(Attendance!$B$5:$B$304,$B30,Attendance!$A$5:$A$304,M$9,Attendance!$F$5:$F$304,"P")&gt;0,"P",IF(COUNTIFS(Attendance!$B$5:$B$304,$B30,Attendance!$A$5:$A$304,M$9,Attendance!$F$5:$F$304,"A")&gt;0,"A",IF(COUNTIFS(Attendance!$B$5:$B$304,$B30,Attendance!$A$5:$A$304,M$9,Attendance!$F$5:$F$304,"L")&gt;0,"L",""))))</f>
        <v/>
      </c>
      <c r="N30" s="62" t="str">
        <f aca="false">IF($B30="","",IF(COUNTIFS(Attendance!$B$5:$B$304,$B30,Attendance!$A$5:$A$304,N$9,Attendance!$F$5:$F$304,"P")&gt;0,"P",IF(COUNTIFS(Attendance!$B$5:$B$304,$B30,Attendance!$A$5:$A$304,N$9,Attendance!$F$5:$F$304,"A")&gt;0,"A",IF(COUNTIFS(Attendance!$B$5:$B$304,$B30,Attendance!$A$5:$A$304,N$9,Attendance!$F$5:$F$304,"L")&gt;0,"L",""))))</f>
        <v/>
      </c>
      <c r="O30" s="62" t="str">
        <f aca="false">IF($B30="","",IF(COUNTIFS(Attendance!$B$5:$B$304,$B30,Attendance!$A$5:$A$304,O$9,Attendance!$F$5:$F$304,"P")&gt;0,"P",IF(COUNTIFS(Attendance!$B$5:$B$304,$B30,Attendance!$A$5:$A$304,O$9,Attendance!$F$5:$F$304,"A")&gt;0,"A",IF(COUNTIFS(Attendance!$B$5:$B$304,$B30,Attendance!$A$5:$A$304,O$9,Attendance!$F$5:$F$304,"L")&gt;0,"L",""))))</f>
        <v/>
      </c>
      <c r="P30" s="62" t="str">
        <f aca="false">IF($B30="","",IF(COUNTIFS(Attendance!$B$5:$B$304,$B30,Attendance!$A$5:$A$304,P$9,Attendance!$F$5:$F$304,"P")&gt;0,"P",IF(COUNTIFS(Attendance!$B$5:$B$304,$B30,Attendance!$A$5:$A$304,P$9,Attendance!$F$5:$F$304,"A")&gt;0,"A",IF(COUNTIFS(Attendance!$B$5:$B$304,$B30,Attendance!$A$5:$A$304,P$9,Attendance!$F$5:$F$304,"L")&gt;0,"L",""))))</f>
        <v/>
      </c>
      <c r="Q30" s="62" t="str">
        <f aca="false">IF($B30="","",IF(COUNTIFS(Attendance!$B$5:$B$304,$B30,Attendance!$A$5:$A$304,Q$9,Attendance!$F$5:$F$304,"P")&gt;0,"P",IF(COUNTIFS(Attendance!$B$5:$B$304,$B30,Attendance!$A$5:$A$304,Q$9,Attendance!$F$5:$F$304,"A")&gt;0,"A",IF(COUNTIFS(Attendance!$B$5:$B$304,$B30,Attendance!$A$5:$A$304,Q$9,Attendance!$F$5:$F$304,"L")&gt;0,"L",""))))</f>
        <v/>
      </c>
      <c r="R30" s="62" t="str">
        <f aca="false">IF($B30="","",IF(COUNTIFS(Attendance!$B$5:$B$304,$B30,Attendance!$A$5:$A$304,R$9,Attendance!$F$5:$F$304,"P")&gt;0,"P",IF(COUNTIFS(Attendance!$B$5:$B$304,$B30,Attendance!$A$5:$A$304,R$9,Attendance!$F$5:$F$304,"A")&gt;0,"A",IF(COUNTIFS(Attendance!$B$5:$B$304,$B30,Attendance!$A$5:$A$304,R$9,Attendance!$F$5:$F$304,"L")&gt;0,"L",""))))</f>
        <v/>
      </c>
      <c r="S30" s="62" t="str">
        <f aca="false">IF($B30="","",IF(COUNTIFS(Attendance!$B$5:$B$304,$B30,Attendance!$A$5:$A$304,S$9,Attendance!$F$5:$F$304,"P")&gt;0,"P",IF(COUNTIFS(Attendance!$B$5:$B$304,$B30,Attendance!$A$5:$A$304,S$9,Attendance!$F$5:$F$304,"A")&gt;0,"A",IF(COUNTIFS(Attendance!$B$5:$B$304,$B30,Attendance!$A$5:$A$304,S$9,Attendance!$F$5:$F$304,"L")&gt;0,"L",""))))</f>
        <v/>
      </c>
      <c r="T30" s="62" t="str">
        <f aca="false">IF($B30="","",IF(COUNTIFS(Attendance!$B$5:$B$304,$B30,Attendance!$A$5:$A$304,T$9,Attendance!$F$5:$F$304,"P")&gt;0,"P",IF(COUNTIFS(Attendance!$B$5:$B$304,$B30,Attendance!$A$5:$A$304,T$9,Attendance!$F$5:$F$304,"A")&gt;0,"A",IF(COUNTIFS(Attendance!$B$5:$B$304,$B30,Attendance!$A$5:$A$304,T$9,Attendance!$F$5:$F$304,"L")&gt;0,"L",""))))</f>
        <v/>
      </c>
      <c r="U30" s="62" t="str">
        <f aca="false">IF($B30="","",IF(COUNTIFS(Attendance!$B$5:$B$304,$B30,Attendance!$A$5:$A$304,U$9,Attendance!$F$5:$F$304,"P")&gt;0,"P",IF(COUNTIFS(Attendance!$B$5:$B$304,$B30,Attendance!$A$5:$A$304,U$9,Attendance!$F$5:$F$304,"A")&gt;0,"A",IF(COUNTIFS(Attendance!$B$5:$B$304,$B30,Attendance!$A$5:$A$304,U$9,Attendance!$F$5:$F$304,"L")&gt;0,"L",""))))</f>
        <v/>
      </c>
      <c r="V30" s="62" t="str">
        <f aca="false">IF($B30="","",IF(COUNTIFS(Attendance!$B$5:$B$304,$B30,Attendance!$A$5:$A$304,V$9,Attendance!$F$5:$F$304,"P")&gt;0,"P",IF(COUNTIFS(Attendance!$B$5:$B$304,$B30,Attendance!$A$5:$A$304,V$9,Attendance!$F$5:$F$304,"A")&gt;0,"A",IF(COUNTIFS(Attendance!$B$5:$B$304,$B30,Attendance!$A$5:$A$304,V$9,Attendance!$F$5:$F$304,"L")&gt;0,"L",""))))</f>
        <v/>
      </c>
      <c r="W30" s="62" t="str">
        <f aca="false">IF($B30="","",IF(COUNTIFS(Attendance!$B$5:$B$304,$B30,Attendance!$A$5:$A$304,W$9,Attendance!$F$5:$F$304,"P")&gt;0,"P",IF(COUNTIFS(Attendance!$B$5:$B$304,$B30,Attendance!$A$5:$A$304,W$9,Attendance!$F$5:$F$304,"A")&gt;0,"A",IF(COUNTIFS(Attendance!$B$5:$B$304,$B30,Attendance!$A$5:$A$304,W$9,Attendance!$F$5:$F$304,"L")&gt;0,"L",""))))</f>
        <v/>
      </c>
      <c r="X30" s="62" t="str">
        <f aca="false">IF($B30="","",IF(COUNTIFS(Attendance!$B$5:$B$304,$B30,Attendance!$A$5:$A$304,X$9,Attendance!$F$5:$F$304,"P")&gt;0,"P",IF(COUNTIFS(Attendance!$B$5:$B$304,$B30,Attendance!$A$5:$A$304,X$9,Attendance!$F$5:$F$304,"A")&gt;0,"A",IF(COUNTIFS(Attendance!$B$5:$B$304,$B30,Attendance!$A$5:$A$304,X$9,Attendance!$F$5:$F$304,"L")&gt;0,"L",""))))</f>
        <v/>
      </c>
      <c r="Y30" s="59" t="str">
        <f aca="false">IF($B30="","",COUNTIFS(Attendance!$B$5:$B$304,$B30,Attendance!$F$5:$F$304,"P",Attendance!$A$5:$A$304,"&gt;="&amp;$AF$4,Attendance!$A$5:$A$304,"&lt;="&amp;$AF$5))</f>
        <v/>
      </c>
      <c r="Z30" s="59" t="str">
        <f aca="false">IF($B30="","",COUNTIFS(Attendance!$B$5:$B$304,$B30,Attendance!$F$5:$F$304,"A",Attendance!$A$5:$A$304,"&gt;="&amp;$AF$4,Attendance!$A$5:$A$304,"&lt;="&amp;$AF$5))</f>
        <v/>
      </c>
      <c r="AA30" s="59" t="str">
        <f aca="false">IF($B30="","",COUNTIFS(Attendance!$B$5:$B$304,$B30,Attendance!$F$5:$F$304,"L",Attendance!$A$5:$A$304,"&gt;="&amp;$AF$4,Attendance!$A$5:$A$304,"&lt;="&amp;$AF$5))</f>
        <v/>
      </c>
      <c r="AB30" s="59" t="str">
        <f aca="false">IF($B30="","",SUM(Y30:AA30))</f>
        <v/>
      </c>
      <c r="AC30" s="63" t="str">
        <f aca="false">IF($B30="","",IF(AB30=0,"-",(Y30+AA30)/AB30))</f>
        <v/>
      </c>
    </row>
    <row r="31" customFormat="false" ht="19.5" hidden="false" customHeight="true" outlineLevel="0" collapsed="false">
      <c r="A31" s="59" t="str">
        <f aca="false">IF($B31="","",22)</f>
        <v/>
      </c>
      <c r="B31" s="59" t="str">
        <f aca="false">IFERROR(INDEX(Students!$A$5:$A$304,MATCH($C$4&amp;"|"&amp;$C$5&amp;"|"&amp;22,Students!$O$5:$O$304,0)),"")</f>
        <v/>
      </c>
      <c r="C31" s="60" t="str">
        <f aca="false">IF($B31="","",INDEX(Students!$B$5:$B$304,MATCH($B31,Students!$A$5:$A$304,0)))</f>
        <v/>
      </c>
      <c r="D31" s="61"/>
      <c r="E31" s="62" t="str">
        <f aca="false">IF($B31="","",IF(COUNTIFS(Attendance!$B$5:$B$304,$B31,Attendance!$A$5:$A$304,E$9,Attendance!$F$5:$F$304,"P")&gt;0,"P",IF(COUNTIFS(Attendance!$B$5:$B$304,$B31,Attendance!$A$5:$A$304,E$9,Attendance!$F$5:$F$304,"A")&gt;0,"A",IF(COUNTIFS(Attendance!$B$5:$B$304,$B31,Attendance!$A$5:$A$304,E$9,Attendance!$F$5:$F$304,"L")&gt;0,"L",""))))</f>
        <v/>
      </c>
      <c r="F31" s="62" t="str">
        <f aca="false">IF($B31="","",IF(COUNTIFS(Attendance!$B$5:$B$304,$B31,Attendance!$A$5:$A$304,F$9,Attendance!$F$5:$F$304,"P")&gt;0,"P",IF(COUNTIFS(Attendance!$B$5:$B$304,$B31,Attendance!$A$5:$A$304,F$9,Attendance!$F$5:$F$304,"A")&gt;0,"A",IF(COUNTIFS(Attendance!$B$5:$B$304,$B31,Attendance!$A$5:$A$304,F$9,Attendance!$F$5:$F$304,"L")&gt;0,"L",""))))</f>
        <v/>
      </c>
      <c r="G31" s="62" t="str">
        <f aca="false">IF($B31="","",IF(COUNTIFS(Attendance!$B$5:$B$304,$B31,Attendance!$A$5:$A$304,G$9,Attendance!$F$5:$F$304,"P")&gt;0,"P",IF(COUNTIFS(Attendance!$B$5:$B$304,$B31,Attendance!$A$5:$A$304,G$9,Attendance!$F$5:$F$304,"A")&gt;0,"A",IF(COUNTIFS(Attendance!$B$5:$B$304,$B31,Attendance!$A$5:$A$304,G$9,Attendance!$F$5:$F$304,"L")&gt;0,"L",""))))</f>
        <v/>
      </c>
      <c r="H31" s="62" t="str">
        <f aca="false">IF($B31="","",IF(COUNTIFS(Attendance!$B$5:$B$304,$B31,Attendance!$A$5:$A$304,H$9,Attendance!$F$5:$F$304,"P")&gt;0,"P",IF(COUNTIFS(Attendance!$B$5:$B$304,$B31,Attendance!$A$5:$A$304,H$9,Attendance!$F$5:$F$304,"A")&gt;0,"A",IF(COUNTIFS(Attendance!$B$5:$B$304,$B31,Attendance!$A$5:$A$304,H$9,Attendance!$F$5:$F$304,"L")&gt;0,"L",""))))</f>
        <v/>
      </c>
      <c r="I31" s="62" t="str">
        <f aca="false">IF($B31="","",IF(COUNTIFS(Attendance!$B$5:$B$304,$B31,Attendance!$A$5:$A$304,I$9,Attendance!$F$5:$F$304,"P")&gt;0,"P",IF(COUNTIFS(Attendance!$B$5:$B$304,$B31,Attendance!$A$5:$A$304,I$9,Attendance!$F$5:$F$304,"A")&gt;0,"A",IF(COUNTIFS(Attendance!$B$5:$B$304,$B31,Attendance!$A$5:$A$304,I$9,Attendance!$F$5:$F$304,"L")&gt;0,"L",""))))</f>
        <v/>
      </c>
      <c r="J31" s="62" t="str">
        <f aca="false">IF($B31="","",IF(COUNTIFS(Attendance!$B$5:$B$304,$B31,Attendance!$A$5:$A$304,J$9,Attendance!$F$5:$F$304,"P")&gt;0,"P",IF(COUNTIFS(Attendance!$B$5:$B$304,$B31,Attendance!$A$5:$A$304,J$9,Attendance!$F$5:$F$304,"A")&gt;0,"A",IF(COUNTIFS(Attendance!$B$5:$B$304,$B31,Attendance!$A$5:$A$304,J$9,Attendance!$F$5:$F$304,"L")&gt;0,"L",""))))</f>
        <v/>
      </c>
      <c r="K31" s="62" t="str">
        <f aca="false">IF($B31="","",IF(COUNTIFS(Attendance!$B$5:$B$304,$B31,Attendance!$A$5:$A$304,K$9,Attendance!$F$5:$F$304,"P")&gt;0,"P",IF(COUNTIFS(Attendance!$B$5:$B$304,$B31,Attendance!$A$5:$A$304,K$9,Attendance!$F$5:$F$304,"A")&gt;0,"A",IF(COUNTIFS(Attendance!$B$5:$B$304,$B31,Attendance!$A$5:$A$304,K$9,Attendance!$F$5:$F$304,"L")&gt;0,"L",""))))</f>
        <v/>
      </c>
      <c r="L31" s="62" t="str">
        <f aca="false">IF($B31="","",IF(COUNTIFS(Attendance!$B$5:$B$304,$B31,Attendance!$A$5:$A$304,L$9,Attendance!$F$5:$F$304,"P")&gt;0,"P",IF(COUNTIFS(Attendance!$B$5:$B$304,$B31,Attendance!$A$5:$A$304,L$9,Attendance!$F$5:$F$304,"A")&gt;0,"A",IF(COUNTIFS(Attendance!$B$5:$B$304,$B31,Attendance!$A$5:$A$304,L$9,Attendance!$F$5:$F$304,"L")&gt;0,"L",""))))</f>
        <v/>
      </c>
      <c r="M31" s="62" t="str">
        <f aca="false">IF($B31="","",IF(COUNTIFS(Attendance!$B$5:$B$304,$B31,Attendance!$A$5:$A$304,M$9,Attendance!$F$5:$F$304,"P")&gt;0,"P",IF(COUNTIFS(Attendance!$B$5:$B$304,$B31,Attendance!$A$5:$A$304,M$9,Attendance!$F$5:$F$304,"A")&gt;0,"A",IF(COUNTIFS(Attendance!$B$5:$B$304,$B31,Attendance!$A$5:$A$304,M$9,Attendance!$F$5:$F$304,"L")&gt;0,"L",""))))</f>
        <v/>
      </c>
      <c r="N31" s="62" t="str">
        <f aca="false">IF($B31="","",IF(COUNTIFS(Attendance!$B$5:$B$304,$B31,Attendance!$A$5:$A$304,N$9,Attendance!$F$5:$F$304,"P")&gt;0,"P",IF(COUNTIFS(Attendance!$B$5:$B$304,$B31,Attendance!$A$5:$A$304,N$9,Attendance!$F$5:$F$304,"A")&gt;0,"A",IF(COUNTIFS(Attendance!$B$5:$B$304,$B31,Attendance!$A$5:$A$304,N$9,Attendance!$F$5:$F$304,"L")&gt;0,"L",""))))</f>
        <v/>
      </c>
      <c r="O31" s="62" t="str">
        <f aca="false">IF($B31="","",IF(COUNTIFS(Attendance!$B$5:$B$304,$B31,Attendance!$A$5:$A$304,O$9,Attendance!$F$5:$F$304,"P")&gt;0,"P",IF(COUNTIFS(Attendance!$B$5:$B$304,$B31,Attendance!$A$5:$A$304,O$9,Attendance!$F$5:$F$304,"A")&gt;0,"A",IF(COUNTIFS(Attendance!$B$5:$B$304,$B31,Attendance!$A$5:$A$304,O$9,Attendance!$F$5:$F$304,"L")&gt;0,"L",""))))</f>
        <v/>
      </c>
      <c r="P31" s="62" t="str">
        <f aca="false">IF($B31="","",IF(COUNTIFS(Attendance!$B$5:$B$304,$B31,Attendance!$A$5:$A$304,P$9,Attendance!$F$5:$F$304,"P")&gt;0,"P",IF(COUNTIFS(Attendance!$B$5:$B$304,$B31,Attendance!$A$5:$A$304,P$9,Attendance!$F$5:$F$304,"A")&gt;0,"A",IF(COUNTIFS(Attendance!$B$5:$B$304,$B31,Attendance!$A$5:$A$304,P$9,Attendance!$F$5:$F$304,"L")&gt;0,"L",""))))</f>
        <v/>
      </c>
      <c r="Q31" s="62" t="str">
        <f aca="false">IF($B31="","",IF(COUNTIFS(Attendance!$B$5:$B$304,$B31,Attendance!$A$5:$A$304,Q$9,Attendance!$F$5:$F$304,"P")&gt;0,"P",IF(COUNTIFS(Attendance!$B$5:$B$304,$B31,Attendance!$A$5:$A$304,Q$9,Attendance!$F$5:$F$304,"A")&gt;0,"A",IF(COUNTIFS(Attendance!$B$5:$B$304,$B31,Attendance!$A$5:$A$304,Q$9,Attendance!$F$5:$F$304,"L")&gt;0,"L",""))))</f>
        <v/>
      </c>
      <c r="R31" s="62" t="str">
        <f aca="false">IF($B31="","",IF(COUNTIFS(Attendance!$B$5:$B$304,$B31,Attendance!$A$5:$A$304,R$9,Attendance!$F$5:$F$304,"P")&gt;0,"P",IF(COUNTIFS(Attendance!$B$5:$B$304,$B31,Attendance!$A$5:$A$304,R$9,Attendance!$F$5:$F$304,"A")&gt;0,"A",IF(COUNTIFS(Attendance!$B$5:$B$304,$B31,Attendance!$A$5:$A$304,R$9,Attendance!$F$5:$F$304,"L")&gt;0,"L",""))))</f>
        <v/>
      </c>
      <c r="S31" s="62" t="str">
        <f aca="false">IF($B31="","",IF(COUNTIFS(Attendance!$B$5:$B$304,$B31,Attendance!$A$5:$A$304,S$9,Attendance!$F$5:$F$304,"P")&gt;0,"P",IF(COUNTIFS(Attendance!$B$5:$B$304,$B31,Attendance!$A$5:$A$304,S$9,Attendance!$F$5:$F$304,"A")&gt;0,"A",IF(COUNTIFS(Attendance!$B$5:$B$304,$B31,Attendance!$A$5:$A$304,S$9,Attendance!$F$5:$F$304,"L")&gt;0,"L",""))))</f>
        <v/>
      </c>
      <c r="T31" s="62" t="str">
        <f aca="false">IF($B31="","",IF(COUNTIFS(Attendance!$B$5:$B$304,$B31,Attendance!$A$5:$A$304,T$9,Attendance!$F$5:$F$304,"P")&gt;0,"P",IF(COUNTIFS(Attendance!$B$5:$B$304,$B31,Attendance!$A$5:$A$304,T$9,Attendance!$F$5:$F$304,"A")&gt;0,"A",IF(COUNTIFS(Attendance!$B$5:$B$304,$B31,Attendance!$A$5:$A$304,T$9,Attendance!$F$5:$F$304,"L")&gt;0,"L",""))))</f>
        <v/>
      </c>
      <c r="U31" s="62" t="str">
        <f aca="false">IF($B31="","",IF(COUNTIFS(Attendance!$B$5:$B$304,$B31,Attendance!$A$5:$A$304,U$9,Attendance!$F$5:$F$304,"P")&gt;0,"P",IF(COUNTIFS(Attendance!$B$5:$B$304,$B31,Attendance!$A$5:$A$304,U$9,Attendance!$F$5:$F$304,"A")&gt;0,"A",IF(COUNTIFS(Attendance!$B$5:$B$304,$B31,Attendance!$A$5:$A$304,U$9,Attendance!$F$5:$F$304,"L")&gt;0,"L",""))))</f>
        <v/>
      </c>
      <c r="V31" s="62" t="str">
        <f aca="false">IF($B31="","",IF(COUNTIFS(Attendance!$B$5:$B$304,$B31,Attendance!$A$5:$A$304,V$9,Attendance!$F$5:$F$304,"P")&gt;0,"P",IF(COUNTIFS(Attendance!$B$5:$B$304,$B31,Attendance!$A$5:$A$304,V$9,Attendance!$F$5:$F$304,"A")&gt;0,"A",IF(COUNTIFS(Attendance!$B$5:$B$304,$B31,Attendance!$A$5:$A$304,V$9,Attendance!$F$5:$F$304,"L")&gt;0,"L",""))))</f>
        <v/>
      </c>
      <c r="W31" s="62" t="str">
        <f aca="false">IF($B31="","",IF(COUNTIFS(Attendance!$B$5:$B$304,$B31,Attendance!$A$5:$A$304,W$9,Attendance!$F$5:$F$304,"P")&gt;0,"P",IF(COUNTIFS(Attendance!$B$5:$B$304,$B31,Attendance!$A$5:$A$304,W$9,Attendance!$F$5:$F$304,"A")&gt;0,"A",IF(COUNTIFS(Attendance!$B$5:$B$304,$B31,Attendance!$A$5:$A$304,W$9,Attendance!$F$5:$F$304,"L")&gt;0,"L",""))))</f>
        <v/>
      </c>
      <c r="X31" s="62" t="str">
        <f aca="false">IF($B31="","",IF(COUNTIFS(Attendance!$B$5:$B$304,$B31,Attendance!$A$5:$A$304,X$9,Attendance!$F$5:$F$304,"P")&gt;0,"P",IF(COUNTIFS(Attendance!$B$5:$B$304,$B31,Attendance!$A$5:$A$304,X$9,Attendance!$F$5:$F$304,"A")&gt;0,"A",IF(COUNTIFS(Attendance!$B$5:$B$304,$B31,Attendance!$A$5:$A$304,X$9,Attendance!$F$5:$F$304,"L")&gt;0,"L",""))))</f>
        <v/>
      </c>
      <c r="Y31" s="59" t="str">
        <f aca="false">IF($B31="","",COUNTIFS(Attendance!$B$5:$B$304,$B31,Attendance!$F$5:$F$304,"P",Attendance!$A$5:$A$304,"&gt;="&amp;$AF$4,Attendance!$A$5:$A$304,"&lt;="&amp;$AF$5))</f>
        <v/>
      </c>
      <c r="Z31" s="59" t="str">
        <f aca="false">IF($B31="","",COUNTIFS(Attendance!$B$5:$B$304,$B31,Attendance!$F$5:$F$304,"A",Attendance!$A$5:$A$304,"&gt;="&amp;$AF$4,Attendance!$A$5:$A$304,"&lt;="&amp;$AF$5))</f>
        <v/>
      </c>
      <c r="AA31" s="59" t="str">
        <f aca="false">IF($B31="","",COUNTIFS(Attendance!$B$5:$B$304,$B31,Attendance!$F$5:$F$304,"L",Attendance!$A$5:$A$304,"&gt;="&amp;$AF$4,Attendance!$A$5:$A$304,"&lt;="&amp;$AF$5))</f>
        <v/>
      </c>
      <c r="AB31" s="59" t="str">
        <f aca="false">IF($B31="","",SUM(Y31:AA31))</f>
        <v/>
      </c>
      <c r="AC31" s="63" t="str">
        <f aca="false">IF($B31="","",IF(AB31=0,"-",(Y31+AA31)/AB31))</f>
        <v/>
      </c>
    </row>
    <row r="32" customFormat="false" ht="19.5" hidden="false" customHeight="true" outlineLevel="0" collapsed="false">
      <c r="A32" s="59" t="str">
        <f aca="false">IF($B32="","",23)</f>
        <v/>
      </c>
      <c r="B32" s="59" t="str">
        <f aca="false">IFERROR(INDEX(Students!$A$5:$A$304,MATCH($C$4&amp;"|"&amp;$C$5&amp;"|"&amp;23,Students!$O$5:$O$304,0)),"")</f>
        <v/>
      </c>
      <c r="C32" s="60" t="str">
        <f aca="false">IF($B32="","",INDEX(Students!$B$5:$B$304,MATCH($B32,Students!$A$5:$A$304,0)))</f>
        <v/>
      </c>
      <c r="D32" s="61"/>
      <c r="E32" s="62" t="str">
        <f aca="false">IF($B32="","",IF(COUNTIFS(Attendance!$B$5:$B$304,$B32,Attendance!$A$5:$A$304,E$9,Attendance!$F$5:$F$304,"P")&gt;0,"P",IF(COUNTIFS(Attendance!$B$5:$B$304,$B32,Attendance!$A$5:$A$304,E$9,Attendance!$F$5:$F$304,"A")&gt;0,"A",IF(COUNTIFS(Attendance!$B$5:$B$304,$B32,Attendance!$A$5:$A$304,E$9,Attendance!$F$5:$F$304,"L")&gt;0,"L",""))))</f>
        <v/>
      </c>
      <c r="F32" s="62" t="str">
        <f aca="false">IF($B32="","",IF(COUNTIFS(Attendance!$B$5:$B$304,$B32,Attendance!$A$5:$A$304,F$9,Attendance!$F$5:$F$304,"P")&gt;0,"P",IF(COUNTIFS(Attendance!$B$5:$B$304,$B32,Attendance!$A$5:$A$304,F$9,Attendance!$F$5:$F$304,"A")&gt;0,"A",IF(COUNTIFS(Attendance!$B$5:$B$304,$B32,Attendance!$A$5:$A$304,F$9,Attendance!$F$5:$F$304,"L")&gt;0,"L",""))))</f>
        <v/>
      </c>
      <c r="G32" s="62" t="str">
        <f aca="false">IF($B32="","",IF(COUNTIFS(Attendance!$B$5:$B$304,$B32,Attendance!$A$5:$A$304,G$9,Attendance!$F$5:$F$304,"P")&gt;0,"P",IF(COUNTIFS(Attendance!$B$5:$B$304,$B32,Attendance!$A$5:$A$304,G$9,Attendance!$F$5:$F$304,"A")&gt;0,"A",IF(COUNTIFS(Attendance!$B$5:$B$304,$B32,Attendance!$A$5:$A$304,G$9,Attendance!$F$5:$F$304,"L")&gt;0,"L",""))))</f>
        <v/>
      </c>
      <c r="H32" s="62" t="str">
        <f aca="false">IF($B32="","",IF(COUNTIFS(Attendance!$B$5:$B$304,$B32,Attendance!$A$5:$A$304,H$9,Attendance!$F$5:$F$304,"P")&gt;0,"P",IF(COUNTIFS(Attendance!$B$5:$B$304,$B32,Attendance!$A$5:$A$304,H$9,Attendance!$F$5:$F$304,"A")&gt;0,"A",IF(COUNTIFS(Attendance!$B$5:$B$304,$B32,Attendance!$A$5:$A$304,H$9,Attendance!$F$5:$F$304,"L")&gt;0,"L",""))))</f>
        <v/>
      </c>
      <c r="I32" s="62" t="str">
        <f aca="false">IF($B32="","",IF(COUNTIFS(Attendance!$B$5:$B$304,$B32,Attendance!$A$5:$A$304,I$9,Attendance!$F$5:$F$304,"P")&gt;0,"P",IF(COUNTIFS(Attendance!$B$5:$B$304,$B32,Attendance!$A$5:$A$304,I$9,Attendance!$F$5:$F$304,"A")&gt;0,"A",IF(COUNTIFS(Attendance!$B$5:$B$304,$B32,Attendance!$A$5:$A$304,I$9,Attendance!$F$5:$F$304,"L")&gt;0,"L",""))))</f>
        <v/>
      </c>
      <c r="J32" s="62" t="str">
        <f aca="false">IF($B32="","",IF(COUNTIFS(Attendance!$B$5:$B$304,$B32,Attendance!$A$5:$A$304,J$9,Attendance!$F$5:$F$304,"P")&gt;0,"P",IF(COUNTIFS(Attendance!$B$5:$B$304,$B32,Attendance!$A$5:$A$304,J$9,Attendance!$F$5:$F$304,"A")&gt;0,"A",IF(COUNTIFS(Attendance!$B$5:$B$304,$B32,Attendance!$A$5:$A$304,J$9,Attendance!$F$5:$F$304,"L")&gt;0,"L",""))))</f>
        <v/>
      </c>
      <c r="K32" s="62" t="str">
        <f aca="false">IF($B32="","",IF(COUNTIFS(Attendance!$B$5:$B$304,$B32,Attendance!$A$5:$A$304,K$9,Attendance!$F$5:$F$304,"P")&gt;0,"P",IF(COUNTIFS(Attendance!$B$5:$B$304,$B32,Attendance!$A$5:$A$304,K$9,Attendance!$F$5:$F$304,"A")&gt;0,"A",IF(COUNTIFS(Attendance!$B$5:$B$304,$B32,Attendance!$A$5:$A$304,K$9,Attendance!$F$5:$F$304,"L")&gt;0,"L",""))))</f>
        <v/>
      </c>
      <c r="L32" s="62" t="str">
        <f aca="false">IF($B32="","",IF(COUNTIFS(Attendance!$B$5:$B$304,$B32,Attendance!$A$5:$A$304,L$9,Attendance!$F$5:$F$304,"P")&gt;0,"P",IF(COUNTIFS(Attendance!$B$5:$B$304,$B32,Attendance!$A$5:$A$304,L$9,Attendance!$F$5:$F$304,"A")&gt;0,"A",IF(COUNTIFS(Attendance!$B$5:$B$304,$B32,Attendance!$A$5:$A$304,L$9,Attendance!$F$5:$F$304,"L")&gt;0,"L",""))))</f>
        <v/>
      </c>
      <c r="M32" s="62" t="str">
        <f aca="false">IF($B32="","",IF(COUNTIFS(Attendance!$B$5:$B$304,$B32,Attendance!$A$5:$A$304,M$9,Attendance!$F$5:$F$304,"P")&gt;0,"P",IF(COUNTIFS(Attendance!$B$5:$B$304,$B32,Attendance!$A$5:$A$304,M$9,Attendance!$F$5:$F$304,"A")&gt;0,"A",IF(COUNTIFS(Attendance!$B$5:$B$304,$B32,Attendance!$A$5:$A$304,M$9,Attendance!$F$5:$F$304,"L")&gt;0,"L",""))))</f>
        <v/>
      </c>
      <c r="N32" s="62" t="str">
        <f aca="false">IF($B32="","",IF(COUNTIFS(Attendance!$B$5:$B$304,$B32,Attendance!$A$5:$A$304,N$9,Attendance!$F$5:$F$304,"P")&gt;0,"P",IF(COUNTIFS(Attendance!$B$5:$B$304,$B32,Attendance!$A$5:$A$304,N$9,Attendance!$F$5:$F$304,"A")&gt;0,"A",IF(COUNTIFS(Attendance!$B$5:$B$304,$B32,Attendance!$A$5:$A$304,N$9,Attendance!$F$5:$F$304,"L")&gt;0,"L",""))))</f>
        <v/>
      </c>
      <c r="O32" s="62" t="str">
        <f aca="false">IF($B32="","",IF(COUNTIFS(Attendance!$B$5:$B$304,$B32,Attendance!$A$5:$A$304,O$9,Attendance!$F$5:$F$304,"P")&gt;0,"P",IF(COUNTIFS(Attendance!$B$5:$B$304,$B32,Attendance!$A$5:$A$304,O$9,Attendance!$F$5:$F$304,"A")&gt;0,"A",IF(COUNTIFS(Attendance!$B$5:$B$304,$B32,Attendance!$A$5:$A$304,O$9,Attendance!$F$5:$F$304,"L")&gt;0,"L",""))))</f>
        <v/>
      </c>
      <c r="P32" s="62" t="str">
        <f aca="false">IF($B32="","",IF(COUNTIFS(Attendance!$B$5:$B$304,$B32,Attendance!$A$5:$A$304,P$9,Attendance!$F$5:$F$304,"P")&gt;0,"P",IF(COUNTIFS(Attendance!$B$5:$B$304,$B32,Attendance!$A$5:$A$304,P$9,Attendance!$F$5:$F$304,"A")&gt;0,"A",IF(COUNTIFS(Attendance!$B$5:$B$304,$B32,Attendance!$A$5:$A$304,P$9,Attendance!$F$5:$F$304,"L")&gt;0,"L",""))))</f>
        <v/>
      </c>
      <c r="Q32" s="62" t="str">
        <f aca="false">IF($B32="","",IF(COUNTIFS(Attendance!$B$5:$B$304,$B32,Attendance!$A$5:$A$304,Q$9,Attendance!$F$5:$F$304,"P")&gt;0,"P",IF(COUNTIFS(Attendance!$B$5:$B$304,$B32,Attendance!$A$5:$A$304,Q$9,Attendance!$F$5:$F$304,"A")&gt;0,"A",IF(COUNTIFS(Attendance!$B$5:$B$304,$B32,Attendance!$A$5:$A$304,Q$9,Attendance!$F$5:$F$304,"L")&gt;0,"L",""))))</f>
        <v/>
      </c>
      <c r="R32" s="62" t="str">
        <f aca="false">IF($B32="","",IF(COUNTIFS(Attendance!$B$5:$B$304,$B32,Attendance!$A$5:$A$304,R$9,Attendance!$F$5:$F$304,"P")&gt;0,"P",IF(COUNTIFS(Attendance!$B$5:$B$304,$B32,Attendance!$A$5:$A$304,R$9,Attendance!$F$5:$F$304,"A")&gt;0,"A",IF(COUNTIFS(Attendance!$B$5:$B$304,$B32,Attendance!$A$5:$A$304,R$9,Attendance!$F$5:$F$304,"L")&gt;0,"L",""))))</f>
        <v/>
      </c>
      <c r="S32" s="62" t="str">
        <f aca="false">IF($B32="","",IF(COUNTIFS(Attendance!$B$5:$B$304,$B32,Attendance!$A$5:$A$304,S$9,Attendance!$F$5:$F$304,"P")&gt;0,"P",IF(COUNTIFS(Attendance!$B$5:$B$304,$B32,Attendance!$A$5:$A$304,S$9,Attendance!$F$5:$F$304,"A")&gt;0,"A",IF(COUNTIFS(Attendance!$B$5:$B$304,$B32,Attendance!$A$5:$A$304,S$9,Attendance!$F$5:$F$304,"L")&gt;0,"L",""))))</f>
        <v/>
      </c>
      <c r="T32" s="62" t="str">
        <f aca="false">IF($B32="","",IF(COUNTIFS(Attendance!$B$5:$B$304,$B32,Attendance!$A$5:$A$304,T$9,Attendance!$F$5:$F$304,"P")&gt;0,"P",IF(COUNTIFS(Attendance!$B$5:$B$304,$B32,Attendance!$A$5:$A$304,T$9,Attendance!$F$5:$F$304,"A")&gt;0,"A",IF(COUNTIFS(Attendance!$B$5:$B$304,$B32,Attendance!$A$5:$A$304,T$9,Attendance!$F$5:$F$304,"L")&gt;0,"L",""))))</f>
        <v/>
      </c>
      <c r="U32" s="62" t="str">
        <f aca="false">IF($B32="","",IF(COUNTIFS(Attendance!$B$5:$B$304,$B32,Attendance!$A$5:$A$304,U$9,Attendance!$F$5:$F$304,"P")&gt;0,"P",IF(COUNTIFS(Attendance!$B$5:$B$304,$B32,Attendance!$A$5:$A$304,U$9,Attendance!$F$5:$F$304,"A")&gt;0,"A",IF(COUNTIFS(Attendance!$B$5:$B$304,$B32,Attendance!$A$5:$A$304,U$9,Attendance!$F$5:$F$304,"L")&gt;0,"L",""))))</f>
        <v/>
      </c>
      <c r="V32" s="62" t="str">
        <f aca="false">IF($B32="","",IF(COUNTIFS(Attendance!$B$5:$B$304,$B32,Attendance!$A$5:$A$304,V$9,Attendance!$F$5:$F$304,"P")&gt;0,"P",IF(COUNTIFS(Attendance!$B$5:$B$304,$B32,Attendance!$A$5:$A$304,V$9,Attendance!$F$5:$F$304,"A")&gt;0,"A",IF(COUNTIFS(Attendance!$B$5:$B$304,$B32,Attendance!$A$5:$A$304,V$9,Attendance!$F$5:$F$304,"L")&gt;0,"L",""))))</f>
        <v/>
      </c>
      <c r="W32" s="62" t="str">
        <f aca="false">IF($B32="","",IF(COUNTIFS(Attendance!$B$5:$B$304,$B32,Attendance!$A$5:$A$304,W$9,Attendance!$F$5:$F$304,"P")&gt;0,"P",IF(COUNTIFS(Attendance!$B$5:$B$304,$B32,Attendance!$A$5:$A$304,W$9,Attendance!$F$5:$F$304,"A")&gt;0,"A",IF(COUNTIFS(Attendance!$B$5:$B$304,$B32,Attendance!$A$5:$A$304,W$9,Attendance!$F$5:$F$304,"L")&gt;0,"L",""))))</f>
        <v/>
      </c>
      <c r="X32" s="62" t="str">
        <f aca="false">IF($B32="","",IF(COUNTIFS(Attendance!$B$5:$B$304,$B32,Attendance!$A$5:$A$304,X$9,Attendance!$F$5:$F$304,"P")&gt;0,"P",IF(COUNTIFS(Attendance!$B$5:$B$304,$B32,Attendance!$A$5:$A$304,X$9,Attendance!$F$5:$F$304,"A")&gt;0,"A",IF(COUNTIFS(Attendance!$B$5:$B$304,$B32,Attendance!$A$5:$A$304,X$9,Attendance!$F$5:$F$304,"L")&gt;0,"L",""))))</f>
        <v/>
      </c>
      <c r="Y32" s="59" t="str">
        <f aca="false">IF($B32="","",COUNTIFS(Attendance!$B$5:$B$304,$B32,Attendance!$F$5:$F$304,"P",Attendance!$A$5:$A$304,"&gt;="&amp;$AF$4,Attendance!$A$5:$A$304,"&lt;="&amp;$AF$5))</f>
        <v/>
      </c>
      <c r="Z32" s="59" t="str">
        <f aca="false">IF($B32="","",COUNTIFS(Attendance!$B$5:$B$304,$B32,Attendance!$F$5:$F$304,"A",Attendance!$A$5:$A$304,"&gt;="&amp;$AF$4,Attendance!$A$5:$A$304,"&lt;="&amp;$AF$5))</f>
        <v/>
      </c>
      <c r="AA32" s="59" t="str">
        <f aca="false">IF($B32="","",COUNTIFS(Attendance!$B$5:$B$304,$B32,Attendance!$F$5:$F$304,"L",Attendance!$A$5:$A$304,"&gt;="&amp;$AF$4,Attendance!$A$5:$A$304,"&lt;="&amp;$AF$5))</f>
        <v/>
      </c>
      <c r="AB32" s="59" t="str">
        <f aca="false">IF($B32="","",SUM(Y32:AA32))</f>
        <v/>
      </c>
      <c r="AC32" s="63" t="str">
        <f aca="false">IF($B32="","",IF(AB32=0,"-",(Y32+AA32)/AB32))</f>
        <v/>
      </c>
    </row>
    <row r="33" customFormat="false" ht="19.5" hidden="false" customHeight="true" outlineLevel="0" collapsed="false">
      <c r="A33" s="59" t="str">
        <f aca="false">IF($B33="","",24)</f>
        <v/>
      </c>
      <c r="B33" s="59" t="str">
        <f aca="false">IFERROR(INDEX(Students!$A$5:$A$304,MATCH($C$4&amp;"|"&amp;$C$5&amp;"|"&amp;24,Students!$O$5:$O$304,0)),"")</f>
        <v/>
      </c>
      <c r="C33" s="60" t="str">
        <f aca="false">IF($B33="","",INDEX(Students!$B$5:$B$304,MATCH($B33,Students!$A$5:$A$304,0)))</f>
        <v/>
      </c>
      <c r="D33" s="61"/>
      <c r="E33" s="62" t="str">
        <f aca="false">IF($B33="","",IF(COUNTIFS(Attendance!$B$5:$B$304,$B33,Attendance!$A$5:$A$304,E$9,Attendance!$F$5:$F$304,"P")&gt;0,"P",IF(COUNTIFS(Attendance!$B$5:$B$304,$B33,Attendance!$A$5:$A$304,E$9,Attendance!$F$5:$F$304,"A")&gt;0,"A",IF(COUNTIFS(Attendance!$B$5:$B$304,$B33,Attendance!$A$5:$A$304,E$9,Attendance!$F$5:$F$304,"L")&gt;0,"L",""))))</f>
        <v/>
      </c>
      <c r="F33" s="62" t="str">
        <f aca="false">IF($B33="","",IF(COUNTIFS(Attendance!$B$5:$B$304,$B33,Attendance!$A$5:$A$304,F$9,Attendance!$F$5:$F$304,"P")&gt;0,"P",IF(COUNTIFS(Attendance!$B$5:$B$304,$B33,Attendance!$A$5:$A$304,F$9,Attendance!$F$5:$F$304,"A")&gt;0,"A",IF(COUNTIFS(Attendance!$B$5:$B$304,$B33,Attendance!$A$5:$A$304,F$9,Attendance!$F$5:$F$304,"L")&gt;0,"L",""))))</f>
        <v/>
      </c>
      <c r="G33" s="62" t="str">
        <f aca="false">IF($B33="","",IF(COUNTIFS(Attendance!$B$5:$B$304,$B33,Attendance!$A$5:$A$304,G$9,Attendance!$F$5:$F$304,"P")&gt;0,"P",IF(COUNTIFS(Attendance!$B$5:$B$304,$B33,Attendance!$A$5:$A$304,G$9,Attendance!$F$5:$F$304,"A")&gt;0,"A",IF(COUNTIFS(Attendance!$B$5:$B$304,$B33,Attendance!$A$5:$A$304,G$9,Attendance!$F$5:$F$304,"L")&gt;0,"L",""))))</f>
        <v/>
      </c>
      <c r="H33" s="62" t="str">
        <f aca="false">IF($B33="","",IF(COUNTIFS(Attendance!$B$5:$B$304,$B33,Attendance!$A$5:$A$304,H$9,Attendance!$F$5:$F$304,"P")&gt;0,"P",IF(COUNTIFS(Attendance!$B$5:$B$304,$B33,Attendance!$A$5:$A$304,H$9,Attendance!$F$5:$F$304,"A")&gt;0,"A",IF(COUNTIFS(Attendance!$B$5:$B$304,$B33,Attendance!$A$5:$A$304,H$9,Attendance!$F$5:$F$304,"L")&gt;0,"L",""))))</f>
        <v/>
      </c>
      <c r="I33" s="62" t="str">
        <f aca="false">IF($B33="","",IF(COUNTIFS(Attendance!$B$5:$B$304,$B33,Attendance!$A$5:$A$304,I$9,Attendance!$F$5:$F$304,"P")&gt;0,"P",IF(COUNTIFS(Attendance!$B$5:$B$304,$B33,Attendance!$A$5:$A$304,I$9,Attendance!$F$5:$F$304,"A")&gt;0,"A",IF(COUNTIFS(Attendance!$B$5:$B$304,$B33,Attendance!$A$5:$A$304,I$9,Attendance!$F$5:$F$304,"L")&gt;0,"L",""))))</f>
        <v/>
      </c>
      <c r="J33" s="62" t="str">
        <f aca="false">IF($B33="","",IF(COUNTIFS(Attendance!$B$5:$B$304,$B33,Attendance!$A$5:$A$304,J$9,Attendance!$F$5:$F$304,"P")&gt;0,"P",IF(COUNTIFS(Attendance!$B$5:$B$304,$B33,Attendance!$A$5:$A$304,J$9,Attendance!$F$5:$F$304,"A")&gt;0,"A",IF(COUNTIFS(Attendance!$B$5:$B$304,$B33,Attendance!$A$5:$A$304,J$9,Attendance!$F$5:$F$304,"L")&gt;0,"L",""))))</f>
        <v/>
      </c>
      <c r="K33" s="62" t="str">
        <f aca="false">IF($B33="","",IF(COUNTIFS(Attendance!$B$5:$B$304,$B33,Attendance!$A$5:$A$304,K$9,Attendance!$F$5:$F$304,"P")&gt;0,"P",IF(COUNTIFS(Attendance!$B$5:$B$304,$B33,Attendance!$A$5:$A$304,K$9,Attendance!$F$5:$F$304,"A")&gt;0,"A",IF(COUNTIFS(Attendance!$B$5:$B$304,$B33,Attendance!$A$5:$A$304,K$9,Attendance!$F$5:$F$304,"L")&gt;0,"L",""))))</f>
        <v/>
      </c>
      <c r="L33" s="62" t="str">
        <f aca="false">IF($B33="","",IF(COUNTIFS(Attendance!$B$5:$B$304,$B33,Attendance!$A$5:$A$304,L$9,Attendance!$F$5:$F$304,"P")&gt;0,"P",IF(COUNTIFS(Attendance!$B$5:$B$304,$B33,Attendance!$A$5:$A$304,L$9,Attendance!$F$5:$F$304,"A")&gt;0,"A",IF(COUNTIFS(Attendance!$B$5:$B$304,$B33,Attendance!$A$5:$A$304,L$9,Attendance!$F$5:$F$304,"L")&gt;0,"L",""))))</f>
        <v/>
      </c>
      <c r="M33" s="62" t="str">
        <f aca="false">IF($B33="","",IF(COUNTIFS(Attendance!$B$5:$B$304,$B33,Attendance!$A$5:$A$304,M$9,Attendance!$F$5:$F$304,"P")&gt;0,"P",IF(COUNTIFS(Attendance!$B$5:$B$304,$B33,Attendance!$A$5:$A$304,M$9,Attendance!$F$5:$F$304,"A")&gt;0,"A",IF(COUNTIFS(Attendance!$B$5:$B$304,$B33,Attendance!$A$5:$A$304,M$9,Attendance!$F$5:$F$304,"L")&gt;0,"L",""))))</f>
        <v/>
      </c>
      <c r="N33" s="62" t="str">
        <f aca="false">IF($B33="","",IF(COUNTIFS(Attendance!$B$5:$B$304,$B33,Attendance!$A$5:$A$304,N$9,Attendance!$F$5:$F$304,"P")&gt;0,"P",IF(COUNTIFS(Attendance!$B$5:$B$304,$B33,Attendance!$A$5:$A$304,N$9,Attendance!$F$5:$F$304,"A")&gt;0,"A",IF(COUNTIFS(Attendance!$B$5:$B$304,$B33,Attendance!$A$5:$A$304,N$9,Attendance!$F$5:$F$304,"L")&gt;0,"L",""))))</f>
        <v/>
      </c>
      <c r="O33" s="62" t="str">
        <f aca="false">IF($B33="","",IF(COUNTIFS(Attendance!$B$5:$B$304,$B33,Attendance!$A$5:$A$304,O$9,Attendance!$F$5:$F$304,"P")&gt;0,"P",IF(COUNTIFS(Attendance!$B$5:$B$304,$B33,Attendance!$A$5:$A$304,O$9,Attendance!$F$5:$F$304,"A")&gt;0,"A",IF(COUNTIFS(Attendance!$B$5:$B$304,$B33,Attendance!$A$5:$A$304,O$9,Attendance!$F$5:$F$304,"L")&gt;0,"L",""))))</f>
        <v/>
      </c>
      <c r="P33" s="62" t="str">
        <f aca="false">IF($B33="","",IF(COUNTIFS(Attendance!$B$5:$B$304,$B33,Attendance!$A$5:$A$304,P$9,Attendance!$F$5:$F$304,"P")&gt;0,"P",IF(COUNTIFS(Attendance!$B$5:$B$304,$B33,Attendance!$A$5:$A$304,P$9,Attendance!$F$5:$F$304,"A")&gt;0,"A",IF(COUNTIFS(Attendance!$B$5:$B$304,$B33,Attendance!$A$5:$A$304,P$9,Attendance!$F$5:$F$304,"L")&gt;0,"L",""))))</f>
        <v/>
      </c>
      <c r="Q33" s="62" t="str">
        <f aca="false">IF($B33="","",IF(COUNTIFS(Attendance!$B$5:$B$304,$B33,Attendance!$A$5:$A$304,Q$9,Attendance!$F$5:$F$304,"P")&gt;0,"P",IF(COUNTIFS(Attendance!$B$5:$B$304,$B33,Attendance!$A$5:$A$304,Q$9,Attendance!$F$5:$F$304,"A")&gt;0,"A",IF(COUNTIFS(Attendance!$B$5:$B$304,$B33,Attendance!$A$5:$A$304,Q$9,Attendance!$F$5:$F$304,"L")&gt;0,"L",""))))</f>
        <v/>
      </c>
      <c r="R33" s="62" t="str">
        <f aca="false">IF($B33="","",IF(COUNTIFS(Attendance!$B$5:$B$304,$B33,Attendance!$A$5:$A$304,R$9,Attendance!$F$5:$F$304,"P")&gt;0,"P",IF(COUNTIFS(Attendance!$B$5:$B$304,$B33,Attendance!$A$5:$A$304,R$9,Attendance!$F$5:$F$304,"A")&gt;0,"A",IF(COUNTIFS(Attendance!$B$5:$B$304,$B33,Attendance!$A$5:$A$304,R$9,Attendance!$F$5:$F$304,"L")&gt;0,"L",""))))</f>
        <v/>
      </c>
      <c r="S33" s="62" t="str">
        <f aca="false">IF($B33="","",IF(COUNTIFS(Attendance!$B$5:$B$304,$B33,Attendance!$A$5:$A$304,S$9,Attendance!$F$5:$F$304,"P")&gt;0,"P",IF(COUNTIFS(Attendance!$B$5:$B$304,$B33,Attendance!$A$5:$A$304,S$9,Attendance!$F$5:$F$304,"A")&gt;0,"A",IF(COUNTIFS(Attendance!$B$5:$B$304,$B33,Attendance!$A$5:$A$304,S$9,Attendance!$F$5:$F$304,"L")&gt;0,"L",""))))</f>
        <v/>
      </c>
      <c r="T33" s="62" t="str">
        <f aca="false">IF($B33="","",IF(COUNTIFS(Attendance!$B$5:$B$304,$B33,Attendance!$A$5:$A$304,T$9,Attendance!$F$5:$F$304,"P")&gt;0,"P",IF(COUNTIFS(Attendance!$B$5:$B$304,$B33,Attendance!$A$5:$A$304,T$9,Attendance!$F$5:$F$304,"A")&gt;0,"A",IF(COUNTIFS(Attendance!$B$5:$B$304,$B33,Attendance!$A$5:$A$304,T$9,Attendance!$F$5:$F$304,"L")&gt;0,"L",""))))</f>
        <v/>
      </c>
      <c r="U33" s="62" t="str">
        <f aca="false">IF($B33="","",IF(COUNTIFS(Attendance!$B$5:$B$304,$B33,Attendance!$A$5:$A$304,U$9,Attendance!$F$5:$F$304,"P")&gt;0,"P",IF(COUNTIFS(Attendance!$B$5:$B$304,$B33,Attendance!$A$5:$A$304,U$9,Attendance!$F$5:$F$304,"A")&gt;0,"A",IF(COUNTIFS(Attendance!$B$5:$B$304,$B33,Attendance!$A$5:$A$304,U$9,Attendance!$F$5:$F$304,"L")&gt;0,"L",""))))</f>
        <v/>
      </c>
      <c r="V33" s="62" t="str">
        <f aca="false">IF($B33="","",IF(COUNTIFS(Attendance!$B$5:$B$304,$B33,Attendance!$A$5:$A$304,V$9,Attendance!$F$5:$F$304,"P")&gt;0,"P",IF(COUNTIFS(Attendance!$B$5:$B$304,$B33,Attendance!$A$5:$A$304,V$9,Attendance!$F$5:$F$304,"A")&gt;0,"A",IF(COUNTIFS(Attendance!$B$5:$B$304,$B33,Attendance!$A$5:$A$304,V$9,Attendance!$F$5:$F$304,"L")&gt;0,"L",""))))</f>
        <v/>
      </c>
      <c r="W33" s="62" t="str">
        <f aca="false">IF($B33="","",IF(COUNTIFS(Attendance!$B$5:$B$304,$B33,Attendance!$A$5:$A$304,W$9,Attendance!$F$5:$F$304,"P")&gt;0,"P",IF(COUNTIFS(Attendance!$B$5:$B$304,$B33,Attendance!$A$5:$A$304,W$9,Attendance!$F$5:$F$304,"A")&gt;0,"A",IF(COUNTIFS(Attendance!$B$5:$B$304,$B33,Attendance!$A$5:$A$304,W$9,Attendance!$F$5:$F$304,"L")&gt;0,"L",""))))</f>
        <v/>
      </c>
      <c r="X33" s="62" t="str">
        <f aca="false">IF($B33="","",IF(COUNTIFS(Attendance!$B$5:$B$304,$B33,Attendance!$A$5:$A$304,X$9,Attendance!$F$5:$F$304,"P")&gt;0,"P",IF(COUNTIFS(Attendance!$B$5:$B$304,$B33,Attendance!$A$5:$A$304,X$9,Attendance!$F$5:$F$304,"A")&gt;0,"A",IF(COUNTIFS(Attendance!$B$5:$B$304,$B33,Attendance!$A$5:$A$304,X$9,Attendance!$F$5:$F$304,"L")&gt;0,"L",""))))</f>
        <v/>
      </c>
      <c r="Y33" s="59" t="str">
        <f aca="false">IF($B33="","",COUNTIFS(Attendance!$B$5:$B$304,$B33,Attendance!$F$5:$F$304,"P",Attendance!$A$5:$A$304,"&gt;="&amp;$AF$4,Attendance!$A$5:$A$304,"&lt;="&amp;$AF$5))</f>
        <v/>
      </c>
      <c r="Z33" s="59" t="str">
        <f aca="false">IF($B33="","",COUNTIFS(Attendance!$B$5:$B$304,$B33,Attendance!$F$5:$F$304,"A",Attendance!$A$5:$A$304,"&gt;="&amp;$AF$4,Attendance!$A$5:$A$304,"&lt;="&amp;$AF$5))</f>
        <v/>
      </c>
      <c r="AA33" s="59" t="str">
        <f aca="false">IF($B33="","",COUNTIFS(Attendance!$B$5:$B$304,$B33,Attendance!$F$5:$F$304,"L",Attendance!$A$5:$A$304,"&gt;="&amp;$AF$4,Attendance!$A$5:$A$304,"&lt;="&amp;$AF$5))</f>
        <v/>
      </c>
      <c r="AB33" s="59" t="str">
        <f aca="false">IF($B33="","",SUM(Y33:AA33))</f>
        <v/>
      </c>
      <c r="AC33" s="63" t="str">
        <f aca="false">IF($B33="","",IF(AB33=0,"-",(Y33+AA33)/AB33))</f>
        <v/>
      </c>
    </row>
    <row r="34" customFormat="false" ht="19.5" hidden="false" customHeight="true" outlineLevel="0" collapsed="false">
      <c r="A34" s="59" t="str">
        <f aca="false">IF($B34="","",25)</f>
        <v/>
      </c>
      <c r="B34" s="59" t="str">
        <f aca="false">IFERROR(INDEX(Students!$A$5:$A$304,MATCH($C$4&amp;"|"&amp;$C$5&amp;"|"&amp;25,Students!$O$5:$O$304,0)),"")</f>
        <v/>
      </c>
      <c r="C34" s="60" t="str">
        <f aca="false">IF($B34="","",INDEX(Students!$B$5:$B$304,MATCH($B34,Students!$A$5:$A$304,0)))</f>
        <v/>
      </c>
      <c r="D34" s="61"/>
      <c r="E34" s="62" t="str">
        <f aca="false">IF($B34="","",IF(COUNTIFS(Attendance!$B$5:$B$304,$B34,Attendance!$A$5:$A$304,E$9,Attendance!$F$5:$F$304,"P")&gt;0,"P",IF(COUNTIFS(Attendance!$B$5:$B$304,$B34,Attendance!$A$5:$A$304,E$9,Attendance!$F$5:$F$304,"A")&gt;0,"A",IF(COUNTIFS(Attendance!$B$5:$B$304,$B34,Attendance!$A$5:$A$304,E$9,Attendance!$F$5:$F$304,"L")&gt;0,"L",""))))</f>
        <v/>
      </c>
      <c r="F34" s="62" t="str">
        <f aca="false">IF($B34="","",IF(COUNTIFS(Attendance!$B$5:$B$304,$B34,Attendance!$A$5:$A$304,F$9,Attendance!$F$5:$F$304,"P")&gt;0,"P",IF(COUNTIFS(Attendance!$B$5:$B$304,$B34,Attendance!$A$5:$A$304,F$9,Attendance!$F$5:$F$304,"A")&gt;0,"A",IF(COUNTIFS(Attendance!$B$5:$B$304,$B34,Attendance!$A$5:$A$304,F$9,Attendance!$F$5:$F$304,"L")&gt;0,"L",""))))</f>
        <v/>
      </c>
      <c r="G34" s="62" t="str">
        <f aca="false">IF($B34="","",IF(COUNTIFS(Attendance!$B$5:$B$304,$B34,Attendance!$A$5:$A$304,G$9,Attendance!$F$5:$F$304,"P")&gt;0,"P",IF(COUNTIFS(Attendance!$B$5:$B$304,$B34,Attendance!$A$5:$A$304,G$9,Attendance!$F$5:$F$304,"A")&gt;0,"A",IF(COUNTIFS(Attendance!$B$5:$B$304,$B34,Attendance!$A$5:$A$304,G$9,Attendance!$F$5:$F$304,"L")&gt;0,"L",""))))</f>
        <v/>
      </c>
      <c r="H34" s="62" t="str">
        <f aca="false">IF($B34="","",IF(COUNTIFS(Attendance!$B$5:$B$304,$B34,Attendance!$A$5:$A$304,H$9,Attendance!$F$5:$F$304,"P")&gt;0,"P",IF(COUNTIFS(Attendance!$B$5:$B$304,$B34,Attendance!$A$5:$A$304,H$9,Attendance!$F$5:$F$304,"A")&gt;0,"A",IF(COUNTIFS(Attendance!$B$5:$B$304,$B34,Attendance!$A$5:$A$304,H$9,Attendance!$F$5:$F$304,"L")&gt;0,"L",""))))</f>
        <v/>
      </c>
      <c r="I34" s="62" t="str">
        <f aca="false">IF($B34="","",IF(COUNTIFS(Attendance!$B$5:$B$304,$B34,Attendance!$A$5:$A$304,I$9,Attendance!$F$5:$F$304,"P")&gt;0,"P",IF(COUNTIFS(Attendance!$B$5:$B$304,$B34,Attendance!$A$5:$A$304,I$9,Attendance!$F$5:$F$304,"A")&gt;0,"A",IF(COUNTIFS(Attendance!$B$5:$B$304,$B34,Attendance!$A$5:$A$304,I$9,Attendance!$F$5:$F$304,"L")&gt;0,"L",""))))</f>
        <v/>
      </c>
      <c r="J34" s="62" t="str">
        <f aca="false">IF($B34="","",IF(COUNTIFS(Attendance!$B$5:$B$304,$B34,Attendance!$A$5:$A$304,J$9,Attendance!$F$5:$F$304,"P")&gt;0,"P",IF(COUNTIFS(Attendance!$B$5:$B$304,$B34,Attendance!$A$5:$A$304,J$9,Attendance!$F$5:$F$304,"A")&gt;0,"A",IF(COUNTIFS(Attendance!$B$5:$B$304,$B34,Attendance!$A$5:$A$304,J$9,Attendance!$F$5:$F$304,"L")&gt;0,"L",""))))</f>
        <v/>
      </c>
      <c r="K34" s="62" t="str">
        <f aca="false">IF($B34="","",IF(COUNTIFS(Attendance!$B$5:$B$304,$B34,Attendance!$A$5:$A$304,K$9,Attendance!$F$5:$F$304,"P")&gt;0,"P",IF(COUNTIFS(Attendance!$B$5:$B$304,$B34,Attendance!$A$5:$A$304,K$9,Attendance!$F$5:$F$304,"A")&gt;0,"A",IF(COUNTIFS(Attendance!$B$5:$B$304,$B34,Attendance!$A$5:$A$304,K$9,Attendance!$F$5:$F$304,"L")&gt;0,"L",""))))</f>
        <v/>
      </c>
      <c r="L34" s="62" t="str">
        <f aca="false">IF($B34="","",IF(COUNTIFS(Attendance!$B$5:$B$304,$B34,Attendance!$A$5:$A$304,L$9,Attendance!$F$5:$F$304,"P")&gt;0,"P",IF(COUNTIFS(Attendance!$B$5:$B$304,$B34,Attendance!$A$5:$A$304,L$9,Attendance!$F$5:$F$304,"A")&gt;0,"A",IF(COUNTIFS(Attendance!$B$5:$B$304,$B34,Attendance!$A$5:$A$304,L$9,Attendance!$F$5:$F$304,"L")&gt;0,"L",""))))</f>
        <v/>
      </c>
      <c r="M34" s="62" t="str">
        <f aca="false">IF($B34="","",IF(COUNTIFS(Attendance!$B$5:$B$304,$B34,Attendance!$A$5:$A$304,M$9,Attendance!$F$5:$F$304,"P")&gt;0,"P",IF(COUNTIFS(Attendance!$B$5:$B$304,$B34,Attendance!$A$5:$A$304,M$9,Attendance!$F$5:$F$304,"A")&gt;0,"A",IF(COUNTIFS(Attendance!$B$5:$B$304,$B34,Attendance!$A$5:$A$304,M$9,Attendance!$F$5:$F$304,"L")&gt;0,"L",""))))</f>
        <v/>
      </c>
      <c r="N34" s="62" t="str">
        <f aca="false">IF($B34="","",IF(COUNTIFS(Attendance!$B$5:$B$304,$B34,Attendance!$A$5:$A$304,N$9,Attendance!$F$5:$F$304,"P")&gt;0,"P",IF(COUNTIFS(Attendance!$B$5:$B$304,$B34,Attendance!$A$5:$A$304,N$9,Attendance!$F$5:$F$304,"A")&gt;0,"A",IF(COUNTIFS(Attendance!$B$5:$B$304,$B34,Attendance!$A$5:$A$304,N$9,Attendance!$F$5:$F$304,"L")&gt;0,"L",""))))</f>
        <v/>
      </c>
      <c r="O34" s="62" t="str">
        <f aca="false">IF($B34="","",IF(COUNTIFS(Attendance!$B$5:$B$304,$B34,Attendance!$A$5:$A$304,O$9,Attendance!$F$5:$F$304,"P")&gt;0,"P",IF(COUNTIFS(Attendance!$B$5:$B$304,$B34,Attendance!$A$5:$A$304,O$9,Attendance!$F$5:$F$304,"A")&gt;0,"A",IF(COUNTIFS(Attendance!$B$5:$B$304,$B34,Attendance!$A$5:$A$304,O$9,Attendance!$F$5:$F$304,"L")&gt;0,"L",""))))</f>
        <v/>
      </c>
      <c r="P34" s="62" t="str">
        <f aca="false">IF($B34="","",IF(COUNTIFS(Attendance!$B$5:$B$304,$B34,Attendance!$A$5:$A$304,P$9,Attendance!$F$5:$F$304,"P")&gt;0,"P",IF(COUNTIFS(Attendance!$B$5:$B$304,$B34,Attendance!$A$5:$A$304,P$9,Attendance!$F$5:$F$304,"A")&gt;0,"A",IF(COUNTIFS(Attendance!$B$5:$B$304,$B34,Attendance!$A$5:$A$304,P$9,Attendance!$F$5:$F$304,"L")&gt;0,"L",""))))</f>
        <v/>
      </c>
      <c r="Q34" s="62" t="str">
        <f aca="false">IF($B34="","",IF(COUNTIFS(Attendance!$B$5:$B$304,$B34,Attendance!$A$5:$A$304,Q$9,Attendance!$F$5:$F$304,"P")&gt;0,"P",IF(COUNTIFS(Attendance!$B$5:$B$304,$B34,Attendance!$A$5:$A$304,Q$9,Attendance!$F$5:$F$304,"A")&gt;0,"A",IF(COUNTIFS(Attendance!$B$5:$B$304,$B34,Attendance!$A$5:$A$304,Q$9,Attendance!$F$5:$F$304,"L")&gt;0,"L",""))))</f>
        <v/>
      </c>
      <c r="R34" s="62" t="str">
        <f aca="false">IF($B34="","",IF(COUNTIFS(Attendance!$B$5:$B$304,$B34,Attendance!$A$5:$A$304,R$9,Attendance!$F$5:$F$304,"P")&gt;0,"P",IF(COUNTIFS(Attendance!$B$5:$B$304,$B34,Attendance!$A$5:$A$304,R$9,Attendance!$F$5:$F$304,"A")&gt;0,"A",IF(COUNTIFS(Attendance!$B$5:$B$304,$B34,Attendance!$A$5:$A$304,R$9,Attendance!$F$5:$F$304,"L")&gt;0,"L",""))))</f>
        <v/>
      </c>
      <c r="S34" s="62" t="str">
        <f aca="false">IF($B34="","",IF(COUNTIFS(Attendance!$B$5:$B$304,$B34,Attendance!$A$5:$A$304,S$9,Attendance!$F$5:$F$304,"P")&gt;0,"P",IF(COUNTIFS(Attendance!$B$5:$B$304,$B34,Attendance!$A$5:$A$304,S$9,Attendance!$F$5:$F$304,"A")&gt;0,"A",IF(COUNTIFS(Attendance!$B$5:$B$304,$B34,Attendance!$A$5:$A$304,S$9,Attendance!$F$5:$F$304,"L")&gt;0,"L",""))))</f>
        <v/>
      </c>
      <c r="T34" s="62" t="str">
        <f aca="false">IF($B34="","",IF(COUNTIFS(Attendance!$B$5:$B$304,$B34,Attendance!$A$5:$A$304,T$9,Attendance!$F$5:$F$304,"P")&gt;0,"P",IF(COUNTIFS(Attendance!$B$5:$B$304,$B34,Attendance!$A$5:$A$304,T$9,Attendance!$F$5:$F$304,"A")&gt;0,"A",IF(COUNTIFS(Attendance!$B$5:$B$304,$B34,Attendance!$A$5:$A$304,T$9,Attendance!$F$5:$F$304,"L")&gt;0,"L",""))))</f>
        <v/>
      </c>
      <c r="U34" s="62" t="str">
        <f aca="false">IF($B34="","",IF(COUNTIFS(Attendance!$B$5:$B$304,$B34,Attendance!$A$5:$A$304,U$9,Attendance!$F$5:$F$304,"P")&gt;0,"P",IF(COUNTIFS(Attendance!$B$5:$B$304,$B34,Attendance!$A$5:$A$304,U$9,Attendance!$F$5:$F$304,"A")&gt;0,"A",IF(COUNTIFS(Attendance!$B$5:$B$304,$B34,Attendance!$A$5:$A$304,U$9,Attendance!$F$5:$F$304,"L")&gt;0,"L",""))))</f>
        <v/>
      </c>
      <c r="V34" s="62" t="str">
        <f aca="false">IF($B34="","",IF(COUNTIFS(Attendance!$B$5:$B$304,$B34,Attendance!$A$5:$A$304,V$9,Attendance!$F$5:$F$304,"P")&gt;0,"P",IF(COUNTIFS(Attendance!$B$5:$B$304,$B34,Attendance!$A$5:$A$304,V$9,Attendance!$F$5:$F$304,"A")&gt;0,"A",IF(COUNTIFS(Attendance!$B$5:$B$304,$B34,Attendance!$A$5:$A$304,V$9,Attendance!$F$5:$F$304,"L")&gt;0,"L",""))))</f>
        <v/>
      </c>
      <c r="W34" s="62" t="str">
        <f aca="false">IF($B34="","",IF(COUNTIFS(Attendance!$B$5:$B$304,$B34,Attendance!$A$5:$A$304,W$9,Attendance!$F$5:$F$304,"P")&gt;0,"P",IF(COUNTIFS(Attendance!$B$5:$B$304,$B34,Attendance!$A$5:$A$304,W$9,Attendance!$F$5:$F$304,"A")&gt;0,"A",IF(COUNTIFS(Attendance!$B$5:$B$304,$B34,Attendance!$A$5:$A$304,W$9,Attendance!$F$5:$F$304,"L")&gt;0,"L",""))))</f>
        <v/>
      </c>
      <c r="X34" s="62" t="str">
        <f aca="false">IF($B34="","",IF(COUNTIFS(Attendance!$B$5:$B$304,$B34,Attendance!$A$5:$A$304,X$9,Attendance!$F$5:$F$304,"P")&gt;0,"P",IF(COUNTIFS(Attendance!$B$5:$B$304,$B34,Attendance!$A$5:$A$304,X$9,Attendance!$F$5:$F$304,"A")&gt;0,"A",IF(COUNTIFS(Attendance!$B$5:$B$304,$B34,Attendance!$A$5:$A$304,X$9,Attendance!$F$5:$F$304,"L")&gt;0,"L",""))))</f>
        <v/>
      </c>
      <c r="Y34" s="59" t="str">
        <f aca="false">IF($B34="","",COUNTIFS(Attendance!$B$5:$B$304,$B34,Attendance!$F$5:$F$304,"P",Attendance!$A$5:$A$304,"&gt;="&amp;$AF$4,Attendance!$A$5:$A$304,"&lt;="&amp;$AF$5))</f>
        <v/>
      </c>
      <c r="Z34" s="59" t="str">
        <f aca="false">IF($B34="","",COUNTIFS(Attendance!$B$5:$B$304,$B34,Attendance!$F$5:$F$304,"A",Attendance!$A$5:$A$304,"&gt;="&amp;$AF$4,Attendance!$A$5:$A$304,"&lt;="&amp;$AF$5))</f>
        <v/>
      </c>
      <c r="AA34" s="59" t="str">
        <f aca="false">IF($B34="","",COUNTIFS(Attendance!$B$5:$B$304,$B34,Attendance!$F$5:$F$304,"L",Attendance!$A$5:$A$304,"&gt;="&amp;$AF$4,Attendance!$A$5:$A$304,"&lt;="&amp;$AF$5))</f>
        <v/>
      </c>
      <c r="AB34" s="59" t="str">
        <f aca="false">IF($B34="","",SUM(Y34:AA34))</f>
        <v/>
      </c>
      <c r="AC34" s="63" t="str">
        <f aca="false">IF($B34="","",IF(AB34=0,"-",(Y34+AA34)/AB34))</f>
        <v/>
      </c>
    </row>
    <row r="35" customFormat="false" ht="19.5" hidden="false" customHeight="true" outlineLevel="0" collapsed="false">
      <c r="A35" s="59" t="str">
        <f aca="false">IF($B35="","",26)</f>
        <v/>
      </c>
      <c r="B35" s="59" t="str">
        <f aca="false">IFERROR(INDEX(Students!$A$5:$A$304,MATCH($C$4&amp;"|"&amp;$C$5&amp;"|"&amp;26,Students!$O$5:$O$304,0)),"")</f>
        <v/>
      </c>
      <c r="C35" s="60" t="str">
        <f aca="false">IF($B35="","",INDEX(Students!$B$5:$B$304,MATCH($B35,Students!$A$5:$A$304,0)))</f>
        <v/>
      </c>
      <c r="D35" s="61"/>
      <c r="E35" s="62" t="str">
        <f aca="false">IF($B35="","",IF(COUNTIFS(Attendance!$B$5:$B$304,$B35,Attendance!$A$5:$A$304,E$9,Attendance!$F$5:$F$304,"P")&gt;0,"P",IF(COUNTIFS(Attendance!$B$5:$B$304,$B35,Attendance!$A$5:$A$304,E$9,Attendance!$F$5:$F$304,"A")&gt;0,"A",IF(COUNTIFS(Attendance!$B$5:$B$304,$B35,Attendance!$A$5:$A$304,E$9,Attendance!$F$5:$F$304,"L")&gt;0,"L",""))))</f>
        <v/>
      </c>
      <c r="F35" s="62" t="str">
        <f aca="false">IF($B35="","",IF(COUNTIFS(Attendance!$B$5:$B$304,$B35,Attendance!$A$5:$A$304,F$9,Attendance!$F$5:$F$304,"P")&gt;0,"P",IF(COUNTIFS(Attendance!$B$5:$B$304,$B35,Attendance!$A$5:$A$304,F$9,Attendance!$F$5:$F$304,"A")&gt;0,"A",IF(COUNTIFS(Attendance!$B$5:$B$304,$B35,Attendance!$A$5:$A$304,F$9,Attendance!$F$5:$F$304,"L")&gt;0,"L",""))))</f>
        <v/>
      </c>
      <c r="G35" s="62" t="str">
        <f aca="false">IF($B35="","",IF(COUNTIFS(Attendance!$B$5:$B$304,$B35,Attendance!$A$5:$A$304,G$9,Attendance!$F$5:$F$304,"P")&gt;0,"P",IF(COUNTIFS(Attendance!$B$5:$B$304,$B35,Attendance!$A$5:$A$304,G$9,Attendance!$F$5:$F$304,"A")&gt;0,"A",IF(COUNTIFS(Attendance!$B$5:$B$304,$B35,Attendance!$A$5:$A$304,G$9,Attendance!$F$5:$F$304,"L")&gt;0,"L",""))))</f>
        <v/>
      </c>
      <c r="H35" s="62" t="str">
        <f aca="false">IF($B35="","",IF(COUNTIFS(Attendance!$B$5:$B$304,$B35,Attendance!$A$5:$A$304,H$9,Attendance!$F$5:$F$304,"P")&gt;0,"P",IF(COUNTIFS(Attendance!$B$5:$B$304,$B35,Attendance!$A$5:$A$304,H$9,Attendance!$F$5:$F$304,"A")&gt;0,"A",IF(COUNTIFS(Attendance!$B$5:$B$304,$B35,Attendance!$A$5:$A$304,H$9,Attendance!$F$5:$F$304,"L")&gt;0,"L",""))))</f>
        <v/>
      </c>
      <c r="I35" s="62" t="str">
        <f aca="false">IF($B35="","",IF(COUNTIFS(Attendance!$B$5:$B$304,$B35,Attendance!$A$5:$A$304,I$9,Attendance!$F$5:$F$304,"P")&gt;0,"P",IF(COUNTIFS(Attendance!$B$5:$B$304,$B35,Attendance!$A$5:$A$304,I$9,Attendance!$F$5:$F$304,"A")&gt;0,"A",IF(COUNTIFS(Attendance!$B$5:$B$304,$B35,Attendance!$A$5:$A$304,I$9,Attendance!$F$5:$F$304,"L")&gt;0,"L",""))))</f>
        <v/>
      </c>
      <c r="J35" s="62" t="str">
        <f aca="false">IF($B35="","",IF(COUNTIFS(Attendance!$B$5:$B$304,$B35,Attendance!$A$5:$A$304,J$9,Attendance!$F$5:$F$304,"P")&gt;0,"P",IF(COUNTIFS(Attendance!$B$5:$B$304,$B35,Attendance!$A$5:$A$304,J$9,Attendance!$F$5:$F$304,"A")&gt;0,"A",IF(COUNTIFS(Attendance!$B$5:$B$304,$B35,Attendance!$A$5:$A$304,J$9,Attendance!$F$5:$F$304,"L")&gt;0,"L",""))))</f>
        <v/>
      </c>
      <c r="K35" s="62" t="str">
        <f aca="false">IF($B35="","",IF(COUNTIFS(Attendance!$B$5:$B$304,$B35,Attendance!$A$5:$A$304,K$9,Attendance!$F$5:$F$304,"P")&gt;0,"P",IF(COUNTIFS(Attendance!$B$5:$B$304,$B35,Attendance!$A$5:$A$304,K$9,Attendance!$F$5:$F$304,"A")&gt;0,"A",IF(COUNTIFS(Attendance!$B$5:$B$304,$B35,Attendance!$A$5:$A$304,K$9,Attendance!$F$5:$F$304,"L")&gt;0,"L",""))))</f>
        <v/>
      </c>
      <c r="L35" s="62" t="str">
        <f aca="false">IF($B35="","",IF(COUNTIFS(Attendance!$B$5:$B$304,$B35,Attendance!$A$5:$A$304,L$9,Attendance!$F$5:$F$304,"P")&gt;0,"P",IF(COUNTIFS(Attendance!$B$5:$B$304,$B35,Attendance!$A$5:$A$304,L$9,Attendance!$F$5:$F$304,"A")&gt;0,"A",IF(COUNTIFS(Attendance!$B$5:$B$304,$B35,Attendance!$A$5:$A$304,L$9,Attendance!$F$5:$F$304,"L")&gt;0,"L",""))))</f>
        <v/>
      </c>
      <c r="M35" s="62" t="str">
        <f aca="false">IF($B35="","",IF(COUNTIFS(Attendance!$B$5:$B$304,$B35,Attendance!$A$5:$A$304,M$9,Attendance!$F$5:$F$304,"P")&gt;0,"P",IF(COUNTIFS(Attendance!$B$5:$B$304,$B35,Attendance!$A$5:$A$304,M$9,Attendance!$F$5:$F$304,"A")&gt;0,"A",IF(COUNTIFS(Attendance!$B$5:$B$304,$B35,Attendance!$A$5:$A$304,M$9,Attendance!$F$5:$F$304,"L")&gt;0,"L",""))))</f>
        <v/>
      </c>
      <c r="N35" s="62" t="str">
        <f aca="false">IF($B35="","",IF(COUNTIFS(Attendance!$B$5:$B$304,$B35,Attendance!$A$5:$A$304,N$9,Attendance!$F$5:$F$304,"P")&gt;0,"P",IF(COUNTIFS(Attendance!$B$5:$B$304,$B35,Attendance!$A$5:$A$304,N$9,Attendance!$F$5:$F$304,"A")&gt;0,"A",IF(COUNTIFS(Attendance!$B$5:$B$304,$B35,Attendance!$A$5:$A$304,N$9,Attendance!$F$5:$F$304,"L")&gt;0,"L",""))))</f>
        <v/>
      </c>
      <c r="O35" s="62" t="str">
        <f aca="false">IF($B35="","",IF(COUNTIFS(Attendance!$B$5:$B$304,$B35,Attendance!$A$5:$A$304,O$9,Attendance!$F$5:$F$304,"P")&gt;0,"P",IF(COUNTIFS(Attendance!$B$5:$B$304,$B35,Attendance!$A$5:$A$304,O$9,Attendance!$F$5:$F$304,"A")&gt;0,"A",IF(COUNTIFS(Attendance!$B$5:$B$304,$B35,Attendance!$A$5:$A$304,O$9,Attendance!$F$5:$F$304,"L")&gt;0,"L",""))))</f>
        <v/>
      </c>
      <c r="P35" s="62" t="str">
        <f aca="false">IF($B35="","",IF(COUNTIFS(Attendance!$B$5:$B$304,$B35,Attendance!$A$5:$A$304,P$9,Attendance!$F$5:$F$304,"P")&gt;0,"P",IF(COUNTIFS(Attendance!$B$5:$B$304,$B35,Attendance!$A$5:$A$304,P$9,Attendance!$F$5:$F$304,"A")&gt;0,"A",IF(COUNTIFS(Attendance!$B$5:$B$304,$B35,Attendance!$A$5:$A$304,P$9,Attendance!$F$5:$F$304,"L")&gt;0,"L",""))))</f>
        <v/>
      </c>
      <c r="Q35" s="62" t="str">
        <f aca="false">IF($B35="","",IF(COUNTIFS(Attendance!$B$5:$B$304,$B35,Attendance!$A$5:$A$304,Q$9,Attendance!$F$5:$F$304,"P")&gt;0,"P",IF(COUNTIFS(Attendance!$B$5:$B$304,$B35,Attendance!$A$5:$A$304,Q$9,Attendance!$F$5:$F$304,"A")&gt;0,"A",IF(COUNTIFS(Attendance!$B$5:$B$304,$B35,Attendance!$A$5:$A$304,Q$9,Attendance!$F$5:$F$304,"L")&gt;0,"L",""))))</f>
        <v/>
      </c>
      <c r="R35" s="62" t="str">
        <f aca="false">IF($B35="","",IF(COUNTIFS(Attendance!$B$5:$B$304,$B35,Attendance!$A$5:$A$304,R$9,Attendance!$F$5:$F$304,"P")&gt;0,"P",IF(COUNTIFS(Attendance!$B$5:$B$304,$B35,Attendance!$A$5:$A$304,R$9,Attendance!$F$5:$F$304,"A")&gt;0,"A",IF(COUNTIFS(Attendance!$B$5:$B$304,$B35,Attendance!$A$5:$A$304,R$9,Attendance!$F$5:$F$304,"L")&gt;0,"L",""))))</f>
        <v/>
      </c>
      <c r="S35" s="62" t="str">
        <f aca="false">IF($B35="","",IF(COUNTIFS(Attendance!$B$5:$B$304,$B35,Attendance!$A$5:$A$304,S$9,Attendance!$F$5:$F$304,"P")&gt;0,"P",IF(COUNTIFS(Attendance!$B$5:$B$304,$B35,Attendance!$A$5:$A$304,S$9,Attendance!$F$5:$F$304,"A")&gt;0,"A",IF(COUNTIFS(Attendance!$B$5:$B$304,$B35,Attendance!$A$5:$A$304,S$9,Attendance!$F$5:$F$304,"L")&gt;0,"L",""))))</f>
        <v/>
      </c>
      <c r="T35" s="62" t="str">
        <f aca="false">IF($B35="","",IF(COUNTIFS(Attendance!$B$5:$B$304,$B35,Attendance!$A$5:$A$304,T$9,Attendance!$F$5:$F$304,"P")&gt;0,"P",IF(COUNTIFS(Attendance!$B$5:$B$304,$B35,Attendance!$A$5:$A$304,T$9,Attendance!$F$5:$F$304,"A")&gt;0,"A",IF(COUNTIFS(Attendance!$B$5:$B$304,$B35,Attendance!$A$5:$A$304,T$9,Attendance!$F$5:$F$304,"L")&gt;0,"L",""))))</f>
        <v/>
      </c>
      <c r="U35" s="62" t="str">
        <f aca="false">IF($B35="","",IF(COUNTIFS(Attendance!$B$5:$B$304,$B35,Attendance!$A$5:$A$304,U$9,Attendance!$F$5:$F$304,"P")&gt;0,"P",IF(COUNTIFS(Attendance!$B$5:$B$304,$B35,Attendance!$A$5:$A$304,U$9,Attendance!$F$5:$F$304,"A")&gt;0,"A",IF(COUNTIFS(Attendance!$B$5:$B$304,$B35,Attendance!$A$5:$A$304,U$9,Attendance!$F$5:$F$304,"L")&gt;0,"L",""))))</f>
        <v/>
      </c>
      <c r="V35" s="62" t="str">
        <f aca="false">IF($B35="","",IF(COUNTIFS(Attendance!$B$5:$B$304,$B35,Attendance!$A$5:$A$304,V$9,Attendance!$F$5:$F$304,"P")&gt;0,"P",IF(COUNTIFS(Attendance!$B$5:$B$304,$B35,Attendance!$A$5:$A$304,V$9,Attendance!$F$5:$F$304,"A")&gt;0,"A",IF(COUNTIFS(Attendance!$B$5:$B$304,$B35,Attendance!$A$5:$A$304,V$9,Attendance!$F$5:$F$304,"L")&gt;0,"L",""))))</f>
        <v/>
      </c>
      <c r="W35" s="62" t="str">
        <f aca="false">IF($B35="","",IF(COUNTIFS(Attendance!$B$5:$B$304,$B35,Attendance!$A$5:$A$304,W$9,Attendance!$F$5:$F$304,"P")&gt;0,"P",IF(COUNTIFS(Attendance!$B$5:$B$304,$B35,Attendance!$A$5:$A$304,W$9,Attendance!$F$5:$F$304,"A")&gt;0,"A",IF(COUNTIFS(Attendance!$B$5:$B$304,$B35,Attendance!$A$5:$A$304,W$9,Attendance!$F$5:$F$304,"L")&gt;0,"L",""))))</f>
        <v/>
      </c>
      <c r="X35" s="62" t="str">
        <f aca="false">IF($B35="","",IF(COUNTIFS(Attendance!$B$5:$B$304,$B35,Attendance!$A$5:$A$304,X$9,Attendance!$F$5:$F$304,"P")&gt;0,"P",IF(COUNTIFS(Attendance!$B$5:$B$304,$B35,Attendance!$A$5:$A$304,X$9,Attendance!$F$5:$F$304,"A")&gt;0,"A",IF(COUNTIFS(Attendance!$B$5:$B$304,$B35,Attendance!$A$5:$A$304,X$9,Attendance!$F$5:$F$304,"L")&gt;0,"L",""))))</f>
        <v/>
      </c>
      <c r="Y35" s="59" t="str">
        <f aca="false">IF($B35="","",COUNTIFS(Attendance!$B$5:$B$304,$B35,Attendance!$F$5:$F$304,"P",Attendance!$A$5:$A$304,"&gt;="&amp;$AF$4,Attendance!$A$5:$A$304,"&lt;="&amp;$AF$5))</f>
        <v/>
      </c>
      <c r="Z35" s="59" t="str">
        <f aca="false">IF($B35="","",COUNTIFS(Attendance!$B$5:$B$304,$B35,Attendance!$F$5:$F$304,"A",Attendance!$A$5:$A$304,"&gt;="&amp;$AF$4,Attendance!$A$5:$A$304,"&lt;="&amp;$AF$5))</f>
        <v/>
      </c>
      <c r="AA35" s="59" t="str">
        <f aca="false">IF($B35="","",COUNTIFS(Attendance!$B$5:$B$304,$B35,Attendance!$F$5:$F$304,"L",Attendance!$A$5:$A$304,"&gt;="&amp;$AF$4,Attendance!$A$5:$A$304,"&lt;="&amp;$AF$5))</f>
        <v/>
      </c>
      <c r="AB35" s="59" t="str">
        <f aca="false">IF($B35="","",SUM(Y35:AA35))</f>
        <v/>
      </c>
      <c r="AC35" s="63" t="str">
        <f aca="false">IF($B35="","",IF(AB35=0,"-",(Y35+AA35)/AB35))</f>
        <v/>
      </c>
    </row>
    <row r="36" customFormat="false" ht="19.5" hidden="false" customHeight="true" outlineLevel="0" collapsed="false">
      <c r="A36" s="59" t="str">
        <f aca="false">IF($B36="","",27)</f>
        <v/>
      </c>
      <c r="B36" s="59" t="str">
        <f aca="false">IFERROR(INDEX(Students!$A$5:$A$304,MATCH($C$4&amp;"|"&amp;$C$5&amp;"|"&amp;27,Students!$O$5:$O$304,0)),"")</f>
        <v/>
      </c>
      <c r="C36" s="60" t="str">
        <f aca="false">IF($B36="","",INDEX(Students!$B$5:$B$304,MATCH($B36,Students!$A$5:$A$304,0)))</f>
        <v/>
      </c>
      <c r="D36" s="61"/>
      <c r="E36" s="62" t="str">
        <f aca="false">IF($B36="","",IF(COUNTIFS(Attendance!$B$5:$B$304,$B36,Attendance!$A$5:$A$304,E$9,Attendance!$F$5:$F$304,"P")&gt;0,"P",IF(COUNTIFS(Attendance!$B$5:$B$304,$B36,Attendance!$A$5:$A$304,E$9,Attendance!$F$5:$F$304,"A")&gt;0,"A",IF(COUNTIFS(Attendance!$B$5:$B$304,$B36,Attendance!$A$5:$A$304,E$9,Attendance!$F$5:$F$304,"L")&gt;0,"L",""))))</f>
        <v/>
      </c>
      <c r="F36" s="62" t="str">
        <f aca="false">IF($B36="","",IF(COUNTIFS(Attendance!$B$5:$B$304,$B36,Attendance!$A$5:$A$304,F$9,Attendance!$F$5:$F$304,"P")&gt;0,"P",IF(COUNTIFS(Attendance!$B$5:$B$304,$B36,Attendance!$A$5:$A$304,F$9,Attendance!$F$5:$F$304,"A")&gt;0,"A",IF(COUNTIFS(Attendance!$B$5:$B$304,$B36,Attendance!$A$5:$A$304,F$9,Attendance!$F$5:$F$304,"L")&gt;0,"L",""))))</f>
        <v/>
      </c>
      <c r="G36" s="62" t="str">
        <f aca="false">IF($B36="","",IF(COUNTIFS(Attendance!$B$5:$B$304,$B36,Attendance!$A$5:$A$304,G$9,Attendance!$F$5:$F$304,"P")&gt;0,"P",IF(COUNTIFS(Attendance!$B$5:$B$304,$B36,Attendance!$A$5:$A$304,G$9,Attendance!$F$5:$F$304,"A")&gt;0,"A",IF(COUNTIFS(Attendance!$B$5:$B$304,$B36,Attendance!$A$5:$A$304,G$9,Attendance!$F$5:$F$304,"L")&gt;0,"L",""))))</f>
        <v/>
      </c>
      <c r="H36" s="62" t="str">
        <f aca="false">IF($B36="","",IF(COUNTIFS(Attendance!$B$5:$B$304,$B36,Attendance!$A$5:$A$304,H$9,Attendance!$F$5:$F$304,"P")&gt;0,"P",IF(COUNTIFS(Attendance!$B$5:$B$304,$B36,Attendance!$A$5:$A$304,H$9,Attendance!$F$5:$F$304,"A")&gt;0,"A",IF(COUNTIFS(Attendance!$B$5:$B$304,$B36,Attendance!$A$5:$A$304,H$9,Attendance!$F$5:$F$304,"L")&gt;0,"L",""))))</f>
        <v/>
      </c>
      <c r="I36" s="62" t="str">
        <f aca="false">IF($B36="","",IF(COUNTIFS(Attendance!$B$5:$B$304,$B36,Attendance!$A$5:$A$304,I$9,Attendance!$F$5:$F$304,"P")&gt;0,"P",IF(COUNTIFS(Attendance!$B$5:$B$304,$B36,Attendance!$A$5:$A$304,I$9,Attendance!$F$5:$F$304,"A")&gt;0,"A",IF(COUNTIFS(Attendance!$B$5:$B$304,$B36,Attendance!$A$5:$A$304,I$9,Attendance!$F$5:$F$304,"L")&gt;0,"L",""))))</f>
        <v/>
      </c>
      <c r="J36" s="62" t="str">
        <f aca="false">IF($B36="","",IF(COUNTIFS(Attendance!$B$5:$B$304,$B36,Attendance!$A$5:$A$304,J$9,Attendance!$F$5:$F$304,"P")&gt;0,"P",IF(COUNTIFS(Attendance!$B$5:$B$304,$B36,Attendance!$A$5:$A$304,J$9,Attendance!$F$5:$F$304,"A")&gt;0,"A",IF(COUNTIFS(Attendance!$B$5:$B$304,$B36,Attendance!$A$5:$A$304,J$9,Attendance!$F$5:$F$304,"L")&gt;0,"L",""))))</f>
        <v/>
      </c>
      <c r="K36" s="62" t="str">
        <f aca="false">IF($B36="","",IF(COUNTIFS(Attendance!$B$5:$B$304,$B36,Attendance!$A$5:$A$304,K$9,Attendance!$F$5:$F$304,"P")&gt;0,"P",IF(COUNTIFS(Attendance!$B$5:$B$304,$B36,Attendance!$A$5:$A$304,K$9,Attendance!$F$5:$F$304,"A")&gt;0,"A",IF(COUNTIFS(Attendance!$B$5:$B$304,$B36,Attendance!$A$5:$A$304,K$9,Attendance!$F$5:$F$304,"L")&gt;0,"L",""))))</f>
        <v/>
      </c>
      <c r="L36" s="62" t="str">
        <f aca="false">IF($B36="","",IF(COUNTIFS(Attendance!$B$5:$B$304,$B36,Attendance!$A$5:$A$304,L$9,Attendance!$F$5:$F$304,"P")&gt;0,"P",IF(COUNTIFS(Attendance!$B$5:$B$304,$B36,Attendance!$A$5:$A$304,L$9,Attendance!$F$5:$F$304,"A")&gt;0,"A",IF(COUNTIFS(Attendance!$B$5:$B$304,$B36,Attendance!$A$5:$A$304,L$9,Attendance!$F$5:$F$304,"L")&gt;0,"L",""))))</f>
        <v/>
      </c>
      <c r="M36" s="62" t="str">
        <f aca="false">IF($B36="","",IF(COUNTIFS(Attendance!$B$5:$B$304,$B36,Attendance!$A$5:$A$304,M$9,Attendance!$F$5:$F$304,"P")&gt;0,"P",IF(COUNTIFS(Attendance!$B$5:$B$304,$B36,Attendance!$A$5:$A$304,M$9,Attendance!$F$5:$F$304,"A")&gt;0,"A",IF(COUNTIFS(Attendance!$B$5:$B$304,$B36,Attendance!$A$5:$A$304,M$9,Attendance!$F$5:$F$304,"L")&gt;0,"L",""))))</f>
        <v/>
      </c>
      <c r="N36" s="62" t="str">
        <f aca="false">IF($B36="","",IF(COUNTIFS(Attendance!$B$5:$B$304,$B36,Attendance!$A$5:$A$304,N$9,Attendance!$F$5:$F$304,"P")&gt;0,"P",IF(COUNTIFS(Attendance!$B$5:$B$304,$B36,Attendance!$A$5:$A$304,N$9,Attendance!$F$5:$F$304,"A")&gt;0,"A",IF(COUNTIFS(Attendance!$B$5:$B$304,$B36,Attendance!$A$5:$A$304,N$9,Attendance!$F$5:$F$304,"L")&gt;0,"L",""))))</f>
        <v/>
      </c>
      <c r="O36" s="62" t="str">
        <f aca="false">IF($B36="","",IF(COUNTIFS(Attendance!$B$5:$B$304,$B36,Attendance!$A$5:$A$304,O$9,Attendance!$F$5:$F$304,"P")&gt;0,"P",IF(COUNTIFS(Attendance!$B$5:$B$304,$B36,Attendance!$A$5:$A$304,O$9,Attendance!$F$5:$F$304,"A")&gt;0,"A",IF(COUNTIFS(Attendance!$B$5:$B$304,$B36,Attendance!$A$5:$A$304,O$9,Attendance!$F$5:$F$304,"L")&gt;0,"L",""))))</f>
        <v/>
      </c>
      <c r="P36" s="62" t="str">
        <f aca="false">IF($B36="","",IF(COUNTIFS(Attendance!$B$5:$B$304,$B36,Attendance!$A$5:$A$304,P$9,Attendance!$F$5:$F$304,"P")&gt;0,"P",IF(COUNTIFS(Attendance!$B$5:$B$304,$B36,Attendance!$A$5:$A$304,P$9,Attendance!$F$5:$F$304,"A")&gt;0,"A",IF(COUNTIFS(Attendance!$B$5:$B$304,$B36,Attendance!$A$5:$A$304,P$9,Attendance!$F$5:$F$304,"L")&gt;0,"L",""))))</f>
        <v/>
      </c>
      <c r="Q36" s="62" t="str">
        <f aca="false">IF($B36="","",IF(COUNTIFS(Attendance!$B$5:$B$304,$B36,Attendance!$A$5:$A$304,Q$9,Attendance!$F$5:$F$304,"P")&gt;0,"P",IF(COUNTIFS(Attendance!$B$5:$B$304,$B36,Attendance!$A$5:$A$304,Q$9,Attendance!$F$5:$F$304,"A")&gt;0,"A",IF(COUNTIFS(Attendance!$B$5:$B$304,$B36,Attendance!$A$5:$A$304,Q$9,Attendance!$F$5:$F$304,"L")&gt;0,"L",""))))</f>
        <v/>
      </c>
      <c r="R36" s="62" t="str">
        <f aca="false">IF($B36="","",IF(COUNTIFS(Attendance!$B$5:$B$304,$B36,Attendance!$A$5:$A$304,R$9,Attendance!$F$5:$F$304,"P")&gt;0,"P",IF(COUNTIFS(Attendance!$B$5:$B$304,$B36,Attendance!$A$5:$A$304,R$9,Attendance!$F$5:$F$304,"A")&gt;0,"A",IF(COUNTIFS(Attendance!$B$5:$B$304,$B36,Attendance!$A$5:$A$304,R$9,Attendance!$F$5:$F$304,"L")&gt;0,"L",""))))</f>
        <v/>
      </c>
      <c r="S36" s="62" t="str">
        <f aca="false">IF($B36="","",IF(COUNTIFS(Attendance!$B$5:$B$304,$B36,Attendance!$A$5:$A$304,S$9,Attendance!$F$5:$F$304,"P")&gt;0,"P",IF(COUNTIFS(Attendance!$B$5:$B$304,$B36,Attendance!$A$5:$A$304,S$9,Attendance!$F$5:$F$304,"A")&gt;0,"A",IF(COUNTIFS(Attendance!$B$5:$B$304,$B36,Attendance!$A$5:$A$304,S$9,Attendance!$F$5:$F$304,"L")&gt;0,"L",""))))</f>
        <v/>
      </c>
      <c r="T36" s="62" t="str">
        <f aca="false">IF($B36="","",IF(COUNTIFS(Attendance!$B$5:$B$304,$B36,Attendance!$A$5:$A$304,T$9,Attendance!$F$5:$F$304,"P")&gt;0,"P",IF(COUNTIFS(Attendance!$B$5:$B$304,$B36,Attendance!$A$5:$A$304,T$9,Attendance!$F$5:$F$304,"A")&gt;0,"A",IF(COUNTIFS(Attendance!$B$5:$B$304,$B36,Attendance!$A$5:$A$304,T$9,Attendance!$F$5:$F$304,"L")&gt;0,"L",""))))</f>
        <v/>
      </c>
      <c r="U36" s="62" t="str">
        <f aca="false">IF($B36="","",IF(COUNTIFS(Attendance!$B$5:$B$304,$B36,Attendance!$A$5:$A$304,U$9,Attendance!$F$5:$F$304,"P")&gt;0,"P",IF(COUNTIFS(Attendance!$B$5:$B$304,$B36,Attendance!$A$5:$A$304,U$9,Attendance!$F$5:$F$304,"A")&gt;0,"A",IF(COUNTIFS(Attendance!$B$5:$B$304,$B36,Attendance!$A$5:$A$304,U$9,Attendance!$F$5:$F$304,"L")&gt;0,"L",""))))</f>
        <v/>
      </c>
      <c r="V36" s="62" t="str">
        <f aca="false">IF($B36="","",IF(COUNTIFS(Attendance!$B$5:$B$304,$B36,Attendance!$A$5:$A$304,V$9,Attendance!$F$5:$F$304,"P")&gt;0,"P",IF(COUNTIFS(Attendance!$B$5:$B$304,$B36,Attendance!$A$5:$A$304,V$9,Attendance!$F$5:$F$304,"A")&gt;0,"A",IF(COUNTIFS(Attendance!$B$5:$B$304,$B36,Attendance!$A$5:$A$304,V$9,Attendance!$F$5:$F$304,"L")&gt;0,"L",""))))</f>
        <v/>
      </c>
      <c r="W36" s="62" t="str">
        <f aca="false">IF($B36="","",IF(COUNTIFS(Attendance!$B$5:$B$304,$B36,Attendance!$A$5:$A$304,W$9,Attendance!$F$5:$F$304,"P")&gt;0,"P",IF(COUNTIFS(Attendance!$B$5:$B$304,$B36,Attendance!$A$5:$A$304,W$9,Attendance!$F$5:$F$304,"A")&gt;0,"A",IF(COUNTIFS(Attendance!$B$5:$B$304,$B36,Attendance!$A$5:$A$304,W$9,Attendance!$F$5:$F$304,"L")&gt;0,"L",""))))</f>
        <v/>
      </c>
      <c r="X36" s="62" t="str">
        <f aca="false">IF($B36="","",IF(COUNTIFS(Attendance!$B$5:$B$304,$B36,Attendance!$A$5:$A$304,X$9,Attendance!$F$5:$F$304,"P")&gt;0,"P",IF(COUNTIFS(Attendance!$B$5:$B$304,$B36,Attendance!$A$5:$A$304,X$9,Attendance!$F$5:$F$304,"A")&gt;0,"A",IF(COUNTIFS(Attendance!$B$5:$B$304,$B36,Attendance!$A$5:$A$304,X$9,Attendance!$F$5:$F$304,"L")&gt;0,"L",""))))</f>
        <v/>
      </c>
      <c r="Y36" s="59" t="str">
        <f aca="false">IF($B36="","",COUNTIFS(Attendance!$B$5:$B$304,$B36,Attendance!$F$5:$F$304,"P",Attendance!$A$5:$A$304,"&gt;="&amp;$AF$4,Attendance!$A$5:$A$304,"&lt;="&amp;$AF$5))</f>
        <v/>
      </c>
      <c r="Z36" s="59" t="str">
        <f aca="false">IF($B36="","",COUNTIFS(Attendance!$B$5:$B$304,$B36,Attendance!$F$5:$F$304,"A",Attendance!$A$5:$A$304,"&gt;="&amp;$AF$4,Attendance!$A$5:$A$304,"&lt;="&amp;$AF$5))</f>
        <v/>
      </c>
      <c r="AA36" s="59" t="str">
        <f aca="false">IF($B36="","",COUNTIFS(Attendance!$B$5:$B$304,$B36,Attendance!$F$5:$F$304,"L",Attendance!$A$5:$A$304,"&gt;="&amp;$AF$4,Attendance!$A$5:$A$304,"&lt;="&amp;$AF$5))</f>
        <v/>
      </c>
      <c r="AB36" s="59" t="str">
        <f aca="false">IF($B36="","",SUM(Y36:AA36))</f>
        <v/>
      </c>
      <c r="AC36" s="63" t="str">
        <f aca="false">IF($B36="","",IF(AB36=0,"-",(Y36+AA36)/AB36))</f>
        <v/>
      </c>
    </row>
    <row r="37" customFormat="false" ht="19.5" hidden="false" customHeight="true" outlineLevel="0" collapsed="false">
      <c r="A37" s="59" t="str">
        <f aca="false">IF($B37="","",28)</f>
        <v/>
      </c>
      <c r="B37" s="59" t="str">
        <f aca="false">IFERROR(INDEX(Students!$A$5:$A$304,MATCH($C$4&amp;"|"&amp;$C$5&amp;"|"&amp;28,Students!$O$5:$O$304,0)),"")</f>
        <v/>
      </c>
      <c r="C37" s="60" t="str">
        <f aca="false">IF($B37="","",INDEX(Students!$B$5:$B$304,MATCH($B37,Students!$A$5:$A$304,0)))</f>
        <v/>
      </c>
      <c r="D37" s="61"/>
      <c r="E37" s="62" t="str">
        <f aca="false">IF($B37="","",IF(COUNTIFS(Attendance!$B$5:$B$304,$B37,Attendance!$A$5:$A$304,E$9,Attendance!$F$5:$F$304,"P")&gt;0,"P",IF(COUNTIFS(Attendance!$B$5:$B$304,$B37,Attendance!$A$5:$A$304,E$9,Attendance!$F$5:$F$304,"A")&gt;0,"A",IF(COUNTIFS(Attendance!$B$5:$B$304,$B37,Attendance!$A$5:$A$304,E$9,Attendance!$F$5:$F$304,"L")&gt;0,"L",""))))</f>
        <v/>
      </c>
      <c r="F37" s="62" t="str">
        <f aca="false">IF($B37="","",IF(COUNTIFS(Attendance!$B$5:$B$304,$B37,Attendance!$A$5:$A$304,F$9,Attendance!$F$5:$F$304,"P")&gt;0,"P",IF(COUNTIFS(Attendance!$B$5:$B$304,$B37,Attendance!$A$5:$A$304,F$9,Attendance!$F$5:$F$304,"A")&gt;0,"A",IF(COUNTIFS(Attendance!$B$5:$B$304,$B37,Attendance!$A$5:$A$304,F$9,Attendance!$F$5:$F$304,"L")&gt;0,"L",""))))</f>
        <v/>
      </c>
      <c r="G37" s="62" t="str">
        <f aca="false">IF($B37="","",IF(COUNTIFS(Attendance!$B$5:$B$304,$B37,Attendance!$A$5:$A$304,G$9,Attendance!$F$5:$F$304,"P")&gt;0,"P",IF(COUNTIFS(Attendance!$B$5:$B$304,$B37,Attendance!$A$5:$A$304,G$9,Attendance!$F$5:$F$304,"A")&gt;0,"A",IF(COUNTIFS(Attendance!$B$5:$B$304,$B37,Attendance!$A$5:$A$304,G$9,Attendance!$F$5:$F$304,"L")&gt;0,"L",""))))</f>
        <v/>
      </c>
      <c r="H37" s="62" t="str">
        <f aca="false">IF($B37="","",IF(COUNTIFS(Attendance!$B$5:$B$304,$B37,Attendance!$A$5:$A$304,H$9,Attendance!$F$5:$F$304,"P")&gt;0,"P",IF(COUNTIFS(Attendance!$B$5:$B$304,$B37,Attendance!$A$5:$A$304,H$9,Attendance!$F$5:$F$304,"A")&gt;0,"A",IF(COUNTIFS(Attendance!$B$5:$B$304,$B37,Attendance!$A$5:$A$304,H$9,Attendance!$F$5:$F$304,"L")&gt;0,"L",""))))</f>
        <v/>
      </c>
      <c r="I37" s="62" t="str">
        <f aca="false">IF($B37="","",IF(COUNTIFS(Attendance!$B$5:$B$304,$B37,Attendance!$A$5:$A$304,I$9,Attendance!$F$5:$F$304,"P")&gt;0,"P",IF(COUNTIFS(Attendance!$B$5:$B$304,$B37,Attendance!$A$5:$A$304,I$9,Attendance!$F$5:$F$304,"A")&gt;0,"A",IF(COUNTIFS(Attendance!$B$5:$B$304,$B37,Attendance!$A$5:$A$304,I$9,Attendance!$F$5:$F$304,"L")&gt;0,"L",""))))</f>
        <v/>
      </c>
      <c r="J37" s="62" t="str">
        <f aca="false">IF($B37="","",IF(COUNTIFS(Attendance!$B$5:$B$304,$B37,Attendance!$A$5:$A$304,J$9,Attendance!$F$5:$F$304,"P")&gt;0,"P",IF(COUNTIFS(Attendance!$B$5:$B$304,$B37,Attendance!$A$5:$A$304,J$9,Attendance!$F$5:$F$304,"A")&gt;0,"A",IF(COUNTIFS(Attendance!$B$5:$B$304,$B37,Attendance!$A$5:$A$304,J$9,Attendance!$F$5:$F$304,"L")&gt;0,"L",""))))</f>
        <v/>
      </c>
      <c r="K37" s="62" t="str">
        <f aca="false">IF($B37="","",IF(COUNTIFS(Attendance!$B$5:$B$304,$B37,Attendance!$A$5:$A$304,K$9,Attendance!$F$5:$F$304,"P")&gt;0,"P",IF(COUNTIFS(Attendance!$B$5:$B$304,$B37,Attendance!$A$5:$A$304,K$9,Attendance!$F$5:$F$304,"A")&gt;0,"A",IF(COUNTIFS(Attendance!$B$5:$B$304,$B37,Attendance!$A$5:$A$304,K$9,Attendance!$F$5:$F$304,"L")&gt;0,"L",""))))</f>
        <v/>
      </c>
      <c r="L37" s="62" t="str">
        <f aca="false">IF($B37="","",IF(COUNTIFS(Attendance!$B$5:$B$304,$B37,Attendance!$A$5:$A$304,L$9,Attendance!$F$5:$F$304,"P")&gt;0,"P",IF(COUNTIFS(Attendance!$B$5:$B$304,$B37,Attendance!$A$5:$A$304,L$9,Attendance!$F$5:$F$304,"A")&gt;0,"A",IF(COUNTIFS(Attendance!$B$5:$B$304,$B37,Attendance!$A$5:$A$304,L$9,Attendance!$F$5:$F$304,"L")&gt;0,"L",""))))</f>
        <v/>
      </c>
      <c r="M37" s="62" t="str">
        <f aca="false">IF($B37="","",IF(COUNTIFS(Attendance!$B$5:$B$304,$B37,Attendance!$A$5:$A$304,M$9,Attendance!$F$5:$F$304,"P")&gt;0,"P",IF(COUNTIFS(Attendance!$B$5:$B$304,$B37,Attendance!$A$5:$A$304,M$9,Attendance!$F$5:$F$304,"A")&gt;0,"A",IF(COUNTIFS(Attendance!$B$5:$B$304,$B37,Attendance!$A$5:$A$304,M$9,Attendance!$F$5:$F$304,"L")&gt;0,"L",""))))</f>
        <v/>
      </c>
      <c r="N37" s="62" t="str">
        <f aca="false">IF($B37="","",IF(COUNTIFS(Attendance!$B$5:$B$304,$B37,Attendance!$A$5:$A$304,N$9,Attendance!$F$5:$F$304,"P")&gt;0,"P",IF(COUNTIFS(Attendance!$B$5:$B$304,$B37,Attendance!$A$5:$A$304,N$9,Attendance!$F$5:$F$304,"A")&gt;0,"A",IF(COUNTIFS(Attendance!$B$5:$B$304,$B37,Attendance!$A$5:$A$304,N$9,Attendance!$F$5:$F$304,"L")&gt;0,"L",""))))</f>
        <v/>
      </c>
      <c r="O37" s="62" t="str">
        <f aca="false">IF($B37="","",IF(COUNTIFS(Attendance!$B$5:$B$304,$B37,Attendance!$A$5:$A$304,O$9,Attendance!$F$5:$F$304,"P")&gt;0,"P",IF(COUNTIFS(Attendance!$B$5:$B$304,$B37,Attendance!$A$5:$A$304,O$9,Attendance!$F$5:$F$304,"A")&gt;0,"A",IF(COUNTIFS(Attendance!$B$5:$B$304,$B37,Attendance!$A$5:$A$304,O$9,Attendance!$F$5:$F$304,"L")&gt;0,"L",""))))</f>
        <v/>
      </c>
      <c r="P37" s="62" t="str">
        <f aca="false">IF($B37="","",IF(COUNTIFS(Attendance!$B$5:$B$304,$B37,Attendance!$A$5:$A$304,P$9,Attendance!$F$5:$F$304,"P")&gt;0,"P",IF(COUNTIFS(Attendance!$B$5:$B$304,$B37,Attendance!$A$5:$A$304,P$9,Attendance!$F$5:$F$304,"A")&gt;0,"A",IF(COUNTIFS(Attendance!$B$5:$B$304,$B37,Attendance!$A$5:$A$304,P$9,Attendance!$F$5:$F$304,"L")&gt;0,"L",""))))</f>
        <v/>
      </c>
      <c r="Q37" s="62" t="str">
        <f aca="false">IF($B37="","",IF(COUNTIFS(Attendance!$B$5:$B$304,$B37,Attendance!$A$5:$A$304,Q$9,Attendance!$F$5:$F$304,"P")&gt;0,"P",IF(COUNTIFS(Attendance!$B$5:$B$304,$B37,Attendance!$A$5:$A$304,Q$9,Attendance!$F$5:$F$304,"A")&gt;0,"A",IF(COUNTIFS(Attendance!$B$5:$B$304,$B37,Attendance!$A$5:$A$304,Q$9,Attendance!$F$5:$F$304,"L")&gt;0,"L",""))))</f>
        <v/>
      </c>
      <c r="R37" s="62" t="str">
        <f aca="false">IF($B37="","",IF(COUNTIFS(Attendance!$B$5:$B$304,$B37,Attendance!$A$5:$A$304,R$9,Attendance!$F$5:$F$304,"P")&gt;0,"P",IF(COUNTIFS(Attendance!$B$5:$B$304,$B37,Attendance!$A$5:$A$304,R$9,Attendance!$F$5:$F$304,"A")&gt;0,"A",IF(COUNTIFS(Attendance!$B$5:$B$304,$B37,Attendance!$A$5:$A$304,R$9,Attendance!$F$5:$F$304,"L")&gt;0,"L",""))))</f>
        <v/>
      </c>
      <c r="S37" s="62" t="str">
        <f aca="false">IF($B37="","",IF(COUNTIFS(Attendance!$B$5:$B$304,$B37,Attendance!$A$5:$A$304,S$9,Attendance!$F$5:$F$304,"P")&gt;0,"P",IF(COUNTIFS(Attendance!$B$5:$B$304,$B37,Attendance!$A$5:$A$304,S$9,Attendance!$F$5:$F$304,"A")&gt;0,"A",IF(COUNTIFS(Attendance!$B$5:$B$304,$B37,Attendance!$A$5:$A$304,S$9,Attendance!$F$5:$F$304,"L")&gt;0,"L",""))))</f>
        <v/>
      </c>
      <c r="T37" s="62" t="str">
        <f aca="false">IF($B37="","",IF(COUNTIFS(Attendance!$B$5:$B$304,$B37,Attendance!$A$5:$A$304,T$9,Attendance!$F$5:$F$304,"P")&gt;0,"P",IF(COUNTIFS(Attendance!$B$5:$B$304,$B37,Attendance!$A$5:$A$304,T$9,Attendance!$F$5:$F$304,"A")&gt;0,"A",IF(COUNTIFS(Attendance!$B$5:$B$304,$B37,Attendance!$A$5:$A$304,T$9,Attendance!$F$5:$F$304,"L")&gt;0,"L",""))))</f>
        <v/>
      </c>
      <c r="U37" s="62" t="str">
        <f aca="false">IF($B37="","",IF(COUNTIFS(Attendance!$B$5:$B$304,$B37,Attendance!$A$5:$A$304,U$9,Attendance!$F$5:$F$304,"P")&gt;0,"P",IF(COUNTIFS(Attendance!$B$5:$B$304,$B37,Attendance!$A$5:$A$304,U$9,Attendance!$F$5:$F$304,"A")&gt;0,"A",IF(COUNTIFS(Attendance!$B$5:$B$304,$B37,Attendance!$A$5:$A$304,U$9,Attendance!$F$5:$F$304,"L")&gt;0,"L",""))))</f>
        <v/>
      </c>
      <c r="V37" s="62" t="str">
        <f aca="false">IF($B37="","",IF(COUNTIFS(Attendance!$B$5:$B$304,$B37,Attendance!$A$5:$A$304,V$9,Attendance!$F$5:$F$304,"P")&gt;0,"P",IF(COUNTIFS(Attendance!$B$5:$B$304,$B37,Attendance!$A$5:$A$304,V$9,Attendance!$F$5:$F$304,"A")&gt;0,"A",IF(COUNTIFS(Attendance!$B$5:$B$304,$B37,Attendance!$A$5:$A$304,V$9,Attendance!$F$5:$F$304,"L")&gt;0,"L",""))))</f>
        <v/>
      </c>
      <c r="W37" s="62" t="str">
        <f aca="false">IF($B37="","",IF(COUNTIFS(Attendance!$B$5:$B$304,$B37,Attendance!$A$5:$A$304,W$9,Attendance!$F$5:$F$304,"P")&gt;0,"P",IF(COUNTIFS(Attendance!$B$5:$B$304,$B37,Attendance!$A$5:$A$304,W$9,Attendance!$F$5:$F$304,"A")&gt;0,"A",IF(COUNTIFS(Attendance!$B$5:$B$304,$B37,Attendance!$A$5:$A$304,W$9,Attendance!$F$5:$F$304,"L")&gt;0,"L",""))))</f>
        <v/>
      </c>
      <c r="X37" s="62" t="str">
        <f aca="false">IF($B37="","",IF(COUNTIFS(Attendance!$B$5:$B$304,$B37,Attendance!$A$5:$A$304,X$9,Attendance!$F$5:$F$304,"P")&gt;0,"P",IF(COUNTIFS(Attendance!$B$5:$B$304,$B37,Attendance!$A$5:$A$304,X$9,Attendance!$F$5:$F$304,"A")&gt;0,"A",IF(COUNTIFS(Attendance!$B$5:$B$304,$B37,Attendance!$A$5:$A$304,X$9,Attendance!$F$5:$F$304,"L")&gt;0,"L",""))))</f>
        <v/>
      </c>
      <c r="Y37" s="59" t="str">
        <f aca="false">IF($B37="","",COUNTIFS(Attendance!$B$5:$B$304,$B37,Attendance!$F$5:$F$304,"P",Attendance!$A$5:$A$304,"&gt;="&amp;$AF$4,Attendance!$A$5:$A$304,"&lt;="&amp;$AF$5))</f>
        <v/>
      </c>
      <c r="Z37" s="59" t="str">
        <f aca="false">IF($B37="","",COUNTIFS(Attendance!$B$5:$B$304,$B37,Attendance!$F$5:$F$304,"A",Attendance!$A$5:$A$304,"&gt;="&amp;$AF$4,Attendance!$A$5:$A$304,"&lt;="&amp;$AF$5))</f>
        <v/>
      </c>
      <c r="AA37" s="59" t="str">
        <f aca="false">IF($B37="","",COUNTIFS(Attendance!$B$5:$B$304,$B37,Attendance!$F$5:$F$304,"L",Attendance!$A$5:$A$304,"&gt;="&amp;$AF$4,Attendance!$A$5:$A$304,"&lt;="&amp;$AF$5))</f>
        <v/>
      </c>
      <c r="AB37" s="59" t="str">
        <f aca="false">IF($B37="","",SUM(Y37:AA37))</f>
        <v/>
      </c>
      <c r="AC37" s="63" t="str">
        <f aca="false">IF($B37="","",IF(AB37=0,"-",(Y37+AA37)/AB37))</f>
        <v/>
      </c>
    </row>
    <row r="38" customFormat="false" ht="19.5" hidden="false" customHeight="true" outlineLevel="0" collapsed="false">
      <c r="A38" s="59" t="str">
        <f aca="false">IF($B38="","",29)</f>
        <v/>
      </c>
      <c r="B38" s="59" t="str">
        <f aca="false">IFERROR(INDEX(Students!$A$5:$A$304,MATCH($C$4&amp;"|"&amp;$C$5&amp;"|"&amp;29,Students!$O$5:$O$304,0)),"")</f>
        <v/>
      </c>
      <c r="C38" s="60" t="str">
        <f aca="false">IF($B38="","",INDEX(Students!$B$5:$B$304,MATCH($B38,Students!$A$5:$A$304,0)))</f>
        <v/>
      </c>
      <c r="D38" s="61"/>
      <c r="E38" s="62" t="str">
        <f aca="false">IF($B38="","",IF(COUNTIFS(Attendance!$B$5:$B$304,$B38,Attendance!$A$5:$A$304,E$9,Attendance!$F$5:$F$304,"P")&gt;0,"P",IF(COUNTIFS(Attendance!$B$5:$B$304,$B38,Attendance!$A$5:$A$304,E$9,Attendance!$F$5:$F$304,"A")&gt;0,"A",IF(COUNTIFS(Attendance!$B$5:$B$304,$B38,Attendance!$A$5:$A$304,E$9,Attendance!$F$5:$F$304,"L")&gt;0,"L",""))))</f>
        <v/>
      </c>
      <c r="F38" s="62" t="str">
        <f aca="false">IF($B38="","",IF(COUNTIFS(Attendance!$B$5:$B$304,$B38,Attendance!$A$5:$A$304,F$9,Attendance!$F$5:$F$304,"P")&gt;0,"P",IF(COUNTIFS(Attendance!$B$5:$B$304,$B38,Attendance!$A$5:$A$304,F$9,Attendance!$F$5:$F$304,"A")&gt;0,"A",IF(COUNTIFS(Attendance!$B$5:$B$304,$B38,Attendance!$A$5:$A$304,F$9,Attendance!$F$5:$F$304,"L")&gt;0,"L",""))))</f>
        <v/>
      </c>
      <c r="G38" s="62" t="str">
        <f aca="false">IF($B38="","",IF(COUNTIFS(Attendance!$B$5:$B$304,$B38,Attendance!$A$5:$A$304,G$9,Attendance!$F$5:$F$304,"P")&gt;0,"P",IF(COUNTIFS(Attendance!$B$5:$B$304,$B38,Attendance!$A$5:$A$304,G$9,Attendance!$F$5:$F$304,"A")&gt;0,"A",IF(COUNTIFS(Attendance!$B$5:$B$304,$B38,Attendance!$A$5:$A$304,G$9,Attendance!$F$5:$F$304,"L")&gt;0,"L",""))))</f>
        <v/>
      </c>
      <c r="H38" s="62" t="str">
        <f aca="false">IF($B38="","",IF(COUNTIFS(Attendance!$B$5:$B$304,$B38,Attendance!$A$5:$A$304,H$9,Attendance!$F$5:$F$304,"P")&gt;0,"P",IF(COUNTIFS(Attendance!$B$5:$B$304,$B38,Attendance!$A$5:$A$304,H$9,Attendance!$F$5:$F$304,"A")&gt;0,"A",IF(COUNTIFS(Attendance!$B$5:$B$304,$B38,Attendance!$A$5:$A$304,H$9,Attendance!$F$5:$F$304,"L")&gt;0,"L",""))))</f>
        <v/>
      </c>
      <c r="I38" s="62" t="str">
        <f aca="false">IF($B38="","",IF(COUNTIFS(Attendance!$B$5:$B$304,$B38,Attendance!$A$5:$A$304,I$9,Attendance!$F$5:$F$304,"P")&gt;0,"P",IF(COUNTIFS(Attendance!$B$5:$B$304,$B38,Attendance!$A$5:$A$304,I$9,Attendance!$F$5:$F$304,"A")&gt;0,"A",IF(COUNTIFS(Attendance!$B$5:$B$304,$B38,Attendance!$A$5:$A$304,I$9,Attendance!$F$5:$F$304,"L")&gt;0,"L",""))))</f>
        <v/>
      </c>
      <c r="J38" s="62" t="str">
        <f aca="false">IF($B38="","",IF(COUNTIFS(Attendance!$B$5:$B$304,$B38,Attendance!$A$5:$A$304,J$9,Attendance!$F$5:$F$304,"P")&gt;0,"P",IF(COUNTIFS(Attendance!$B$5:$B$304,$B38,Attendance!$A$5:$A$304,J$9,Attendance!$F$5:$F$304,"A")&gt;0,"A",IF(COUNTIFS(Attendance!$B$5:$B$304,$B38,Attendance!$A$5:$A$304,J$9,Attendance!$F$5:$F$304,"L")&gt;0,"L",""))))</f>
        <v/>
      </c>
      <c r="K38" s="62" t="str">
        <f aca="false">IF($B38="","",IF(COUNTIFS(Attendance!$B$5:$B$304,$B38,Attendance!$A$5:$A$304,K$9,Attendance!$F$5:$F$304,"P")&gt;0,"P",IF(COUNTIFS(Attendance!$B$5:$B$304,$B38,Attendance!$A$5:$A$304,K$9,Attendance!$F$5:$F$304,"A")&gt;0,"A",IF(COUNTIFS(Attendance!$B$5:$B$304,$B38,Attendance!$A$5:$A$304,K$9,Attendance!$F$5:$F$304,"L")&gt;0,"L",""))))</f>
        <v/>
      </c>
      <c r="L38" s="62" t="str">
        <f aca="false">IF($B38="","",IF(COUNTIFS(Attendance!$B$5:$B$304,$B38,Attendance!$A$5:$A$304,L$9,Attendance!$F$5:$F$304,"P")&gt;0,"P",IF(COUNTIFS(Attendance!$B$5:$B$304,$B38,Attendance!$A$5:$A$304,L$9,Attendance!$F$5:$F$304,"A")&gt;0,"A",IF(COUNTIFS(Attendance!$B$5:$B$304,$B38,Attendance!$A$5:$A$304,L$9,Attendance!$F$5:$F$304,"L")&gt;0,"L",""))))</f>
        <v/>
      </c>
      <c r="M38" s="62" t="str">
        <f aca="false">IF($B38="","",IF(COUNTIFS(Attendance!$B$5:$B$304,$B38,Attendance!$A$5:$A$304,M$9,Attendance!$F$5:$F$304,"P")&gt;0,"P",IF(COUNTIFS(Attendance!$B$5:$B$304,$B38,Attendance!$A$5:$A$304,M$9,Attendance!$F$5:$F$304,"A")&gt;0,"A",IF(COUNTIFS(Attendance!$B$5:$B$304,$B38,Attendance!$A$5:$A$304,M$9,Attendance!$F$5:$F$304,"L")&gt;0,"L",""))))</f>
        <v/>
      </c>
      <c r="N38" s="62" t="str">
        <f aca="false">IF($B38="","",IF(COUNTIFS(Attendance!$B$5:$B$304,$B38,Attendance!$A$5:$A$304,N$9,Attendance!$F$5:$F$304,"P")&gt;0,"P",IF(COUNTIFS(Attendance!$B$5:$B$304,$B38,Attendance!$A$5:$A$304,N$9,Attendance!$F$5:$F$304,"A")&gt;0,"A",IF(COUNTIFS(Attendance!$B$5:$B$304,$B38,Attendance!$A$5:$A$304,N$9,Attendance!$F$5:$F$304,"L")&gt;0,"L",""))))</f>
        <v/>
      </c>
      <c r="O38" s="62" t="str">
        <f aca="false">IF($B38="","",IF(COUNTIFS(Attendance!$B$5:$B$304,$B38,Attendance!$A$5:$A$304,O$9,Attendance!$F$5:$F$304,"P")&gt;0,"P",IF(COUNTIFS(Attendance!$B$5:$B$304,$B38,Attendance!$A$5:$A$304,O$9,Attendance!$F$5:$F$304,"A")&gt;0,"A",IF(COUNTIFS(Attendance!$B$5:$B$304,$B38,Attendance!$A$5:$A$304,O$9,Attendance!$F$5:$F$304,"L")&gt;0,"L",""))))</f>
        <v/>
      </c>
      <c r="P38" s="62" t="str">
        <f aca="false">IF($B38="","",IF(COUNTIFS(Attendance!$B$5:$B$304,$B38,Attendance!$A$5:$A$304,P$9,Attendance!$F$5:$F$304,"P")&gt;0,"P",IF(COUNTIFS(Attendance!$B$5:$B$304,$B38,Attendance!$A$5:$A$304,P$9,Attendance!$F$5:$F$304,"A")&gt;0,"A",IF(COUNTIFS(Attendance!$B$5:$B$304,$B38,Attendance!$A$5:$A$304,P$9,Attendance!$F$5:$F$304,"L")&gt;0,"L",""))))</f>
        <v/>
      </c>
      <c r="Q38" s="62" t="str">
        <f aca="false">IF($B38="","",IF(COUNTIFS(Attendance!$B$5:$B$304,$B38,Attendance!$A$5:$A$304,Q$9,Attendance!$F$5:$F$304,"P")&gt;0,"P",IF(COUNTIFS(Attendance!$B$5:$B$304,$B38,Attendance!$A$5:$A$304,Q$9,Attendance!$F$5:$F$304,"A")&gt;0,"A",IF(COUNTIFS(Attendance!$B$5:$B$304,$B38,Attendance!$A$5:$A$304,Q$9,Attendance!$F$5:$F$304,"L")&gt;0,"L",""))))</f>
        <v/>
      </c>
      <c r="R38" s="62" t="str">
        <f aca="false">IF($B38="","",IF(COUNTIFS(Attendance!$B$5:$B$304,$B38,Attendance!$A$5:$A$304,R$9,Attendance!$F$5:$F$304,"P")&gt;0,"P",IF(COUNTIFS(Attendance!$B$5:$B$304,$B38,Attendance!$A$5:$A$304,R$9,Attendance!$F$5:$F$304,"A")&gt;0,"A",IF(COUNTIFS(Attendance!$B$5:$B$304,$B38,Attendance!$A$5:$A$304,R$9,Attendance!$F$5:$F$304,"L")&gt;0,"L",""))))</f>
        <v/>
      </c>
      <c r="S38" s="62" t="str">
        <f aca="false">IF($B38="","",IF(COUNTIFS(Attendance!$B$5:$B$304,$B38,Attendance!$A$5:$A$304,S$9,Attendance!$F$5:$F$304,"P")&gt;0,"P",IF(COUNTIFS(Attendance!$B$5:$B$304,$B38,Attendance!$A$5:$A$304,S$9,Attendance!$F$5:$F$304,"A")&gt;0,"A",IF(COUNTIFS(Attendance!$B$5:$B$304,$B38,Attendance!$A$5:$A$304,S$9,Attendance!$F$5:$F$304,"L")&gt;0,"L",""))))</f>
        <v/>
      </c>
      <c r="T38" s="62" t="str">
        <f aca="false">IF($B38="","",IF(COUNTIFS(Attendance!$B$5:$B$304,$B38,Attendance!$A$5:$A$304,T$9,Attendance!$F$5:$F$304,"P")&gt;0,"P",IF(COUNTIFS(Attendance!$B$5:$B$304,$B38,Attendance!$A$5:$A$304,T$9,Attendance!$F$5:$F$304,"A")&gt;0,"A",IF(COUNTIFS(Attendance!$B$5:$B$304,$B38,Attendance!$A$5:$A$304,T$9,Attendance!$F$5:$F$304,"L")&gt;0,"L",""))))</f>
        <v/>
      </c>
      <c r="U38" s="62" t="str">
        <f aca="false">IF($B38="","",IF(COUNTIFS(Attendance!$B$5:$B$304,$B38,Attendance!$A$5:$A$304,U$9,Attendance!$F$5:$F$304,"P")&gt;0,"P",IF(COUNTIFS(Attendance!$B$5:$B$304,$B38,Attendance!$A$5:$A$304,U$9,Attendance!$F$5:$F$304,"A")&gt;0,"A",IF(COUNTIFS(Attendance!$B$5:$B$304,$B38,Attendance!$A$5:$A$304,U$9,Attendance!$F$5:$F$304,"L")&gt;0,"L",""))))</f>
        <v/>
      </c>
      <c r="V38" s="62" t="str">
        <f aca="false">IF($B38="","",IF(COUNTIFS(Attendance!$B$5:$B$304,$B38,Attendance!$A$5:$A$304,V$9,Attendance!$F$5:$F$304,"P")&gt;0,"P",IF(COUNTIFS(Attendance!$B$5:$B$304,$B38,Attendance!$A$5:$A$304,V$9,Attendance!$F$5:$F$304,"A")&gt;0,"A",IF(COUNTIFS(Attendance!$B$5:$B$304,$B38,Attendance!$A$5:$A$304,V$9,Attendance!$F$5:$F$304,"L")&gt;0,"L",""))))</f>
        <v/>
      </c>
      <c r="W38" s="62" t="str">
        <f aca="false">IF($B38="","",IF(COUNTIFS(Attendance!$B$5:$B$304,$B38,Attendance!$A$5:$A$304,W$9,Attendance!$F$5:$F$304,"P")&gt;0,"P",IF(COUNTIFS(Attendance!$B$5:$B$304,$B38,Attendance!$A$5:$A$304,W$9,Attendance!$F$5:$F$304,"A")&gt;0,"A",IF(COUNTIFS(Attendance!$B$5:$B$304,$B38,Attendance!$A$5:$A$304,W$9,Attendance!$F$5:$F$304,"L")&gt;0,"L",""))))</f>
        <v/>
      </c>
      <c r="X38" s="62" t="str">
        <f aca="false">IF($B38="","",IF(COUNTIFS(Attendance!$B$5:$B$304,$B38,Attendance!$A$5:$A$304,X$9,Attendance!$F$5:$F$304,"P")&gt;0,"P",IF(COUNTIFS(Attendance!$B$5:$B$304,$B38,Attendance!$A$5:$A$304,X$9,Attendance!$F$5:$F$304,"A")&gt;0,"A",IF(COUNTIFS(Attendance!$B$5:$B$304,$B38,Attendance!$A$5:$A$304,X$9,Attendance!$F$5:$F$304,"L")&gt;0,"L",""))))</f>
        <v/>
      </c>
      <c r="Y38" s="59" t="str">
        <f aca="false">IF($B38="","",COUNTIFS(Attendance!$B$5:$B$304,$B38,Attendance!$F$5:$F$304,"P",Attendance!$A$5:$A$304,"&gt;="&amp;$AF$4,Attendance!$A$5:$A$304,"&lt;="&amp;$AF$5))</f>
        <v/>
      </c>
      <c r="Z38" s="59" t="str">
        <f aca="false">IF($B38="","",COUNTIFS(Attendance!$B$5:$B$304,$B38,Attendance!$F$5:$F$304,"A",Attendance!$A$5:$A$304,"&gt;="&amp;$AF$4,Attendance!$A$5:$A$304,"&lt;="&amp;$AF$5))</f>
        <v/>
      </c>
      <c r="AA38" s="59" t="str">
        <f aca="false">IF($B38="","",COUNTIFS(Attendance!$B$5:$B$304,$B38,Attendance!$F$5:$F$304,"L",Attendance!$A$5:$A$304,"&gt;="&amp;$AF$4,Attendance!$A$5:$A$304,"&lt;="&amp;$AF$5))</f>
        <v/>
      </c>
      <c r="AB38" s="59" t="str">
        <f aca="false">IF($B38="","",SUM(Y38:AA38))</f>
        <v/>
      </c>
      <c r="AC38" s="63" t="str">
        <f aca="false">IF($B38="","",IF(AB38=0,"-",(Y38+AA38)/AB38))</f>
        <v/>
      </c>
    </row>
    <row r="39" customFormat="false" ht="19.5" hidden="false" customHeight="true" outlineLevel="0" collapsed="false">
      <c r="A39" s="59" t="str">
        <f aca="false">IF($B39="","",30)</f>
        <v/>
      </c>
      <c r="B39" s="59" t="str">
        <f aca="false">IFERROR(INDEX(Students!$A$5:$A$304,MATCH($C$4&amp;"|"&amp;$C$5&amp;"|"&amp;30,Students!$O$5:$O$304,0)),"")</f>
        <v/>
      </c>
      <c r="C39" s="60" t="str">
        <f aca="false">IF($B39="","",INDEX(Students!$B$5:$B$304,MATCH($B39,Students!$A$5:$A$304,0)))</f>
        <v/>
      </c>
      <c r="D39" s="61"/>
      <c r="E39" s="62" t="str">
        <f aca="false">IF($B39="","",IF(COUNTIFS(Attendance!$B$5:$B$304,$B39,Attendance!$A$5:$A$304,E$9,Attendance!$F$5:$F$304,"P")&gt;0,"P",IF(COUNTIFS(Attendance!$B$5:$B$304,$B39,Attendance!$A$5:$A$304,E$9,Attendance!$F$5:$F$304,"A")&gt;0,"A",IF(COUNTIFS(Attendance!$B$5:$B$304,$B39,Attendance!$A$5:$A$304,E$9,Attendance!$F$5:$F$304,"L")&gt;0,"L",""))))</f>
        <v/>
      </c>
      <c r="F39" s="62" t="str">
        <f aca="false">IF($B39="","",IF(COUNTIFS(Attendance!$B$5:$B$304,$B39,Attendance!$A$5:$A$304,F$9,Attendance!$F$5:$F$304,"P")&gt;0,"P",IF(COUNTIFS(Attendance!$B$5:$B$304,$B39,Attendance!$A$5:$A$304,F$9,Attendance!$F$5:$F$304,"A")&gt;0,"A",IF(COUNTIFS(Attendance!$B$5:$B$304,$B39,Attendance!$A$5:$A$304,F$9,Attendance!$F$5:$F$304,"L")&gt;0,"L",""))))</f>
        <v/>
      </c>
      <c r="G39" s="62" t="str">
        <f aca="false">IF($B39="","",IF(COUNTIFS(Attendance!$B$5:$B$304,$B39,Attendance!$A$5:$A$304,G$9,Attendance!$F$5:$F$304,"P")&gt;0,"P",IF(COUNTIFS(Attendance!$B$5:$B$304,$B39,Attendance!$A$5:$A$304,G$9,Attendance!$F$5:$F$304,"A")&gt;0,"A",IF(COUNTIFS(Attendance!$B$5:$B$304,$B39,Attendance!$A$5:$A$304,G$9,Attendance!$F$5:$F$304,"L")&gt;0,"L",""))))</f>
        <v/>
      </c>
      <c r="H39" s="62" t="str">
        <f aca="false">IF($B39="","",IF(COUNTIFS(Attendance!$B$5:$B$304,$B39,Attendance!$A$5:$A$304,H$9,Attendance!$F$5:$F$304,"P")&gt;0,"P",IF(COUNTIFS(Attendance!$B$5:$B$304,$B39,Attendance!$A$5:$A$304,H$9,Attendance!$F$5:$F$304,"A")&gt;0,"A",IF(COUNTIFS(Attendance!$B$5:$B$304,$B39,Attendance!$A$5:$A$304,H$9,Attendance!$F$5:$F$304,"L")&gt;0,"L",""))))</f>
        <v/>
      </c>
      <c r="I39" s="62" t="str">
        <f aca="false">IF($B39="","",IF(COUNTIFS(Attendance!$B$5:$B$304,$B39,Attendance!$A$5:$A$304,I$9,Attendance!$F$5:$F$304,"P")&gt;0,"P",IF(COUNTIFS(Attendance!$B$5:$B$304,$B39,Attendance!$A$5:$A$304,I$9,Attendance!$F$5:$F$304,"A")&gt;0,"A",IF(COUNTIFS(Attendance!$B$5:$B$304,$B39,Attendance!$A$5:$A$304,I$9,Attendance!$F$5:$F$304,"L")&gt;0,"L",""))))</f>
        <v/>
      </c>
      <c r="J39" s="62" t="str">
        <f aca="false">IF($B39="","",IF(COUNTIFS(Attendance!$B$5:$B$304,$B39,Attendance!$A$5:$A$304,J$9,Attendance!$F$5:$F$304,"P")&gt;0,"P",IF(COUNTIFS(Attendance!$B$5:$B$304,$B39,Attendance!$A$5:$A$304,J$9,Attendance!$F$5:$F$304,"A")&gt;0,"A",IF(COUNTIFS(Attendance!$B$5:$B$304,$B39,Attendance!$A$5:$A$304,J$9,Attendance!$F$5:$F$304,"L")&gt;0,"L",""))))</f>
        <v/>
      </c>
      <c r="K39" s="62" t="str">
        <f aca="false">IF($B39="","",IF(COUNTIFS(Attendance!$B$5:$B$304,$B39,Attendance!$A$5:$A$304,K$9,Attendance!$F$5:$F$304,"P")&gt;0,"P",IF(COUNTIFS(Attendance!$B$5:$B$304,$B39,Attendance!$A$5:$A$304,K$9,Attendance!$F$5:$F$304,"A")&gt;0,"A",IF(COUNTIFS(Attendance!$B$5:$B$304,$B39,Attendance!$A$5:$A$304,K$9,Attendance!$F$5:$F$304,"L")&gt;0,"L",""))))</f>
        <v/>
      </c>
      <c r="L39" s="62" t="str">
        <f aca="false">IF($B39="","",IF(COUNTIFS(Attendance!$B$5:$B$304,$B39,Attendance!$A$5:$A$304,L$9,Attendance!$F$5:$F$304,"P")&gt;0,"P",IF(COUNTIFS(Attendance!$B$5:$B$304,$B39,Attendance!$A$5:$A$304,L$9,Attendance!$F$5:$F$304,"A")&gt;0,"A",IF(COUNTIFS(Attendance!$B$5:$B$304,$B39,Attendance!$A$5:$A$304,L$9,Attendance!$F$5:$F$304,"L")&gt;0,"L",""))))</f>
        <v/>
      </c>
      <c r="M39" s="62" t="str">
        <f aca="false">IF($B39="","",IF(COUNTIFS(Attendance!$B$5:$B$304,$B39,Attendance!$A$5:$A$304,M$9,Attendance!$F$5:$F$304,"P")&gt;0,"P",IF(COUNTIFS(Attendance!$B$5:$B$304,$B39,Attendance!$A$5:$A$304,M$9,Attendance!$F$5:$F$304,"A")&gt;0,"A",IF(COUNTIFS(Attendance!$B$5:$B$304,$B39,Attendance!$A$5:$A$304,M$9,Attendance!$F$5:$F$304,"L")&gt;0,"L",""))))</f>
        <v/>
      </c>
      <c r="N39" s="62" t="str">
        <f aca="false">IF($B39="","",IF(COUNTIFS(Attendance!$B$5:$B$304,$B39,Attendance!$A$5:$A$304,N$9,Attendance!$F$5:$F$304,"P")&gt;0,"P",IF(COUNTIFS(Attendance!$B$5:$B$304,$B39,Attendance!$A$5:$A$304,N$9,Attendance!$F$5:$F$304,"A")&gt;0,"A",IF(COUNTIFS(Attendance!$B$5:$B$304,$B39,Attendance!$A$5:$A$304,N$9,Attendance!$F$5:$F$304,"L")&gt;0,"L",""))))</f>
        <v/>
      </c>
      <c r="O39" s="62" t="str">
        <f aca="false">IF($B39="","",IF(COUNTIFS(Attendance!$B$5:$B$304,$B39,Attendance!$A$5:$A$304,O$9,Attendance!$F$5:$F$304,"P")&gt;0,"P",IF(COUNTIFS(Attendance!$B$5:$B$304,$B39,Attendance!$A$5:$A$304,O$9,Attendance!$F$5:$F$304,"A")&gt;0,"A",IF(COUNTIFS(Attendance!$B$5:$B$304,$B39,Attendance!$A$5:$A$304,O$9,Attendance!$F$5:$F$304,"L")&gt;0,"L",""))))</f>
        <v/>
      </c>
      <c r="P39" s="62" t="str">
        <f aca="false">IF($B39="","",IF(COUNTIFS(Attendance!$B$5:$B$304,$B39,Attendance!$A$5:$A$304,P$9,Attendance!$F$5:$F$304,"P")&gt;0,"P",IF(COUNTIFS(Attendance!$B$5:$B$304,$B39,Attendance!$A$5:$A$304,P$9,Attendance!$F$5:$F$304,"A")&gt;0,"A",IF(COUNTIFS(Attendance!$B$5:$B$304,$B39,Attendance!$A$5:$A$304,P$9,Attendance!$F$5:$F$304,"L")&gt;0,"L",""))))</f>
        <v/>
      </c>
      <c r="Q39" s="62" t="str">
        <f aca="false">IF($B39="","",IF(COUNTIFS(Attendance!$B$5:$B$304,$B39,Attendance!$A$5:$A$304,Q$9,Attendance!$F$5:$F$304,"P")&gt;0,"P",IF(COUNTIFS(Attendance!$B$5:$B$304,$B39,Attendance!$A$5:$A$304,Q$9,Attendance!$F$5:$F$304,"A")&gt;0,"A",IF(COUNTIFS(Attendance!$B$5:$B$304,$B39,Attendance!$A$5:$A$304,Q$9,Attendance!$F$5:$F$304,"L")&gt;0,"L",""))))</f>
        <v/>
      </c>
      <c r="R39" s="62" t="str">
        <f aca="false">IF($B39="","",IF(COUNTIFS(Attendance!$B$5:$B$304,$B39,Attendance!$A$5:$A$304,R$9,Attendance!$F$5:$F$304,"P")&gt;0,"P",IF(COUNTIFS(Attendance!$B$5:$B$304,$B39,Attendance!$A$5:$A$304,R$9,Attendance!$F$5:$F$304,"A")&gt;0,"A",IF(COUNTIFS(Attendance!$B$5:$B$304,$B39,Attendance!$A$5:$A$304,R$9,Attendance!$F$5:$F$304,"L")&gt;0,"L",""))))</f>
        <v/>
      </c>
      <c r="S39" s="62" t="str">
        <f aca="false">IF($B39="","",IF(COUNTIFS(Attendance!$B$5:$B$304,$B39,Attendance!$A$5:$A$304,S$9,Attendance!$F$5:$F$304,"P")&gt;0,"P",IF(COUNTIFS(Attendance!$B$5:$B$304,$B39,Attendance!$A$5:$A$304,S$9,Attendance!$F$5:$F$304,"A")&gt;0,"A",IF(COUNTIFS(Attendance!$B$5:$B$304,$B39,Attendance!$A$5:$A$304,S$9,Attendance!$F$5:$F$304,"L")&gt;0,"L",""))))</f>
        <v/>
      </c>
      <c r="T39" s="62" t="str">
        <f aca="false">IF($B39="","",IF(COUNTIFS(Attendance!$B$5:$B$304,$B39,Attendance!$A$5:$A$304,T$9,Attendance!$F$5:$F$304,"P")&gt;0,"P",IF(COUNTIFS(Attendance!$B$5:$B$304,$B39,Attendance!$A$5:$A$304,T$9,Attendance!$F$5:$F$304,"A")&gt;0,"A",IF(COUNTIFS(Attendance!$B$5:$B$304,$B39,Attendance!$A$5:$A$304,T$9,Attendance!$F$5:$F$304,"L")&gt;0,"L",""))))</f>
        <v/>
      </c>
      <c r="U39" s="62" t="str">
        <f aca="false">IF($B39="","",IF(COUNTIFS(Attendance!$B$5:$B$304,$B39,Attendance!$A$5:$A$304,U$9,Attendance!$F$5:$F$304,"P")&gt;0,"P",IF(COUNTIFS(Attendance!$B$5:$B$304,$B39,Attendance!$A$5:$A$304,U$9,Attendance!$F$5:$F$304,"A")&gt;0,"A",IF(COUNTIFS(Attendance!$B$5:$B$304,$B39,Attendance!$A$5:$A$304,U$9,Attendance!$F$5:$F$304,"L")&gt;0,"L",""))))</f>
        <v/>
      </c>
      <c r="V39" s="62" t="str">
        <f aca="false">IF($B39="","",IF(COUNTIFS(Attendance!$B$5:$B$304,$B39,Attendance!$A$5:$A$304,V$9,Attendance!$F$5:$F$304,"P")&gt;0,"P",IF(COUNTIFS(Attendance!$B$5:$B$304,$B39,Attendance!$A$5:$A$304,V$9,Attendance!$F$5:$F$304,"A")&gt;0,"A",IF(COUNTIFS(Attendance!$B$5:$B$304,$B39,Attendance!$A$5:$A$304,V$9,Attendance!$F$5:$F$304,"L")&gt;0,"L",""))))</f>
        <v/>
      </c>
      <c r="W39" s="62" t="str">
        <f aca="false">IF($B39="","",IF(COUNTIFS(Attendance!$B$5:$B$304,$B39,Attendance!$A$5:$A$304,W$9,Attendance!$F$5:$F$304,"P")&gt;0,"P",IF(COUNTIFS(Attendance!$B$5:$B$304,$B39,Attendance!$A$5:$A$304,W$9,Attendance!$F$5:$F$304,"A")&gt;0,"A",IF(COUNTIFS(Attendance!$B$5:$B$304,$B39,Attendance!$A$5:$A$304,W$9,Attendance!$F$5:$F$304,"L")&gt;0,"L",""))))</f>
        <v/>
      </c>
      <c r="X39" s="62" t="str">
        <f aca="false">IF($B39="","",IF(COUNTIFS(Attendance!$B$5:$B$304,$B39,Attendance!$A$5:$A$304,X$9,Attendance!$F$5:$F$304,"P")&gt;0,"P",IF(COUNTIFS(Attendance!$B$5:$B$304,$B39,Attendance!$A$5:$A$304,X$9,Attendance!$F$5:$F$304,"A")&gt;0,"A",IF(COUNTIFS(Attendance!$B$5:$B$304,$B39,Attendance!$A$5:$A$304,X$9,Attendance!$F$5:$F$304,"L")&gt;0,"L",""))))</f>
        <v/>
      </c>
      <c r="Y39" s="59" t="str">
        <f aca="false">IF($B39="","",COUNTIFS(Attendance!$B$5:$B$304,$B39,Attendance!$F$5:$F$304,"P",Attendance!$A$5:$A$304,"&gt;="&amp;$AF$4,Attendance!$A$5:$A$304,"&lt;="&amp;$AF$5))</f>
        <v/>
      </c>
      <c r="Z39" s="59" t="str">
        <f aca="false">IF($B39="","",COUNTIFS(Attendance!$B$5:$B$304,$B39,Attendance!$F$5:$F$304,"A",Attendance!$A$5:$A$304,"&gt;="&amp;$AF$4,Attendance!$A$5:$A$304,"&lt;="&amp;$AF$5))</f>
        <v/>
      </c>
      <c r="AA39" s="59" t="str">
        <f aca="false">IF($B39="","",COUNTIFS(Attendance!$B$5:$B$304,$B39,Attendance!$F$5:$F$304,"L",Attendance!$A$5:$A$304,"&gt;="&amp;$AF$4,Attendance!$A$5:$A$304,"&lt;="&amp;$AF$5))</f>
        <v/>
      </c>
      <c r="AB39" s="59" t="str">
        <f aca="false">IF($B39="","",SUM(Y39:AA39))</f>
        <v/>
      </c>
      <c r="AC39" s="63" t="str">
        <f aca="false">IF($B39="","",IF(AB39=0,"-",(Y39+AA39)/AB39))</f>
        <v/>
      </c>
    </row>
    <row r="40" customFormat="false" ht="19.5" hidden="false" customHeight="true" outlineLevel="0" collapsed="false">
      <c r="A40" s="59" t="str">
        <f aca="false">IF($B40="","",31)</f>
        <v/>
      </c>
      <c r="B40" s="59" t="str">
        <f aca="false">IFERROR(INDEX(Students!$A$5:$A$304,MATCH($C$4&amp;"|"&amp;$C$5&amp;"|"&amp;31,Students!$O$5:$O$304,0)),"")</f>
        <v/>
      </c>
      <c r="C40" s="60" t="str">
        <f aca="false">IF($B40="","",INDEX(Students!$B$5:$B$304,MATCH($B40,Students!$A$5:$A$304,0)))</f>
        <v/>
      </c>
      <c r="D40" s="61"/>
      <c r="E40" s="62" t="str">
        <f aca="false">IF($B40="","",IF(COUNTIFS(Attendance!$B$5:$B$304,$B40,Attendance!$A$5:$A$304,E$9,Attendance!$F$5:$F$304,"P")&gt;0,"P",IF(COUNTIFS(Attendance!$B$5:$B$304,$B40,Attendance!$A$5:$A$304,E$9,Attendance!$F$5:$F$304,"A")&gt;0,"A",IF(COUNTIFS(Attendance!$B$5:$B$304,$B40,Attendance!$A$5:$A$304,E$9,Attendance!$F$5:$F$304,"L")&gt;0,"L",""))))</f>
        <v/>
      </c>
      <c r="F40" s="62" t="str">
        <f aca="false">IF($B40="","",IF(COUNTIFS(Attendance!$B$5:$B$304,$B40,Attendance!$A$5:$A$304,F$9,Attendance!$F$5:$F$304,"P")&gt;0,"P",IF(COUNTIFS(Attendance!$B$5:$B$304,$B40,Attendance!$A$5:$A$304,F$9,Attendance!$F$5:$F$304,"A")&gt;0,"A",IF(COUNTIFS(Attendance!$B$5:$B$304,$B40,Attendance!$A$5:$A$304,F$9,Attendance!$F$5:$F$304,"L")&gt;0,"L",""))))</f>
        <v/>
      </c>
      <c r="G40" s="62" t="str">
        <f aca="false">IF($B40="","",IF(COUNTIFS(Attendance!$B$5:$B$304,$B40,Attendance!$A$5:$A$304,G$9,Attendance!$F$5:$F$304,"P")&gt;0,"P",IF(COUNTIFS(Attendance!$B$5:$B$304,$B40,Attendance!$A$5:$A$304,G$9,Attendance!$F$5:$F$304,"A")&gt;0,"A",IF(COUNTIFS(Attendance!$B$5:$B$304,$B40,Attendance!$A$5:$A$304,G$9,Attendance!$F$5:$F$304,"L")&gt;0,"L",""))))</f>
        <v/>
      </c>
      <c r="H40" s="62" t="str">
        <f aca="false">IF($B40="","",IF(COUNTIFS(Attendance!$B$5:$B$304,$B40,Attendance!$A$5:$A$304,H$9,Attendance!$F$5:$F$304,"P")&gt;0,"P",IF(COUNTIFS(Attendance!$B$5:$B$304,$B40,Attendance!$A$5:$A$304,H$9,Attendance!$F$5:$F$304,"A")&gt;0,"A",IF(COUNTIFS(Attendance!$B$5:$B$304,$B40,Attendance!$A$5:$A$304,H$9,Attendance!$F$5:$F$304,"L")&gt;0,"L",""))))</f>
        <v/>
      </c>
      <c r="I40" s="62" t="str">
        <f aca="false">IF($B40="","",IF(COUNTIFS(Attendance!$B$5:$B$304,$B40,Attendance!$A$5:$A$304,I$9,Attendance!$F$5:$F$304,"P")&gt;0,"P",IF(COUNTIFS(Attendance!$B$5:$B$304,$B40,Attendance!$A$5:$A$304,I$9,Attendance!$F$5:$F$304,"A")&gt;0,"A",IF(COUNTIFS(Attendance!$B$5:$B$304,$B40,Attendance!$A$5:$A$304,I$9,Attendance!$F$5:$F$304,"L")&gt;0,"L",""))))</f>
        <v/>
      </c>
      <c r="J40" s="62" t="str">
        <f aca="false">IF($B40="","",IF(COUNTIFS(Attendance!$B$5:$B$304,$B40,Attendance!$A$5:$A$304,J$9,Attendance!$F$5:$F$304,"P")&gt;0,"P",IF(COUNTIFS(Attendance!$B$5:$B$304,$B40,Attendance!$A$5:$A$304,J$9,Attendance!$F$5:$F$304,"A")&gt;0,"A",IF(COUNTIFS(Attendance!$B$5:$B$304,$B40,Attendance!$A$5:$A$304,J$9,Attendance!$F$5:$F$304,"L")&gt;0,"L",""))))</f>
        <v/>
      </c>
      <c r="K40" s="62" t="str">
        <f aca="false">IF($B40="","",IF(COUNTIFS(Attendance!$B$5:$B$304,$B40,Attendance!$A$5:$A$304,K$9,Attendance!$F$5:$F$304,"P")&gt;0,"P",IF(COUNTIFS(Attendance!$B$5:$B$304,$B40,Attendance!$A$5:$A$304,K$9,Attendance!$F$5:$F$304,"A")&gt;0,"A",IF(COUNTIFS(Attendance!$B$5:$B$304,$B40,Attendance!$A$5:$A$304,K$9,Attendance!$F$5:$F$304,"L")&gt;0,"L",""))))</f>
        <v/>
      </c>
      <c r="L40" s="62" t="str">
        <f aca="false">IF($B40="","",IF(COUNTIFS(Attendance!$B$5:$B$304,$B40,Attendance!$A$5:$A$304,L$9,Attendance!$F$5:$F$304,"P")&gt;0,"P",IF(COUNTIFS(Attendance!$B$5:$B$304,$B40,Attendance!$A$5:$A$304,L$9,Attendance!$F$5:$F$304,"A")&gt;0,"A",IF(COUNTIFS(Attendance!$B$5:$B$304,$B40,Attendance!$A$5:$A$304,L$9,Attendance!$F$5:$F$304,"L")&gt;0,"L",""))))</f>
        <v/>
      </c>
      <c r="M40" s="62" t="str">
        <f aca="false">IF($B40="","",IF(COUNTIFS(Attendance!$B$5:$B$304,$B40,Attendance!$A$5:$A$304,M$9,Attendance!$F$5:$F$304,"P")&gt;0,"P",IF(COUNTIFS(Attendance!$B$5:$B$304,$B40,Attendance!$A$5:$A$304,M$9,Attendance!$F$5:$F$304,"A")&gt;0,"A",IF(COUNTIFS(Attendance!$B$5:$B$304,$B40,Attendance!$A$5:$A$304,M$9,Attendance!$F$5:$F$304,"L")&gt;0,"L",""))))</f>
        <v/>
      </c>
      <c r="N40" s="62" t="str">
        <f aca="false">IF($B40="","",IF(COUNTIFS(Attendance!$B$5:$B$304,$B40,Attendance!$A$5:$A$304,N$9,Attendance!$F$5:$F$304,"P")&gt;0,"P",IF(COUNTIFS(Attendance!$B$5:$B$304,$B40,Attendance!$A$5:$A$304,N$9,Attendance!$F$5:$F$304,"A")&gt;0,"A",IF(COUNTIFS(Attendance!$B$5:$B$304,$B40,Attendance!$A$5:$A$304,N$9,Attendance!$F$5:$F$304,"L")&gt;0,"L",""))))</f>
        <v/>
      </c>
      <c r="O40" s="62" t="str">
        <f aca="false">IF($B40="","",IF(COUNTIFS(Attendance!$B$5:$B$304,$B40,Attendance!$A$5:$A$304,O$9,Attendance!$F$5:$F$304,"P")&gt;0,"P",IF(COUNTIFS(Attendance!$B$5:$B$304,$B40,Attendance!$A$5:$A$304,O$9,Attendance!$F$5:$F$304,"A")&gt;0,"A",IF(COUNTIFS(Attendance!$B$5:$B$304,$B40,Attendance!$A$5:$A$304,O$9,Attendance!$F$5:$F$304,"L")&gt;0,"L",""))))</f>
        <v/>
      </c>
      <c r="P40" s="62" t="str">
        <f aca="false">IF($B40="","",IF(COUNTIFS(Attendance!$B$5:$B$304,$B40,Attendance!$A$5:$A$304,P$9,Attendance!$F$5:$F$304,"P")&gt;0,"P",IF(COUNTIFS(Attendance!$B$5:$B$304,$B40,Attendance!$A$5:$A$304,P$9,Attendance!$F$5:$F$304,"A")&gt;0,"A",IF(COUNTIFS(Attendance!$B$5:$B$304,$B40,Attendance!$A$5:$A$304,P$9,Attendance!$F$5:$F$304,"L")&gt;0,"L",""))))</f>
        <v/>
      </c>
      <c r="Q40" s="62" t="str">
        <f aca="false">IF($B40="","",IF(COUNTIFS(Attendance!$B$5:$B$304,$B40,Attendance!$A$5:$A$304,Q$9,Attendance!$F$5:$F$304,"P")&gt;0,"P",IF(COUNTIFS(Attendance!$B$5:$B$304,$B40,Attendance!$A$5:$A$304,Q$9,Attendance!$F$5:$F$304,"A")&gt;0,"A",IF(COUNTIFS(Attendance!$B$5:$B$304,$B40,Attendance!$A$5:$A$304,Q$9,Attendance!$F$5:$F$304,"L")&gt;0,"L",""))))</f>
        <v/>
      </c>
      <c r="R40" s="62" t="str">
        <f aca="false">IF($B40="","",IF(COUNTIFS(Attendance!$B$5:$B$304,$B40,Attendance!$A$5:$A$304,R$9,Attendance!$F$5:$F$304,"P")&gt;0,"P",IF(COUNTIFS(Attendance!$B$5:$B$304,$B40,Attendance!$A$5:$A$304,R$9,Attendance!$F$5:$F$304,"A")&gt;0,"A",IF(COUNTIFS(Attendance!$B$5:$B$304,$B40,Attendance!$A$5:$A$304,R$9,Attendance!$F$5:$F$304,"L")&gt;0,"L",""))))</f>
        <v/>
      </c>
      <c r="S40" s="62" t="str">
        <f aca="false">IF($B40="","",IF(COUNTIFS(Attendance!$B$5:$B$304,$B40,Attendance!$A$5:$A$304,S$9,Attendance!$F$5:$F$304,"P")&gt;0,"P",IF(COUNTIFS(Attendance!$B$5:$B$304,$B40,Attendance!$A$5:$A$304,S$9,Attendance!$F$5:$F$304,"A")&gt;0,"A",IF(COUNTIFS(Attendance!$B$5:$B$304,$B40,Attendance!$A$5:$A$304,S$9,Attendance!$F$5:$F$304,"L")&gt;0,"L",""))))</f>
        <v/>
      </c>
      <c r="T40" s="62" t="str">
        <f aca="false">IF($B40="","",IF(COUNTIFS(Attendance!$B$5:$B$304,$B40,Attendance!$A$5:$A$304,T$9,Attendance!$F$5:$F$304,"P")&gt;0,"P",IF(COUNTIFS(Attendance!$B$5:$B$304,$B40,Attendance!$A$5:$A$304,T$9,Attendance!$F$5:$F$304,"A")&gt;0,"A",IF(COUNTIFS(Attendance!$B$5:$B$304,$B40,Attendance!$A$5:$A$304,T$9,Attendance!$F$5:$F$304,"L")&gt;0,"L",""))))</f>
        <v/>
      </c>
      <c r="U40" s="62" t="str">
        <f aca="false">IF($B40="","",IF(COUNTIFS(Attendance!$B$5:$B$304,$B40,Attendance!$A$5:$A$304,U$9,Attendance!$F$5:$F$304,"P")&gt;0,"P",IF(COUNTIFS(Attendance!$B$5:$B$304,$B40,Attendance!$A$5:$A$304,U$9,Attendance!$F$5:$F$304,"A")&gt;0,"A",IF(COUNTIFS(Attendance!$B$5:$B$304,$B40,Attendance!$A$5:$A$304,U$9,Attendance!$F$5:$F$304,"L")&gt;0,"L",""))))</f>
        <v/>
      </c>
      <c r="V40" s="62" t="str">
        <f aca="false">IF($B40="","",IF(COUNTIFS(Attendance!$B$5:$B$304,$B40,Attendance!$A$5:$A$304,V$9,Attendance!$F$5:$F$304,"P")&gt;0,"P",IF(COUNTIFS(Attendance!$B$5:$B$304,$B40,Attendance!$A$5:$A$304,V$9,Attendance!$F$5:$F$304,"A")&gt;0,"A",IF(COUNTIFS(Attendance!$B$5:$B$304,$B40,Attendance!$A$5:$A$304,V$9,Attendance!$F$5:$F$304,"L")&gt;0,"L",""))))</f>
        <v/>
      </c>
      <c r="W40" s="62" t="str">
        <f aca="false">IF($B40="","",IF(COUNTIFS(Attendance!$B$5:$B$304,$B40,Attendance!$A$5:$A$304,W$9,Attendance!$F$5:$F$304,"P")&gt;0,"P",IF(COUNTIFS(Attendance!$B$5:$B$304,$B40,Attendance!$A$5:$A$304,W$9,Attendance!$F$5:$F$304,"A")&gt;0,"A",IF(COUNTIFS(Attendance!$B$5:$B$304,$B40,Attendance!$A$5:$A$304,W$9,Attendance!$F$5:$F$304,"L")&gt;0,"L",""))))</f>
        <v/>
      </c>
      <c r="X40" s="62" t="str">
        <f aca="false">IF($B40="","",IF(COUNTIFS(Attendance!$B$5:$B$304,$B40,Attendance!$A$5:$A$304,X$9,Attendance!$F$5:$F$304,"P")&gt;0,"P",IF(COUNTIFS(Attendance!$B$5:$B$304,$B40,Attendance!$A$5:$A$304,X$9,Attendance!$F$5:$F$304,"A")&gt;0,"A",IF(COUNTIFS(Attendance!$B$5:$B$304,$B40,Attendance!$A$5:$A$304,X$9,Attendance!$F$5:$F$304,"L")&gt;0,"L",""))))</f>
        <v/>
      </c>
      <c r="Y40" s="59" t="str">
        <f aca="false">IF($B40="","",COUNTIFS(Attendance!$B$5:$B$304,$B40,Attendance!$F$5:$F$304,"P",Attendance!$A$5:$A$304,"&gt;="&amp;$AF$4,Attendance!$A$5:$A$304,"&lt;="&amp;$AF$5))</f>
        <v/>
      </c>
      <c r="Z40" s="59" t="str">
        <f aca="false">IF($B40="","",COUNTIFS(Attendance!$B$5:$B$304,$B40,Attendance!$F$5:$F$304,"A",Attendance!$A$5:$A$304,"&gt;="&amp;$AF$4,Attendance!$A$5:$A$304,"&lt;="&amp;$AF$5))</f>
        <v/>
      </c>
      <c r="AA40" s="59" t="str">
        <f aca="false">IF($B40="","",COUNTIFS(Attendance!$B$5:$B$304,$B40,Attendance!$F$5:$F$304,"L",Attendance!$A$5:$A$304,"&gt;="&amp;$AF$4,Attendance!$A$5:$A$304,"&lt;="&amp;$AF$5))</f>
        <v/>
      </c>
      <c r="AB40" s="59" t="str">
        <f aca="false">IF($B40="","",SUM(Y40:AA40))</f>
        <v/>
      </c>
      <c r="AC40" s="63" t="str">
        <f aca="false">IF($B40="","",IF(AB40=0,"-",(Y40+AA40)/AB40))</f>
        <v/>
      </c>
    </row>
    <row r="41" customFormat="false" ht="19.5" hidden="false" customHeight="true" outlineLevel="0" collapsed="false">
      <c r="A41" s="59" t="str">
        <f aca="false">IF($B41="","",32)</f>
        <v/>
      </c>
      <c r="B41" s="59" t="str">
        <f aca="false">IFERROR(INDEX(Students!$A$5:$A$304,MATCH($C$4&amp;"|"&amp;$C$5&amp;"|"&amp;32,Students!$O$5:$O$304,0)),"")</f>
        <v/>
      </c>
      <c r="C41" s="60" t="str">
        <f aca="false">IF($B41="","",INDEX(Students!$B$5:$B$304,MATCH($B41,Students!$A$5:$A$304,0)))</f>
        <v/>
      </c>
      <c r="D41" s="61"/>
      <c r="E41" s="62" t="str">
        <f aca="false">IF($B41="","",IF(COUNTIFS(Attendance!$B$5:$B$304,$B41,Attendance!$A$5:$A$304,E$9,Attendance!$F$5:$F$304,"P")&gt;0,"P",IF(COUNTIFS(Attendance!$B$5:$B$304,$B41,Attendance!$A$5:$A$304,E$9,Attendance!$F$5:$F$304,"A")&gt;0,"A",IF(COUNTIFS(Attendance!$B$5:$B$304,$B41,Attendance!$A$5:$A$304,E$9,Attendance!$F$5:$F$304,"L")&gt;0,"L",""))))</f>
        <v/>
      </c>
      <c r="F41" s="62" t="str">
        <f aca="false">IF($B41="","",IF(COUNTIFS(Attendance!$B$5:$B$304,$B41,Attendance!$A$5:$A$304,F$9,Attendance!$F$5:$F$304,"P")&gt;0,"P",IF(COUNTIFS(Attendance!$B$5:$B$304,$B41,Attendance!$A$5:$A$304,F$9,Attendance!$F$5:$F$304,"A")&gt;0,"A",IF(COUNTIFS(Attendance!$B$5:$B$304,$B41,Attendance!$A$5:$A$304,F$9,Attendance!$F$5:$F$304,"L")&gt;0,"L",""))))</f>
        <v/>
      </c>
      <c r="G41" s="62" t="str">
        <f aca="false">IF($B41="","",IF(COUNTIFS(Attendance!$B$5:$B$304,$B41,Attendance!$A$5:$A$304,G$9,Attendance!$F$5:$F$304,"P")&gt;0,"P",IF(COUNTIFS(Attendance!$B$5:$B$304,$B41,Attendance!$A$5:$A$304,G$9,Attendance!$F$5:$F$304,"A")&gt;0,"A",IF(COUNTIFS(Attendance!$B$5:$B$304,$B41,Attendance!$A$5:$A$304,G$9,Attendance!$F$5:$F$304,"L")&gt;0,"L",""))))</f>
        <v/>
      </c>
      <c r="H41" s="62" t="str">
        <f aca="false">IF($B41="","",IF(COUNTIFS(Attendance!$B$5:$B$304,$B41,Attendance!$A$5:$A$304,H$9,Attendance!$F$5:$F$304,"P")&gt;0,"P",IF(COUNTIFS(Attendance!$B$5:$B$304,$B41,Attendance!$A$5:$A$304,H$9,Attendance!$F$5:$F$304,"A")&gt;0,"A",IF(COUNTIFS(Attendance!$B$5:$B$304,$B41,Attendance!$A$5:$A$304,H$9,Attendance!$F$5:$F$304,"L")&gt;0,"L",""))))</f>
        <v/>
      </c>
      <c r="I41" s="62" t="str">
        <f aca="false">IF($B41="","",IF(COUNTIFS(Attendance!$B$5:$B$304,$B41,Attendance!$A$5:$A$304,I$9,Attendance!$F$5:$F$304,"P")&gt;0,"P",IF(COUNTIFS(Attendance!$B$5:$B$304,$B41,Attendance!$A$5:$A$304,I$9,Attendance!$F$5:$F$304,"A")&gt;0,"A",IF(COUNTIFS(Attendance!$B$5:$B$304,$B41,Attendance!$A$5:$A$304,I$9,Attendance!$F$5:$F$304,"L")&gt;0,"L",""))))</f>
        <v/>
      </c>
      <c r="J41" s="62" t="str">
        <f aca="false">IF($B41="","",IF(COUNTIFS(Attendance!$B$5:$B$304,$B41,Attendance!$A$5:$A$304,J$9,Attendance!$F$5:$F$304,"P")&gt;0,"P",IF(COUNTIFS(Attendance!$B$5:$B$304,$B41,Attendance!$A$5:$A$304,J$9,Attendance!$F$5:$F$304,"A")&gt;0,"A",IF(COUNTIFS(Attendance!$B$5:$B$304,$B41,Attendance!$A$5:$A$304,J$9,Attendance!$F$5:$F$304,"L")&gt;0,"L",""))))</f>
        <v/>
      </c>
      <c r="K41" s="62" t="str">
        <f aca="false">IF($B41="","",IF(COUNTIFS(Attendance!$B$5:$B$304,$B41,Attendance!$A$5:$A$304,K$9,Attendance!$F$5:$F$304,"P")&gt;0,"P",IF(COUNTIFS(Attendance!$B$5:$B$304,$B41,Attendance!$A$5:$A$304,K$9,Attendance!$F$5:$F$304,"A")&gt;0,"A",IF(COUNTIFS(Attendance!$B$5:$B$304,$B41,Attendance!$A$5:$A$304,K$9,Attendance!$F$5:$F$304,"L")&gt;0,"L",""))))</f>
        <v/>
      </c>
      <c r="L41" s="62" t="str">
        <f aca="false">IF($B41="","",IF(COUNTIFS(Attendance!$B$5:$B$304,$B41,Attendance!$A$5:$A$304,L$9,Attendance!$F$5:$F$304,"P")&gt;0,"P",IF(COUNTIFS(Attendance!$B$5:$B$304,$B41,Attendance!$A$5:$A$304,L$9,Attendance!$F$5:$F$304,"A")&gt;0,"A",IF(COUNTIFS(Attendance!$B$5:$B$304,$B41,Attendance!$A$5:$A$304,L$9,Attendance!$F$5:$F$304,"L")&gt;0,"L",""))))</f>
        <v/>
      </c>
      <c r="M41" s="62" t="str">
        <f aca="false">IF($B41="","",IF(COUNTIFS(Attendance!$B$5:$B$304,$B41,Attendance!$A$5:$A$304,M$9,Attendance!$F$5:$F$304,"P")&gt;0,"P",IF(COUNTIFS(Attendance!$B$5:$B$304,$B41,Attendance!$A$5:$A$304,M$9,Attendance!$F$5:$F$304,"A")&gt;0,"A",IF(COUNTIFS(Attendance!$B$5:$B$304,$B41,Attendance!$A$5:$A$304,M$9,Attendance!$F$5:$F$304,"L")&gt;0,"L",""))))</f>
        <v/>
      </c>
      <c r="N41" s="62" t="str">
        <f aca="false">IF($B41="","",IF(COUNTIFS(Attendance!$B$5:$B$304,$B41,Attendance!$A$5:$A$304,N$9,Attendance!$F$5:$F$304,"P")&gt;0,"P",IF(COUNTIFS(Attendance!$B$5:$B$304,$B41,Attendance!$A$5:$A$304,N$9,Attendance!$F$5:$F$304,"A")&gt;0,"A",IF(COUNTIFS(Attendance!$B$5:$B$304,$B41,Attendance!$A$5:$A$304,N$9,Attendance!$F$5:$F$304,"L")&gt;0,"L",""))))</f>
        <v/>
      </c>
      <c r="O41" s="62" t="str">
        <f aca="false">IF($B41="","",IF(COUNTIFS(Attendance!$B$5:$B$304,$B41,Attendance!$A$5:$A$304,O$9,Attendance!$F$5:$F$304,"P")&gt;0,"P",IF(COUNTIFS(Attendance!$B$5:$B$304,$B41,Attendance!$A$5:$A$304,O$9,Attendance!$F$5:$F$304,"A")&gt;0,"A",IF(COUNTIFS(Attendance!$B$5:$B$304,$B41,Attendance!$A$5:$A$304,O$9,Attendance!$F$5:$F$304,"L")&gt;0,"L",""))))</f>
        <v/>
      </c>
      <c r="P41" s="62" t="str">
        <f aca="false">IF($B41="","",IF(COUNTIFS(Attendance!$B$5:$B$304,$B41,Attendance!$A$5:$A$304,P$9,Attendance!$F$5:$F$304,"P")&gt;0,"P",IF(COUNTIFS(Attendance!$B$5:$B$304,$B41,Attendance!$A$5:$A$304,P$9,Attendance!$F$5:$F$304,"A")&gt;0,"A",IF(COUNTIFS(Attendance!$B$5:$B$304,$B41,Attendance!$A$5:$A$304,P$9,Attendance!$F$5:$F$304,"L")&gt;0,"L",""))))</f>
        <v/>
      </c>
      <c r="Q41" s="62" t="str">
        <f aca="false">IF($B41="","",IF(COUNTIFS(Attendance!$B$5:$B$304,$B41,Attendance!$A$5:$A$304,Q$9,Attendance!$F$5:$F$304,"P")&gt;0,"P",IF(COUNTIFS(Attendance!$B$5:$B$304,$B41,Attendance!$A$5:$A$304,Q$9,Attendance!$F$5:$F$304,"A")&gt;0,"A",IF(COUNTIFS(Attendance!$B$5:$B$304,$B41,Attendance!$A$5:$A$304,Q$9,Attendance!$F$5:$F$304,"L")&gt;0,"L",""))))</f>
        <v/>
      </c>
      <c r="R41" s="62" t="str">
        <f aca="false">IF($B41="","",IF(COUNTIFS(Attendance!$B$5:$B$304,$B41,Attendance!$A$5:$A$304,R$9,Attendance!$F$5:$F$304,"P")&gt;0,"P",IF(COUNTIFS(Attendance!$B$5:$B$304,$B41,Attendance!$A$5:$A$304,R$9,Attendance!$F$5:$F$304,"A")&gt;0,"A",IF(COUNTIFS(Attendance!$B$5:$B$304,$B41,Attendance!$A$5:$A$304,R$9,Attendance!$F$5:$F$304,"L")&gt;0,"L",""))))</f>
        <v/>
      </c>
      <c r="S41" s="62" t="str">
        <f aca="false">IF($B41="","",IF(COUNTIFS(Attendance!$B$5:$B$304,$B41,Attendance!$A$5:$A$304,S$9,Attendance!$F$5:$F$304,"P")&gt;0,"P",IF(COUNTIFS(Attendance!$B$5:$B$304,$B41,Attendance!$A$5:$A$304,S$9,Attendance!$F$5:$F$304,"A")&gt;0,"A",IF(COUNTIFS(Attendance!$B$5:$B$304,$B41,Attendance!$A$5:$A$304,S$9,Attendance!$F$5:$F$304,"L")&gt;0,"L",""))))</f>
        <v/>
      </c>
      <c r="T41" s="62" t="str">
        <f aca="false">IF($B41="","",IF(COUNTIFS(Attendance!$B$5:$B$304,$B41,Attendance!$A$5:$A$304,T$9,Attendance!$F$5:$F$304,"P")&gt;0,"P",IF(COUNTIFS(Attendance!$B$5:$B$304,$B41,Attendance!$A$5:$A$304,T$9,Attendance!$F$5:$F$304,"A")&gt;0,"A",IF(COUNTIFS(Attendance!$B$5:$B$304,$B41,Attendance!$A$5:$A$304,T$9,Attendance!$F$5:$F$304,"L")&gt;0,"L",""))))</f>
        <v/>
      </c>
      <c r="U41" s="62" t="str">
        <f aca="false">IF($B41="","",IF(COUNTIFS(Attendance!$B$5:$B$304,$B41,Attendance!$A$5:$A$304,U$9,Attendance!$F$5:$F$304,"P")&gt;0,"P",IF(COUNTIFS(Attendance!$B$5:$B$304,$B41,Attendance!$A$5:$A$304,U$9,Attendance!$F$5:$F$304,"A")&gt;0,"A",IF(COUNTIFS(Attendance!$B$5:$B$304,$B41,Attendance!$A$5:$A$304,U$9,Attendance!$F$5:$F$304,"L")&gt;0,"L",""))))</f>
        <v/>
      </c>
      <c r="V41" s="62" t="str">
        <f aca="false">IF($B41="","",IF(COUNTIFS(Attendance!$B$5:$B$304,$B41,Attendance!$A$5:$A$304,V$9,Attendance!$F$5:$F$304,"P")&gt;0,"P",IF(COUNTIFS(Attendance!$B$5:$B$304,$B41,Attendance!$A$5:$A$304,V$9,Attendance!$F$5:$F$304,"A")&gt;0,"A",IF(COUNTIFS(Attendance!$B$5:$B$304,$B41,Attendance!$A$5:$A$304,V$9,Attendance!$F$5:$F$304,"L")&gt;0,"L",""))))</f>
        <v/>
      </c>
      <c r="W41" s="62" t="str">
        <f aca="false">IF($B41="","",IF(COUNTIFS(Attendance!$B$5:$B$304,$B41,Attendance!$A$5:$A$304,W$9,Attendance!$F$5:$F$304,"P")&gt;0,"P",IF(COUNTIFS(Attendance!$B$5:$B$304,$B41,Attendance!$A$5:$A$304,W$9,Attendance!$F$5:$F$304,"A")&gt;0,"A",IF(COUNTIFS(Attendance!$B$5:$B$304,$B41,Attendance!$A$5:$A$304,W$9,Attendance!$F$5:$F$304,"L")&gt;0,"L",""))))</f>
        <v/>
      </c>
      <c r="X41" s="62" t="str">
        <f aca="false">IF($B41="","",IF(COUNTIFS(Attendance!$B$5:$B$304,$B41,Attendance!$A$5:$A$304,X$9,Attendance!$F$5:$F$304,"P")&gt;0,"P",IF(COUNTIFS(Attendance!$B$5:$B$304,$B41,Attendance!$A$5:$A$304,X$9,Attendance!$F$5:$F$304,"A")&gt;0,"A",IF(COUNTIFS(Attendance!$B$5:$B$304,$B41,Attendance!$A$5:$A$304,X$9,Attendance!$F$5:$F$304,"L")&gt;0,"L",""))))</f>
        <v/>
      </c>
      <c r="Y41" s="59" t="str">
        <f aca="false">IF($B41="","",COUNTIFS(Attendance!$B$5:$B$304,$B41,Attendance!$F$5:$F$304,"P",Attendance!$A$5:$A$304,"&gt;="&amp;$AF$4,Attendance!$A$5:$A$304,"&lt;="&amp;$AF$5))</f>
        <v/>
      </c>
      <c r="Z41" s="59" t="str">
        <f aca="false">IF($B41="","",COUNTIFS(Attendance!$B$5:$B$304,$B41,Attendance!$F$5:$F$304,"A",Attendance!$A$5:$A$304,"&gt;="&amp;$AF$4,Attendance!$A$5:$A$304,"&lt;="&amp;$AF$5))</f>
        <v/>
      </c>
      <c r="AA41" s="59" t="str">
        <f aca="false">IF($B41="","",COUNTIFS(Attendance!$B$5:$B$304,$B41,Attendance!$F$5:$F$304,"L",Attendance!$A$5:$A$304,"&gt;="&amp;$AF$4,Attendance!$A$5:$A$304,"&lt;="&amp;$AF$5))</f>
        <v/>
      </c>
      <c r="AB41" s="59" t="str">
        <f aca="false">IF($B41="","",SUM(Y41:AA41))</f>
        <v/>
      </c>
      <c r="AC41" s="63" t="str">
        <f aca="false">IF($B41="","",IF(AB41=0,"-",(Y41+AA41)/AB41))</f>
        <v/>
      </c>
    </row>
    <row r="42" customFormat="false" ht="19.5" hidden="false" customHeight="true" outlineLevel="0" collapsed="false">
      <c r="A42" s="59" t="str">
        <f aca="false">IF($B42="","",33)</f>
        <v/>
      </c>
      <c r="B42" s="59" t="str">
        <f aca="false">IFERROR(INDEX(Students!$A$5:$A$304,MATCH($C$4&amp;"|"&amp;$C$5&amp;"|"&amp;33,Students!$O$5:$O$304,0)),"")</f>
        <v/>
      </c>
      <c r="C42" s="60" t="str">
        <f aca="false">IF($B42="","",INDEX(Students!$B$5:$B$304,MATCH($B42,Students!$A$5:$A$304,0)))</f>
        <v/>
      </c>
      <c r="D42" s="61"/>
      <c r="E42" s="62" t="str">
        <f aca="false">IF($B42="","",IF(COUNTIFS(Attendance!$B$5:$B$304,$B42,Attendance!$A$5:$A$304,E$9,Attendance!$F$5:$F$304,"P")&gt;0,"P",IF(COUNTIFS(Attendance!$B$5:$B$304,$B42,Attendance!$A$5:$A$304,E$9,Attendance!$F$5:$F$304,"A")&gt;0,"A",IF(COUNTIFS(Attendance!$B$5:$B$304,$B42,Attendance!$A$5:$A$304,E$9,Attendance!$F$5:$F$304,"L")&gt;0,"L",""))))</f>
        <v/>
      </c>
      <c r="F42" s="62" t="str">
        <f aca="false">IF($B42="","",IF(COUNTIFS(Attendance!$B$5:$B$304,$B42,Attendance!$A$5:$A$304,F$9,Attendance!$F$5:$F$304,"P")&gt;0,"P",IF(COUNTIFS(Attendance!$B$5:$B$304,$B42,Attendance!$A$5:$A$304,F$9,Attendance!$F$5:$F$304,"A")&gt;0,"A",IF(COUNTIFS(Attendance!$B$5:$B$304,$B42,Attendance!$A$5:$A$304,F$9,Attendance!$F$5:$F$304,"L")&gt;0,"L",""))))</f>
        <v/>
      </c>
      <c r="G42" s="62" t="str">
        <f aca="false">IF($B42="","",IF(COUNTIFS(Attendance!$B$5:$B$304,$B42,Attendance!$A$5:$A$304,G$9,Attendance!$F$5:$F$304,"P")&gt;0,"P",IF(COUNTIFS(Attendance!$B$5:$B$304,$B42,Attendance!$A$5:$A$304,G$9,Attendance!$F$5:$F$304,"A")&gt;0,"A",IF(COUNTIFS(Attendance!$B$5:$B$304,$B42,Attendance!$A$5:$A$304,G$9,Attendance!$F$5:$F$304,"L")&gt;0,"L",""))))</f>
        <v/>
      </c>
      <c r="H42" s="62" t="str">
        <f aca="false">IF($B42="","",IF(COUNTIFS(Attendance!$B$5:$B$304,$B42,Attendance!$A$5:$A$304,H$9,Attendance!$F$5:$F$304,"P")&gt;0,"P",IF(COUNTIFS(Attendance!$B$5:$B$304,$B42,Attendance!$A$5:$A$304,H$9,Attendance!$F$5:$F$304,"A")&gt;0,"A",IF(COUNTIFS(Attendance!$B$5:$B$304,$B42,Attendance!$A$5:$A$304,H$9,Attendance!$F$5:$F$304,"L")&gt;0,"L",""))))</f>
        <v/>
      </c>
      <c r="I42" s="62" t="str">
        <f aca="false">IF($B42="","",IF(COUNTIFS(Attendance!$B$5:$B$304,$B42,Attendance!$A$5:$A$304,I$9,Attendance!$F$5:$F$304,"P")&gt;0,"P",IF(COUNTIFS(Attendance!$B$5:$B$304,$B42,Attendance!$A$5:$A$304,I$9,Attendance!$F$5:$F$304,"A")&gt;0,"A",IF(COUNTIFS(Attendance!$B$5:$B$304,$B42,Attendance!$A$5:$A$304,I$9,Attendance!$F$5:$F$304,"L")&gt;0,"L",""))))</f>
        <v/>
      </c>
      <c r="J42" s="62" t="str">
        <f aca="false">IF($B42="","",IF(COUNTIFS(Attendance!$B$5:$B$304,$B42,Attendance!$A$5:$A$304,J$9,Attendance!$F$5:$F$304,"P")&gt;0,"P",IF(COUNTIFS(Attendance!$B$5:$B$304,$B42,Attendance!$A$5:$A$304,J$9,Attendance!$F$5:$F$304,"A")&gt;0,"A",IF(COUNTIFS(Attendance!$B$5:$B$304,$B42,Attendance!$A$5:$A$304,J$9,Attendance!$F$5:$F$304,"L")&gt;0,"L",""))))</f>
        <v/>
      </c>
      <c r="K42" s="62" t="str">
        <f aca="false">IF($B42="","",IF(COUNTIFS(Attendance!$B$5:$B$304,$B42,Attendance!$A$5:$A$304,K$9,Attendance!$F$5:$F$304,"P")&gt;0,"P",IF(COUNTIFS(Attendance!$B$5:$B$304,$B42,Attendance!$A$5:$A$304,K$9,Attendance!$F$5:$F$304,"A")&gt;0,"A",IF(COUNTIFS(Attendance!$B$5:$B$304,$B42,Attendance!$A$5:$A$304,K$9,Attendance!$F$5:$F$304,"L")&gt;0,"L",""))))</f>
        <v/>
      </c>
      <c r="L42" s="62" t="str">
        <f aca="false">IF($B42="","",IF(COUNTIFS(Attendance!$B$5:$B$304,$B42,Attendance!$A$5:$A$304,L$9,Attendance!$F$5:$F$304,"P")&gt;0,"P",IF(COUNTIFS(Attendance!$B$5:$B$304,$B42,Attendance!$A$5:$A$304,L$9,Attendance!$F$5:$F$304,"A")&gt;0,"A",IF(COUNTIFS(Attendance!$B$5:$B$304,$B42,Attendance!$A$5:$A$304,L$9,Attendance!$F$5:$F$304,"L")&gt;0,"L",""))))</f>
        <v/>
      </c>
      <c r="M42" s="62" t="str">
        <f aca="false">IF($B42="","",IF(COUNTIFS(Attendance!$B$5:$B$304,$B42,Attendance!$A$5:$A$304,M$9,Attendance!$F$5:$F$304,"P")&gt;0,"P",IF(COUNTIFS(Attendance!$B$5:$B$304,$B42,Attendance!$A$5:$A$304,M$9,Attendance!$F$5:$F$304,"A")&gt;0,"A",IF(COUNTIFS(Attendance!$B$5:$B$304,$B42,Attendance!$A$5:$A$304,M$9,Attendance!$F$5:$F$304,"L")&gt;0,"L",""))))</f>
        <v/>
      </c>
      <c r="N42" s="62" t="str">
        <f aca="false">IF($B42="","",IF(COUNTIFS(Attendance!$B$5:$B$304,$B42,Attendance!$A$5:$A$304,N$9,Attendance!$F$5:$F$304,"P")&gt;0,"P",IF(COUNTIFS(Attendance!$B$5:$B$304,$B42,Attendance!$A$5:$A$304,N$9,Attendance!$F$5:$F$304,"A")&gt;0,"A",IF(COUNTIFS(Attendance!$B$5:$B$304,$B42,Attendance!$A$5:$A$304,N$9,Attendance!$F$5:$F$304,"L")&gt;0,"L",""))))</f>
        <v/>
      </c>
      <c r="O42" s="62" t="str">
        <f aca="false">IF($B42="","",IF(COUNTIFS(Attendance!$B$5:$B$304,$B42,Attendance!$A$5:$A$304,O$9,Attendance!$F$5:$F$304,"P")&gt;0,"P",IF(COUNTIFS(Attendance!$B$5:$B$304,$B42,Attendance!$A$5:$A$304,O$9,Attendance!$F$5:$F$304,"A")&gt;0,"A",IF(COUNTIFS(Attendance!$B$5:$B$304,$B42,Attendance!$A$5:$A$304,O$9,Attendance!$F$5:$F$304,"L")&gt;0,"L",""))))</f>
        <v/>
      </c>
      <c r="P42" s="62" t="str">
        <f aca="false">IF($B42="","",IF(COUNTIFS(Attendance!$B$5:$B$304,$B42,Attendance!$A$5:$A$304,P$9,Attendance!$F$5:$F$304,"P")&gt;0,"P",IF(COUNTIFS(Attendance!$B$5:$B$304,$B42,Attendance!$A$5:$A$304,P$9,Attendance!$F$5:$F$304,"A")&gt;0,"A",IF(COUNTIFS(Attendance!$B$5:$B$304,$B42,Attendance!$A$5:$A$304,P$9,Attendance!$F$5:$F$304,"L")&gt;0,"L",""))))</f>
        <v/>
      </c>
      <c r="Q42" s="62" t="str">
        <f aca="false">IF($B42="","",IF(COUNTIFS(Attendance!$B$5:$B$304,$B42,Attendance!$A$5:$A$304,Q$9,Attendance!$F$5:$F$304,"P")&gt;0,"P",IF(COUNTIFS(Attendance!$B$5:$B$304,$B42,Attendance!$A$5:$A$304,Q$9,Attendance!$F$5:$F$304,"A")&gt;0,"A",IF(COUNTIFS(Attendance!$B$5:$B$304,$B42,Attendance!$A$5:$A$304,Q$9,Attendance!$F$5:$F$304,"L")&gt;0,"L",""))))</f>
        <v/>
      </c>
      <c r="R42" s="62" t="str">
        <f aca="false">IF($B42="","",IF(COUNTIFS(Attendance!$B$5:$B$304,$B42,Attendance!$A$5:$A$304,R$9,Attendance!$F$5:$F$304,"P")&gt;0,"P",IF(COUNTIFS(Attendance!$B$5:$B$304,$B42,Attendance!$A$5:$A$304,R$9,Attendance!$F$5:$F$304,"A")&gt;0,"A",IF(COUNTIFS(Attendance!$B$5:$B$304,$B42,Attendance!$A$5:$A$304,R$9,Attendance!$F$5:$F$304,"L")&gt;0,"L",""))))</f>
        <v/>
      </c>
      <c r="S42" s="62" t="str">
        <f aca="false">IF($B42="","",IF(COUNTIFS(Attendance!$B$5:$B$304,$B42,Attendance!$A$5:$A$304,S$9,Attendance!$F$5:$F$304,"P")&gt;0,"P",IF(COUNTIFS(Attendance!$B$5:$B$304,$B42,Attendance!$A$5:$A$304,S$9,Attendance!$F$5:$F$304,"A")&gt;0,"A",IF(COUNTIFS(Attendance!$B$5:$B$304,$B42,Attendance!$A$5:$A$304,S$9,Attendance!$F$5:$F$304,"L")&gt;0,"L",""))))</f>
        <v/>
      </c>
      <c r="T42" s="62" t="str">
        <f aca="false">IF($B42="","",IF(COUNTIFS(Attendance!$B$5:$B$304,$B42,Attendance!$A$5:$A$304,T$9,Attendance!$F$5:$F$304,"P")&gt;0,"P",IF(COUNTIFS(Attendance!$B$5:$B$304,$B42,Attendance!$A$5:$A$304,T$9,Attendance!$F$5:$F$304,"A")&gt;0,"A",IF(COUNTIFS(Attendance!$B$5:$B$304,$B42,Attendance!$A$5:$A$304,T$9,Attendance!$F$5:$F$304,"L")&gt;0,"L",""))))</f>
        <v/>
      </c>
      <c r="U42" s="62" t="str">
        <f aca="false">IF($B42="","",IF(COUNTIFS(Attendance!$B$5:$B$304,$B42,Attendance!$A$5:$A$304,U$9,Attendance!$F$5:$F$304,"P")&gt;0,"P",IF(COUNTIFS(Attendance!$B$5:$B$304,$B42,Attendance!$A$5:$A$304,U$9,Attendance!$F$5:$F$304,"A")&gt;0,"A",IF(COUNTIFS(Attendance!$B$5:$B$304,$B42,Attendance!$A$5:$A$304,U$9,Attendance!$F$5:$F$304,"L")&gt;0,"L",""))))</f>
        <v/>
      </c>
      <c r="V42" s="62" t="str">
        <f aca="false">IF($B42="","",IF(COUNTIFS(Attendance!$B$5:$B$304,$B42,Attendance!$A$5:$A$304,V$9,Attendance!$F$5:$F$304,"P")&gt;0,"P",IF(COUNTIFS(Attendance!$B$5:$B$304,$B42,Attendance!$A$5:$A$304,V$9,Attendance!$F$5:$F$304,"A")&gt;0,"A",IF(COUNTIFS(Attendance!$B$5:$B$304,$B42,Attendance!$A$5:$A$304,V$9,Attendance!$F$5:$F$304,"L")&gt;0,"L",""))))</f>
        <v/>
      </c>
      <c r="W42" s="62" t="str">
        <f aca="false">IF($B42="","",IF(COUNTIFS(Attendance!$B$5:$B$304,$B42,Attendance!$A$5:$A$304,W$9,Attendance!$F$5:$F$304,"P")&gt;0,"P",IF(COUNTIFS(Attendance!$B$5:$B$304,$B42,Attendance!$A$5:$A$304,W$9,Attendance!$F$5:$F$304,"A")&gt;0,"A",IF(COUNTIFS(Attendance!$B$5:$B$304,$B42,Attendance!$A$5:$A$304,W$9,Attendance!$F$5:$F$304,"L")&gt;0,"L",""))))</f>
        <v/>
      </c>
      <c r="X42" s="62" t="str">
        <f aca="false">IF($B42="","",IF(COUNTIFS(Attendance!$B$5:$B$304,$B42,Attendance!$A$5:$A$304,X$9,Attendance!$F$5:$F$304,"P")&gt;0,"P",IF(COUNTIFS(Attendance!$B$5:$B$304,$B42,Attendance!$A$5:$A$304,X$9,Attendance!$F$5:$F$304,"A")&gt;0,"A",IF(COUNTIFS(Attendance!$B$5:$B$304,$B42,Attendance!$A$5:$A$304,X$9,Attendance!$F$5:$F$304,"L")&gt;0,"L",""))))</f>
        <v/>
      </c>
      <c r="Y42" s="59" t="str">
        <f aca="false">IF($B42="","",COUNTIFS(Attendance!$B$5:$B$304,$B42,Attendance!$F$5:$F$304,"P",Attendance!$A$5:$A$304,"&gt;="&amp;$AF$4,Attendance!$A$5:$A$304,"&lt;="&amp;$AF$5))</f>
        <v/>
      </c>
      <c r="Z42" s="59" t="str">
        <f aca="false">IF($B42="","",COUNTIFS(Attendance!$B$5:$B$304,$B42,Attendance!$F$5:$F$304,"A",Attendance!$A$5:$A$304,"&gt;="&amp;$AF$4,Attendance!$A$5:$A$304,"&lt;="&amp;$AF$5))</f>
        <v/>
      </c>
      <c r="AA42" s="59" t="str">
        <f aca="false">IF($B42="","",COUNTIFS(Attendance!$B$5:$B$304,$B42,Attendance!$F$5:$F$304,"L",Attendance!$A$5:$A$304,"&gt;="&amp;$AF$4,Attendance!$A$5:$A$304,"&lt;="&amp;$AF$5))</f>
        <v/>
      </c>
      <c r="AB42" s="59" t="str">
        <f aca="false">IF($B42="","",SUM(Y42:AA42))</f>
        <v/>
      </c>
      <c r="AC42" s="63" t="str">
        <f aca="false">IF($B42="","",IF(AB42=0,"-",(Y42+AA42)/AB42))</f>
        <v/>
      </c>
    </row>
    <row r="43" customFormat="false" ht="19.5" hidden="false" customHeight="true" outlineLevel="0" collapsed="false">
      <c r="A43" s="59" t="str">
        <f aca="false">IF($B43="","",34)</f>
        <v/>
      </c>
      <c r="B43" s="59" t="str">
        <f aca="false">IFERROR(INDEX(Students!$A$5:$A$304,MATCH($C$4&amp;"|"&amp;$C$5&amp;"|"&amp;34,Students!$O$5:$O$304,0)),"")</f>
        <v/>
      </c>
      <c r="C43" s="60" t="str">
        <f aca="false">IF($B43="","",INDEX(Students!$B$5:$B$304,MATCH($B43,Students!$A$5:$A$304,0)))</f>
        <v/>
      </c>
      <c r="D43" s="61"/>
      <c r="E43" s="62" t="str">
        <f aca="false">IF($B43="","",IF(COUNTIFS(Attendance!$B$5:$B$304,$B43,Attendance!$A$5:$A$304,E$9,Attendance!$F$5:$F$304,"P")&gt;0,"P",IF(COUNTIFS(Attendance!$B$5:$B$304,$B43,Attendance!$A$5:$A$304,E$9,Attendance!$F$5:$F$304,"A")&gt;0,"A",IF(COUNTIFS(Attendance!$B$5:$B$304,$B43,Attendance!$A$5:$A$304,E$9,Attendance!$F$5:$F$304,"L")&gt;0,"L",""))))</f>
        <v/>
      </c>
      <c r="F43" s="62" t="str">
        <f aca="false">IF($B43="","",IF(COUNTIFS(Attendance!$B$5:$B$304,$B43,Attendance!$A$5:$A$304,F$9,Attendance!$F$5:$F$304,"P")&gt;0,"P",IF(COUNTIFS(Attendance!$B$5:$B$304,$B43,Attendance!$A$5:$A$304,F$9,Attendance!$F$5:$F$304,"A")&gt;0,"A",IF(COUNTIFS(Attendance!$B$5:$B$304,$B43,Attendance!$A$5:$A$304,F$9,Attendance!$F$5:$F$304,"L")&gt;0,"L",""))))</f>
        <v/>
      </c>
      <c r="G43" s="62" t="str">
        <f aca="false">IF($B43="","",IF(COUNTIFS(Attendance!$B$5:$B$304,$B43,Attendance!$A$5:$A$304,G$9,Attendance!$F$5:$F$304,"P")&gt;0,"P",IF(COUNTIFS(Attendance!$B$5:$B$304,$B43,Attendance!$A$5:$A$304,G$9,Attendance!$F$5:$F$304,"A")&gt;0,"A",IF(COUNTIFS(Attendance!$B$5:$B$304,$B43,Attendance!$A$5:$A$304,G$9,Attendance!$F$5:$F$304,"L")&gt;0,"L",""))))</f>
        <v/>
      </c>
      <c r="H43" s="62" t="str">
        <f aca="false">IF($B43="","",IF(COUNTIFS(Attendance!$B$5:$B$304,$B43,Attendance!$A$5:$A$304,H$9,Attendance!$F$5:$F$304,"P")&gt;0,"P",IF(COUNTIFS(Attendance!$B$5:$B$304,$B43,Attendance!$A$5:$A$304,H$9,Attendance!$F$5:$F$304,"A")&gt;0,"A",IF(COUNTIFS(Attendance!$B$5:$B$304,$B43,Attendance!$A$5:$A$304,H$9,Attendance!$F$5:$F$304,"L")&gt;0,"L",""))))</f>
        <v/>
      </c>
      <c r="I43" s="62" t="str">
        <f aca="false">IF($B43="","",IF(COUNTIFS(Attendance!$B$5:$B$304,$B43,Attendance!$A$5:$A$304,I$9,Attendance!$F$5:$F$304,"P")&gt;0,"P",IF(COUNTIFS(Attendance!$B$5:$B$304,$B43,Attendance!$A$5:$A$304,I$9,Attendance!$F$5:$F$304,"A")&gt;0,"A",IF(COUNTIFS(Attendance!$B$5:$B$304,$B43,Attendance!$A$5:$A$304,I$9,Attendance!$F$5:$F$304,"L")&gt;0,"L",""))))</f>
        <v/>
      </c>
      <c r="J43" s="62" t="str">
        <f aca="false">IF($B43="","",IF(COUNTIFS(Attendance!$B$5:$B$304,$B43,Attendance!$A$5:$A$304,J$9,Attendance!$F$5:$F$304,"P")&gt;0,"P",IF(COUNTIFS(Attendance!$B$5:$B$304,$B43,Attendance!$A$5:$A$304,J$9,Attendance!$F$5:$F$304,"A")&gt;0,"A",IF(COUNTIFS(Attendance!$B$5:$B$304,$B43,Attendance!$A$5:$A$304,J$9,Attendance!$F$5:$F$304,"L")&gt;0,"L",""))))</f>
        <v/>
      </c>
      <c r="K43" s="62" t="str">
        <f aca="false">IF($B43="","",IF(COUNTIFS(Attendance!$B$5:$B$304,$B43,Attendance!$A$5:$A$304,K$9,Attendance!$F$5:$F$304,"P")&gt;0,"P",IF(COUNTIFS(Attendance!$B$5:$B$304,$B43,Attendance!$A$5:$A$304,K$9,Attendance!$F$5:$F$304,"A")&gt;0,"A",IF(COUNTIFS(Attendance!$B$5:$B$304,$B43,Attendance!$A$5:$A$304,K$9,Attendance!$F$5:$F$304,"L")&gt;0,"L",""))))</f>
        <v/>
      </c>
      <c r="L43" s="62" t="str">
        <f aca="false">IF($B43="","",IF(COUNTIFS(Attendance!$B$5:$B$304,$B43,Attendance!$A$5:$A$304,L$9,Attendance!$F$5:$F$304,"P")&gt;0,"P",IF(COUNTIFS(Attendance!$B$5:$B$304,$B43,Attendance!$A$5:$A$304,L$9,Attendance!$F$5:$F$304,"A")&gt;0,"A",IF(COUNTIFS(Attendance!$B$5:$B$304,$B43,Attendance!$A$5:$A$304,L$9,Attendance!$F$5:$F$304,"L")&gt;0,"L",""))))</f>
        <v/>
      </c>
      <c r="M43" s="62" t="str">
        <f aca="false">IF($B43="","",IF(COUNTIFS(Attendance!$B$5:$B$304,$B43,Attendance!$A$5:$A$304,M$9,Attendance!$F$5:$F$304,"P")&gt;0,"P",IF(COUNTIFS(Attendance!$B$5:$B$304,$B43,Attendance!$A$5:$A$304,M$9,Attendance!$F$5:$F$304,"A")&gt;0,"A",IF(COUNTIFS(Attendance!$B$5:$B$304,$B43,Attendance!$A$5:$A$304,M$9,Attendance!$F$5:$F$304,"L")&gt;0,"L",""))))</f>
        <v/>
      </c>
      <c r="N43" s="62" t="str">
        <f aca="false">IF($B43="","",IF(COUNTIFS(Attendance!$B$5:$B$304,$B43,Attendance!$A$5:$A$304,N$9,Attendance!$F$5:$F$304,"P")&gt;0,"P",IF(COUNTIFS(Attendance!$B$5:$B$304,$B43,Attendance!$A$5:$A$304,N$9,Attendance!$F$5:$F$304,"A")&gt;0,"A",IF(COUNTIFS(Attendance!$B$5:$B$304,$B43,Attendance!$A$5:$A$304,N$9,Attendance!$F$5:$F$304,"L")&gt;0,"L",""))))</f>
        <v/>
      </c>
      <c r="O43" s="62" t="str">
        <f aca="false">IF($B43="","",IF(COUNTIFS(Attendance!$B$5:$B$304,$B43,Attendance!$A$5:$A$304,O$9,Attendance!$F$5:$F$304,"P")&gt;0,"P",IF(COUNTIFS(Attendance!$B$5:$B$304,$B43,Attendance!$A$5:$A$304,O$9,Attendance!$F$5:$F$304,"A")&gt;0,"A",IF(COUNTIFS(Attendance!$B$5:$B$304,$B43,Attendance!$A$5:$A$304,O$9,Attendance!$F$5:$F$304,"L")&gt;0,"L",""))))</f>
        <v/>
      </c>
      <c r="P43" s="62" t="str">
        <f aca="false">IF($B43="","",IF(COUNTIFS(Attendance!$B$5:$B$304,$B43,Attendance!$A$5:$A$304,P$9,Attendance!$F$5:$F$304,"P")&gt;0,"P",IF(COUNTIFS(Attendance!$B$5:$B$304,$B43,Attendance!$A$5:$A$304,P$9,Attendance!$F$5:$F$304,"A")&gt;0,"A",IF(COUNTIFS(Attendance!$B$5:$B$304,$B43,Attendance!$A$5:$A$304,P$9,Attendance!$F$5:$F$304,"L")&gt;0,"L",""))))</f>
        <v/>
      </c>
      <c r="Q43" s="62" t="str">
        <f aca="false">IF($B43="","",IF(COUNTIFS(Attendance!$B$5:$B$304,$B43,Attendance!$A$5:$A$304,Q$9,Attendance!$F$5:$F$304,"P")&gt;0,"P",IF(COUNTIFS(Attendance!$B$5:$B$304,$B43,Attendance!$A$5:$A$304,Q$9,Attendance!$F$5:$F$304,"A")&gt;0,"A",IF(COUNTIFS(Attendance!$B$5:$B$304,$B43,Attendance!$A$5:$A$304,Q$9,Attendance!$F$5:$F$304,"L")&gt;0,"L",""))))</f>
        <v/>
      </c>
      <c r="R43" s="62" t="str">
        <f aca="false">IF($B43="","",IF(COUNTIFS(Attendance!$B$5:$B$304,$B43,Attendance!$A$5:$A$304,R$9,Attendance!$F$5:$F$304,"P")&gt;0,"P",IF(COUNTIFS(Attendance!$B$5:$B$304,$B43,Attendance!$A$5:$A$304,R$9,Attendance!$F$5:$F$304,"A")&gt;0,"A",IF(COUNTIFS(Attendance!$B$5:$B$304,$B43,Attendance!$A$5:$A$304,R$9,Attendance!$F$5:$F$304,"L")&gt;0,"L",""))))</f>
        <v/>
      </c>
      <c r="S43" s="62" t="str">
        <f aca="false">IF($B43="","",IF(COUNTIFS(Attendance!$B$5:$B$304,$B43,Attendance!$A$5:$A$304,S$9,Attendance!$F$5:$F$304,"P")&gt;0,"P",IF(COUNTIFS(Attendance!$B$5:$B$304,$B43,Attendance!$A$5:$A$304,S$9,Attendance!$F$5:$F$304,"A")&gt;0,"A",IF(COUNTIFS(Attendance!$B$5:$B$304,$B43,Attendance!$A$5:$A$304,S$9,Attendance!$F$5:$F$304,"L")&gt;0,"L",""))))</f>
        <v/>
      </c>
      <c r="T43" s="62" t="str">
        <f aca="false">IF($B43="","",IF(COUNTIFS(Attendance!$B$5:$B$304,$B43,Attendance!$A$5:$A$304,T$9,Attendance!$F$5:$F$304,"P")&gt;0,"P",IF(COUNTIFS(Attendance!$B$5:$B$304,$B43,Attendance!$A$5:$A$304,T$9,Attendance!$F$5:$F$304,"A")&gt;0,"A",IF(COUNTIFS(Attendance!$B$5:$B$304,$B43,Attendance!$A$5:$A$304,T$9,Attendance!$F$5:$F$304,"L")&gt;0,"L",""))))</f>
        <v/>
      </c>
      <c r="U43" s="62" t="str">
        <f aca="false">IF($B43="","",IF(COUNTIFS(Attendance!$B$5:$B$304,$B43,Attendance!$A$5:$A$304,U$9,Attendance!$F$5:$F$304,"P")&gt;0,"P",IF(COUNTIFS(Attendance!$B$5:$B$304,$B43,Attendance!$A$5:$A$304,U$9,Attendance!$F$5:$F$304,"A")&gt;0,"A",IF(COUNTIFS(Attendance!$B$5:$B$304,$B43,Attendance!$A$5:$A$304,U$9,Attendance!$F$5:$F$304,"L")&gt;0,"L",""))))</f>
        <v/>
      </c>
      <c r="V43" s="62" t="str">
        <f aca="false">IF($B43="","",IF(COUNTIFS(Attendance!$B$5:$B$304,$B43,Attendance!$A$5:$A$304,V$9,Attendance!$F$5:$F$304,"P")&gt;0,"P",IF(COUNTIFS(Attendance!$B$5:$B$304,$B43,Attendance!$A$5:$A$304,V$9,Attendance!$F$5:$F$304,"A")&gt;0,"A",IF(COUNTIFS(Attendance!$B$5:$B$304,$B43,Attendance!$A$5:$A$304,V$9,Attendance!$F$5:$F$304,"L")&gt;0,"L",""))))</f>
        <v/>
      </c>
      <c r="W43" s="62" t="str">
        <f aca="false">IF($B43="","",IF(COUNTIFS(Attendance!$B$5:$B$304,$B43,Attendance!$A$5:$A$304,W$9,Attendance!$F$5:$F$304,"P")&gt;0,"P",IF(COUNTIFS(Attendance!$B$5:$B$304,$B43,Attendance!$A$5:$A$304,W$9,Attendance!$F$5:$F$304,"A")&gt;0,"A",IF(COUNTIFS(Attendance!$B$5:$B$304,$B43,Attendance!$A$5:$A$304,W$9,Attendance!$F$5:$F$304,"L")&gt;0,"L",""))))</f>
        <v/>
      </c>
      <c r="X43" s="62" t="str">
        <f aca="false">IF($B43="","",IF(COUNTIFS(Attendance!$B$5:$B$304,$B43,Attendance!$A$5:$A$304,X$9,Attendance!$F$5:$F$304,"P")&gt;0,"P",IF(COUNTIFS(Attendance!$B$5:$B$304,$B43,Attendance!$A$5:$A$304,X$9,Attendance!$F$5:$F$304,"A")&gt;0,"A",IF(COUNTIFS(Attendance!$B$5:$B$304,$B43,Attendance!$A$5:$A$304,X$9,Attendance!$F$5:$F$304,"L")&gt;0,"L",""))))</f>
        <v/>
      </c>
      <c r="Y43" s="59" t="str">
        <f aca="false">IF($B43="","",COUNTIFS(Attendance!$B$5:$B$304,$B43,Attendance!$F$5:$F$304,"P",Attendance!$A$5:$A$304,"&gt;="&amp;$AF$4,Attendance!$A$5:$A$304,"&lt;="&amp;$AF$5))</f>
        <v/>
      </c>
      <c r="Z43" s="59" t="str">
        <f aca="false">IF($B43="","",COUNTIFS(Attendance!$B$5:$B$304,$B43,Attendance!$F$5:$F$304,"A",Attendance!$A$5:$A$304,"&gt;="&amp;$AF$4,Attendance!$A$5:$A$304,"&lt;="&amp;$AF$5))</f>
        <v/>
      </c>
      <c r="AA43" s="59" t="str">
        <f aca="false">IF($B43="","",COUNTIFS(Attendance!$B$5:$B$304,$B43,Attendance!$F$5:$F$304,"L",Attendance!$A$5:$A$304,"&gt;="&amp;$AF$4,Attendance!$A$5:$A$304,"&lt;="&amp;$AF$5))</f>
        <v/>
      </c>
      <c r="AB43" s="59" t="str">
        <f aca="false">IF($B43="","",SUM(Y43:AA43))</f>
        <v/>
      </c>
      <c r="AC43" s="63" t="str">
        <f aca="false">IF($B43="","",IF(AB43=0,"-",(Y43+AA43)/AB43))</f>
        <v/>
      </c>
    </row>
    <row r="44" customFormat="false" ht="19.5" hidden="false" customHeight="true" outlineLevel="0" collapsed="false">
      <c r="A44" s="59" t="str">
        <f aca="false">IF($B44="","",35)</f>
        <v/>
      </c>
      <c r="B44" s="59" t="str">
        <f aca="false">IFERROR(INDEX(Students!$A$5:$A$304,MATCH($C$4&amp;"|"&amp;$C$5&amp;"|"&amp;35,Students!$O$5:$O$304,0)),"")</f>
        <v/>
      </c>
      <c r="C44" s="60" t="str">
        <f aca="false">IF($B44="","",INDEX(Students!$B$5:$B$304,MATCH($B44,Students!$A$5:$A$304,0)))</f>
        <v/>
      </c>
      <c r="D44" s="61"/>
      <c r="E44" s="62" t="str">
        <f aca="false">IF($B44="","",IF(COUNTIFS(Attendance!$B$5:$B$304,$B44,Attendance!$A$5:$A$304,E$9,Attendance!$F$5:$F$304,"P")&gt;0,"P",IF(COUNTIFS(Attendance!$B$5:$B$304,$B44,Attendance!$A$5:$A$304,E$9,Attendance!$F$5:$F$304,"A")&gt;0,"A",IF(COUNTIFS(Attendance!$B$5:$B$304,$B44,Attendance!$A$5:$A$304,E$9,Attendance!$F$5:$F$304,"L")&gt;0,"L",""))))</f>
        <v/>
      </c>
      <c r="F44" s="62" t="str">
        <f aca="false">IF($B44="","",IF(COUNTIFS(Attendance!$B$5:$B$304,$B44,Attendance!$A$5:$A$304,F$9,Attendance!$F$5:$F$304,"P")&gt;0,"P",IF(COUNTIFS(Attendance!$B$5:$B$304,$B44,Attendance!$A$5:$A$304,F$9,Attendance!$F$5:$F$304,"A")&gt;0,"A",IF(COUNTIFS(Attendance!$B$5:$B$304,$B44,Attendance!$A$5:$A$304,F$9,Attendance!$F$5:$F$304,"L")&gt;0,"L",""))))</f>
        <v/>
      </c>
      <c r="G44" s="62" t="str">
        <f aca="false">IF($B44="","",IF(COUNTIFS(Attendance!$B$5:$B$304,$B44,Attendance!$A$5:$A$304,G$9,Attendance!$F$5:$F$304,"P")&gt;0,"P",IF(COUNTIFS(Attendance!$B$5:$B$304,$B44,Attendance!$A$5:$A$304,G$9,Attendance!$F$5:$F$304,"A")&gt;0,"A",IF(COUNTIFS(Attendance!$B$5:$B$304,$B44,Attendance!$A$5:$A$304,G$9,Attendance!$F$5:$F$304,"L")&gt;0,"L",""))))</f>
        <v/>
      </c>
      <c r="H44" s="62" t="str">
        <f aca="false">IF($B44="","",IF(COUNTIFS(Attendance!$B$5:$B$304,$B44,Attendance!$A$5:$A$304,H$9,Attendance!$F$5:$F$304,"P")&gt;0,"P",IF(COUNTIFS(Attendance!$B$5:$B$304,$B44,Attendance!$A$5:$A$304,H$9,Attendance!$F$5:$F$304,"A")&gt;0,"A",IF(COUNTIFS(Attendance!$B$5:$B$304,$B44,Attendance!$A$5:$A$304,H$9,Attendance!$F$5:$F$304,"L")&gt;0,"L",""))))</f>
        <v/>
      </c>
      <c r="I44" s="62" t="str">
        <f aca="false">IF($B44="","",IF(COUNTIFS(Attendance!$B$5:$B$304,$B44,Attendance!$A$5:$A$304,I$9,Attendance!$F$5:$F$304,"P")&gt;0,"P",IF(COUNTIFS(Attendance!$B$5:$B$304,$B44,Attendance!$A$5:$A$304,I$9,Attendance!$F$5:$F$304,"A")&gt;0,"A",IF(COUNTIFS(Attendance!$B$5:$B$304,$B44,Attendance!$A$5:$A$304,I$9,Attendance!$F$5:$F$304,"L")&gt;0,"L",""))))</f>
        <v/>
      </c>
      <c r="J44" s="62" t="str">
        <f aca="false">IF($B44="","",IF(COUNTIFS(Attendance!$B$5:$B$304,$B44,Attendance!$A$5:$A$304,J$9,Attendance!$F$5:$F$304,"P")&gt;0,"P",IF(COUNTIFS(Attendance!$B$5:$B$304,$B44,Attendance!$A$5:$A$304,J$9,Attendance!$F$5:$F$304,"A")&gt;0,"A",IF(COUNTIFS(Attendance!$B$5:$B$304,$B44,Attendance!$A$5:$A$304,J$9,Attendance!$F$5:$F$304,"L")&gt;0,"L",""))))</f>
        <v/>
      </c>
      <c r="K44" s="62" t="str">
        <f aca="false">IF($B44="","",IF(COUNTIFS(Attendance!$B$5:$B$304,$B44,Attendance!$A$5:$A$304,K$9,Attendance!$F$5:$F$304,"P")&gt;0,"P",IF(COUNTIFS(Attendance!$B$5:$B$304,$B44,Attendance!$A$5:$A$304,K$9,Attendance!$F$5:$F$304,"A")&gt;0,"A",IF(COUNTIFS(Attendance!$B$5:$B$304,$B44,Attendance!$A$5:$A$304,K$9,Attendance!$F$5:$F$304,"L")&gt;0,"L",""))))</f>
        <v/>
      </c>
      <c r="L44" s="62" t="str">
        <f aca="false">IF($B44="","",IF(COUNTIFS(Attendance!$B$5:$B$304,$B44,Attendance!$A$5:$A$304,L$9,Attendance!$F$5:$F$304,"P")&gt;0,"P",IF(COUNTIFS(Attendance!$B$5:$B$304,$B44,Attendance!$A$5:$A$304,L$9,Attendance!$F$5:$F$304,"A")&gt;0,"A",IF(COUNTIFS(Attendance!$B$5:$B$304,$B44,Attendance!$A$5:$A$304,L$9,Attendance!$F$5:$F$304,"L")&gt;0,"L",""))))</f>
        <v/>
      </c>
      <c r="M44" s="62" t="str">
        <f aca="false">IF($B44="","",IF(COUNTIFS(Attendance!$B$5:$B$304,$B44,Attendance!$A$5:$A$304,M$9,Attendance!$F$5:$F$304,"P")&gt;0,"P",IF(COUNTIFS(Attendance!$B$5:$B$304,$B44,Attendance!$A$5:$A$304,M$9,Attendance!$F$5:$F$304,"A")&gt;0,"A",IF(COUNTIFS(Attendance!$B$5:$B$304,$B44,Attendance!$A$5:$A$304,M$9,Attendance!$F$5:$F$304,"L")&gt;0,"L",""))))</f>
        <v/>
      </c>
      <c r="N44" s="62" t="str">
        <f aca="false">IF($B44="","",IF(COUNTIFS(Attendance!$B$5:$B$304,$B44,Attendance!$A$5:$A$304,N$9,Attendance!$F$5:$F$304,"P")&gt;0,"P",IF(COUNTIFS(Attendance!$B$5:$B$304,$B44,Attendance!$A$5:$A$304,N$9,Attendance!$F$5:$F$304,"A")&gt;0,"A",IF(COUNTIFS(Attendance!$B$5:$B$304,$B44,Attendance!$A$5:$A$304,N$9,Attendance!$F$5:$F$304,"L")&gt;0,"L",""))))</f>
        <v/>
      </c>
      <c r="O44" s="62" t="str">
        <f aca="false">IF($B44="","",IF(COUNTIFS(Attendance!$B$5:$B$304,$B44,Attendance!$A$5:$A$304,O$9,Attendance!$F$5:$F$304,"P")&gt;0,"P",IF(COUNTIFS(Attendance!$B$5:$B$304,$B44,Attendance!$A$5:$A$304,O$9,Attendance!$F$5:$F$304,"A")&gt;0,"A",IF(COUNTIFS(Attendance!$B$5:$B$304,$B44,Attendance!$A$5:$A$304,O$9,Attendance!$F$5:$F$304,"L")&gt;0,"L",""))))</f>
        <v/>
      </c>
      <c r="P44" s="62" t="str">
        <f aca="false">IF($B44="","",IF(COUNTIFS(Attendance!$B$5:$B$304,$B44,Attendance!$A$5:$A$304,P$9,Attendance!$F$5:$F$304,"P")&gt;0,"P",IF(COUNTIFS(Attendance!$B$5:$B$304,$B44,Attendance!$A$5:$A$304,P$9,Attendance!$F$5:$F$304,"A")&gt;0,"A",IF(COUNTIFS(Attendance!$B$5:$B$304,$B44,Attendance!$A$5:$A$304,P$9,Attendance!$F$5:$F$304,"L")&gt;0,"L",""))))</f>
        <v/>
      </c>
      <c r="Q44" s="62" t="str">
        <f aca="false">IF($B44="","",IF(COUNTIFS(Attendance!$B$5:$B$304,$B44,Attendance!$A$5:$A$304,Q$9,Attendance!$F$5:$F$304,"P")&gt;0,"P",IF(COUNTIFS(Attendance!$B$5:$B$304,$B44,Attendance!$A$5:$A$304,Q$9,Attendance!$F$5:$F$304,"A")&gt;0,"A",IF(COUNTIFS(Attendance!$B$5:$B$304,$B44,Attendance!$A$5:$A$304,Q$9,Attendance!$F$5:$F$304,"L")&gt;0,"L",""))))</f>
        <v/>
      </c>
      <c r="R44" s="62" t="str">
        <f aca="false">IF($B44="","",IF(COUNTIFS(Attendance!$B$5:$B$304,$B44,Attendance!$A$5:$A$304,R$9,Attendance!$F$5:$F$304,"P")&gt;0,"P",IF(COUNTIFS(Attendance!$B$5:$B$304,$B44,Attendance!$A$5:$A$304,R$9,Attendance!$F$5:$F$304,"A")&gt;0,"A",IF(COUNTIFS(Attendance!$B$5:$B$304,$B44,Attendance!$A$5:$A$304,R$9,Attendance!$F$5:$F$304,"L")&gt;0,"L",""))))</f>
        <v/>
      </c>
      <c r="S44" s="62" t="str">
        <f aca="false">IF($B44="","",IF(COUNTIFS(Attendance!$B$5:$B$304,$B44,Attendance!$A$5:$A$304,S$9,Attendance!$F$5:$F$304,"P")&gt;0,"P",IF(COUNTIFS(Attendance!$B$5:$B$304,$B44,Attendance!$A$5:$A$304,S$9,Attendance!$F$5:$F$304,"A")&gt;0,"A",IF(COUNTIFS(Attendance!$B$5:$B$304,$B44,Attendance!$A$5:$A$304,S$9,Attendance!$F$5:$F$304,"L")&gt;0,"L",""))))</f>
        <v/>
      </c>
      <c r="T44" s="62" t="str">
        <f aca="false">IF($B44="","",IF(COUNTIFS(Attendance!$B$5:$B$304,$B44,Attendance!$A$5:$A$304,T$9,Attendance!$F$5:$F$304,"P")&gt;0,"P",IF(COUNTIFS(Attendance!$B$5:$B$304,$B44,Attendance!$A$5:$A$304,T$9,Attendance!$F$5:$F$304,"A")&gt;0,"A",IF(COUNTIFS(Attendance!$B$5:$B$304,$B44,Attendance!$A$5:$A$304,T$9,Attendance!$F$5:$F$304,"L")&gt;0,"L",""))))</f>
        <v/>
      </c>
      <c r="U44" s="62" t="str">
        <f aca="false">IF($B44="","",IF(COUNTIFS(Attendance!$B$5:$B$304,$B44,Attendance!$A$5:$A$304,U$9,Attendance!$F$5:$F$304,"P")&gt;0,"P",IF(COUNTIFS(Attendance!$B$5:$B$304,$B44,Attendance!$A$5:$A$304,U$9,Attendance!$F$5:$F$304,"A")&gt;0,"A",IF(COUNTIFS(Attendance!$B$5:$B$304,$B44,Attendance!$A$5:$A$304,U$9,Attendance!$F$5:$F$304,"L")&gt;0,"L",""))))</f>
        <v/>
      </c>
      <c r="V44" s="62" t="str">
        <f aca="false">IF($B44="","",IF(COUNTIFS(Attendance!$B$5:$B$304,$B44,Attendance!$A$5:$A$304,V$9,Attendance!$F$5:$F$304,"P")&gt;0,"P",IF(COUNTIFS(Attendance!$B$5:$B$304,$B44,Attendance!$A$5:$A$304,V$9,Attendance!$F$5:$F$304,"A")&gt;0,"A",IF(COUNTIFS(Attendance!$B$5:$B$304,$B44,Attendance!$A$5:$A$304,V$9,Attendance!$F$5:$F$304,"L")&gt;0,"L",""))))</f>
        <v/>
      </c>
      <c r="W44" s="62" t="str">
        <f aca="false">IF($B44="","",IF(COUNTIFS(Attendance!$B$5:$B$304,$B44,Attendance!$A$5:$A$304,W$9,Attendance!$F$5:$F$304,"P")&gt;0,"P",IF(COUNTIFS(Attendance!$B$5:$B$304,$B44,Attendance!$A$5:$A$304,W$9,Attendance!$F$5:$F$304,"A")&gt;0,"A",IF(COUNTIFS(Attendance!$B$5:$B$304,$B44,Attendance!$A$5:$A$304,W$9,Attendance!$F$5:$F$304,"L")&gt;0,"L",""))))</f>
        <v/>
      </c>
      <c r="X44" s="62" t="str">
        <f aca="false">IF($B44="","",IF(COUNTIFS(Attendance!$B$5:$B$304,$B44,Attendance!$A$5:$A$304,X$9,Attendance!$F$5:$F$304,"P")&gt;0,"P",IF(COUNTIFS(Attendance!$B$5:$B$304,$B44,Attendance!$A$5:$A$304,X$9,Attendance!$F$5:$F$304,"A")&gt;0,"A",IF(COUNTIFS(Attendance!$B$5:$B$304,$B44,Attendance!$A$5:$A$304,X$9,Attendance!$F$5:$F$304,"L")&gt;0,"L",""))))</f>
        <v/>
      </c>
      <c r="Y44" s="59" t="str">
        <f aca="false">IF($B44="","",COUNTIFS(Attendance!$B$5:$B$304,$B44,Attendance!$F$5:$F$304,"P",Attendance!$A$5:$A$304,"&gt;="&amp;$AF$4,Attendance!$A$5:$A$304,"&lt;="&amp;$AF$5))</f>
        <v/>
      </c>
      <c r="Z44" s="59" t="str">
        <f aca="false">IF($B44="","",COUNTIFS(Attendance!$B$5:$B$304,$B44,Attendance!$F$5:$F$304,"A",Attendance!$A$5:$A$304,"&gt;="&amp;$AF$4,Attendance!$A$5:$A$304,"&lt;="&amp;$AF$5))</f>
        <v/>
      </c>
      <c r="AA44" s="59" t="str">
        <f aca="false">IF($B44="","",COUNTIFS(Attendance!$B$5:$B$304,$B44,Attendance!$F$5:$F$304,"L",Attendance!$A$5:$A$304,"&gt;="&amp;$AF$4,Attendance!$A$5:$A$304,"&lt;="&amp;$AF$5))</f>
        <v/>
      </c>
      <c r="AB44" s="59" t="str">
        <f aca="false">IF($B44="","",SUM(Y44:AA44))</f>
        <v/>
      </c>
      <c r="AC44" s="63" t="str">
        <f aca="false">IF($B44="","",IF(AB44=0,"-",(Y44+AA44)/AB44))</f>
        <v/>
      </c>
    </row>
    <row r="45" customFormat="false" ht="19.5" hidden="false" customHeight="true" outlineLevel="0" collapsed="false">
      <c r="A45" s="59" t="str">
        <f aca="false">IF($B45="","",36)</f>
        <v/>
      </c>
      <c r="B45" s="59" t="str">
        <f aca="false">IFERROR(INDEX(Students!$A$5:$A$304,MATCH($C$4&amp;"|"&amp;$C$5&amp;"|"&amp;36,Students!$O$5:$O$304,0)),"")</f>
        <v/>
      </c>
      <c r="C45" s="60" t="str">
        <f aca="false">IF($B45="","",INDEX(Students!$B$5:$B$304,MATCH($B45,Students!$A$5:$A$304,0)))</f>
        <v/>
      </c>
      <c r="D45" s="61"/>
      <c r="E45" s="62" t="str">
        <f aca="false">IF($B45="","",IF(COUNTIFS(Attendance!$B$5:$B$304,$B45,Attendance!$A$5:$A$304,E$9,Attendance!$F$5:$F$304,"P")&gt;0,"P",IF(COUNTIFS(Attendance!$B$5:$B$304,$B45,Attendance!$A$5:$A$304,E$9,Attendance!$F$5:$F$304,"A")&gt;0,"A",IF(COUNTIFS(Attendance!$B$5:$B$304,$B45,Attendance!$A$5:$A$304,E$9,Attendance!$F$5:$F$304,"L")&gt;0,"L",""))))</f>
        <v/>
      </c>
      <c r="F45" s="62" t="str">
        <f aca="false">IF($B45="","",IF(COUNTIFS(Attendance!$B$5:$B$304,$B45,Attendance!$A$5:$A$304,F$9,Attendance!$F$5:$F$304,"P")&gt;0,"P",IF(COUNTIFS(Attendance!$B$5:$B$304,$B45,Attendance!$A$5:$A$304,F$9,Attendance!$F$5:$F$304,"A")&gt;0,"A",IF(COUNTIFS(Attendance!$B$5:$B$304,$B45,Attendance!$A$5:$A$304,F$9,Attendance!$F$5:$F$304,"L")&gt;0,"L",""))))</f>
        <v/>
      </c>
      <c r="G45" s="62" t="str">
        <f aca="false">IF($B45="","",IF(COUNTIFS(Attendance!$B$5:$B$304,$B45,Attendance!$A$5:$A$304,G$9,Attendance!$F$5:$F$304,"P")&gt;0,"P",IF(COUNTIFS(Attendance!$B$5:$B$304,$B45,Attendance!$A$5:$A$304,G$9,Attendance!$F$5:$F$304,"A")&gt;0,"A",IF(COUNTIFS(Attendance!$B$5:$B$304,$B45,Attendance!$A$5:$A$304,G$9,Attendance!$F$5:$F$304,"L")&gt;0,"L",""))))</f>
        <v/>
      </c>
      <c r="H45" s="62" t="str">
        <f aca="false">IF($B45="","",IF(COUNTIFS(Attendance!$B$5:$B$304,$B45,Attendance!$A$5:$A$304,H$9,Attendance!$F$5:$F$304,"P")&gt;0,"P",IF(COUNTIFS(Attendance!$B$5:$B$304,$B45,Attendance!$A$5:$A$304,H$9,Attendance!$F$5:$F$304,"A")&gt;0,"A",IF(COUNTIFS(Attendance!$B$5:$B$304,$B45,Attendance!$A$5:$A$304,H$9,Attendance!$F$5:$F$304,"L")&gt;0,"L",""))))</f>
        <v/>
      </c>
      <c r="I45" s="62" t="str">
        <f aca="false">IF($B45="","",IF(COUNTIFS(Attendance!$B$5:$B$304,$B45,Attendance!$A$5:$A$304,I$9,Attendance!$F$5:$F$304,"P")&gt;0,"P",IF(COUNTIFS(Attendance!$B$5:$B$304,$B45,Attendance!$A$5:$A$304,I$9,Attendance!$F$5:$F$304,"A")&gt;0,"A",IF(COUNTIFS(Attendance!$B$5:$B$304,$B45,Attendance!$A$5:$A$304,I$9,Attendance!$F$5:$F$304,"L")&gt;0,"L",""))))</f>
        <v/>
      </c>
      <c r="J45" s="62" t="str">
        <f aca="false">IF($B45="","",IF(COUNTIFS(Attendance!$B$5:$B$304,$B45,Attendance!$A$5:$A$304,J$9,Attendance!$F$5:$F$304,"P")&gt;0,"P",IF(COUNTIFS(Attendance!$B$5:$B$304,$B45,Attendance!$A$5:$A$304,J$9,Attendance!$F$5:$F$304,"A")&gt;0,"A",IF(COUNTIFS(Attendance!$B$5:$B$304,$B45,Attendance!$A$5:$A$304,J$9,Attendance!$F$5:$F$304,"L")&gt;0,"L",""))))</f>
        <v/>
      </c>
      <c r="K45" s="62" t="str">
        <f aca="false">IF($B45="","",IF(COUNTIFS(Attendance!$B$5:$B$304,$B45,Attendance!$A$5:$A$304,K$9,Attendance!$F$5:$F$304,"P")&gt;0,"P",IF(COUNTIFS(Attendance!$B$5:$B$304,$B45,Attendance!$A$5:$A$304,K$9,Attendance!$F$5:$F$304,"A")&gt;0,"A",IF(COUNTIFS(Attendance!$B$5:$B$304,$B45,Attendance!$A$5:$A$304,K$9,Attendance!$F$5:$F$304,"L")&gt;0,"L",""))))</f>
        <v/>
      </c>
      <c r="L45" s="62" t="str">
        <f aca="false">IF($B45="","",IF(COUNTIFS(Attendance!$B$5:$B$304,$B45,Attendance!$A$5:$A$304,L$9,Attendance!$F$5:$F$304,"P")&gt;0,"P",IF(COUNTIFS(Attendance!$B$5:$B$304,$B45,Attendance!$A$5:$A$304,L$9,Attendance!$F$5:$F$304,"A")&gt;0,"A",IF(COUNTIFS(Attendance!$B$5:$B$304,$B45,Attendance!$A$5:$A$304,L$9,Attendance!$F$5:$F$304,"L")&gt;0,"L",""))))</f>
        <v/>
      </c>
      <c r="M45" s="62" t="str">
        <f aca="false">IF($B45="","",IF(COUNTIFS(Attendance!$B$5:$B$304,$B45,Attendance!$A$5:$A$304,M$9,Attendance!$F$5:$F$304,"P")&gt;0,"P",IF(COUNTIFS(Attendance!$B$5:$B$304,$B45,Attendance!$A$5:$A$304,M$9,Attendance!$F$5:$F$304,"A")&gt;0,"A",IF(COUNTIFS(Attendance!$B$5:$B$304,$B45,Attendance!$A$5:$A$304,M$9,Attendance!$F$5:$F$304,"L")&gt;0,"L",""))))</f>
        <v/>
      </c>
      <c r="N45" s="62" t="str">
        <f aca="false">IF($B45="","",IF(COUNTIFS(Attendance!$B$5:$B$304,$B45,Attendance!$A$5:$A$304,N$9,Attendance!$F$5:$F$304,"P")&gt;0,"P",IF(COUNTIFS(Attendance!$B$5:$B$304,$B45,Attendance!$A$5:$A$304,N$9,Attendance!$F$5:$F$304,"A")&gt;0,"A",IF(COUNTIFS(Attendance!$B$5:$B$304,$B45,Attendance!$A$5:$A$304,N$9,Attendance!$F$5:$F$304,"L")&gt;0,"L",""))))</f>
        <v/>
      </c>
      <c r="O45" s="62" t="str">
        <f aca="false">IF($B45="","",IF(COUNTIFS(Attendance!$B$5:$B$304,$B45,Attendance!$A$5:$A$304,O$9,Attendance!$F$5:$F$304,"P")&gt;0,"P",IF(COUNTIFS(Attendance!$B$5:$B$304,$B45,Attendance!$A$5:$A$304,O$9,Attendance!$F$5:$F$304,"A")&gt;0,"A",IF(COUNTIFS(Attendance!$B$5:$B$304,$B45,Attendance!$A$5:$A$304,O$9,Attendance!$F$5:$F$304,"L")&gt;0,"L",""))))</f>
        <v/>
      </c>
      <c r="P45" s="62" t="str">
        <f aca="false">IF($B45="","",IF(COUNTIFS(Attendance!$B$5:$B$304,$B45,Attendance!$A$5:$A$304,P$9,Attendance!$F$5:$F$304,"P")&gt;0,"P",IF(COUNTIFS(Attendance!$B$5:$B$304,$B45,Attendance!$A$5:$A$304,P$9,Attendance!$F$5:$F$304,"A")&gt;0,"A",IF(COUNTIFS(Attendance!$B$5:$B$304,$B45,Attendance!$A$5:$A$304,P$9,Attendance!$F$5:$F$304,"L")&gt;0,"L",""))))</f>
        <v/>
      </c>
      <c r="Q45" s="62" t="str">
        <f aca="false">IF($B45="","",IF(COUNTIFS(Attendance!$B$5:$B$304,$B45,Attendance!$A$5:$A$304,Q$9,Attendance!$F$5:$F$304,"P")&gt;0,"P",IF(COUNTIFS(Attendance!$B$5:$B$304,$B45,Attendance!$A$5:$A$304,Q$9,Attendance!$F$5:$F$304,"A")&gt;0,"A",IF(COUNTIFS(Attendance!$B$5:$B$304,$B45,Attendance!$A$5:$A$304,Q$9,Attendance!$F$5:$F$304,"L")&gt;0,"L",""))))</f>
        <v/>
      </c>
      <c r="R45" s="62" t="str">
        <f aca="false">IF($B45="","",IF(COUNTIFS(Attendance!$B$5:$B$304,$B45,Attendance!$A$5:$A$304,R$9,Attendance!$F$5:$F$304,"P")&gt;0,"P",IF(COUNTIFS(Attendance!$B$5:$B$304,$B45,Attendance!$A$5:$A$304,R$9,Attendance!$F$5:$F$304,"A")&gt;0,"A",IF(COUNTIFS(Attendance!$B$5:$B$304,$B45,Attendance!$A$5:$A$304,R$9,Attendance!$F$5:$F$304,"L")&gt;0,"L",""))))</f>
        <v/>
      </c>
      <c r="S45" s="62" t="str">
        <f aca="false">IF($B45="","",IF(COUNTIFS(Attendance!$B$5:$B$304,$B45,Attendance!$A$5:$A$304,S$9,Attendance!$F$5:$F$304,"P")&gt;0,"P",IF(COUNTIFS(Attendance!$B$5:$B$304,$B45,Attendance!$A$5:$A$304,S$9,Attendance!$F$5:$F$304,"A")&gt;0,"A",IF(COUNTIFS(Attendance!$B$5:$B$304,$B45,Attendance!$A$5:$A$304,S$9,Attendance!$F$5:$F$304,"L")&gt;0,"L",""))))</f>
        <v/>
      </c>
      <c r="T45" s="62" t="str">
        <f aca="false">IF($B45="","",IF(COUNTIFS(Attendance!$B$5:$B$304,$B45,Attendance!$A$5:$A$304,T$9,Attendance!$F$5:$F$304,"P")&gt;0,"P",IF(COUNTIFS(Attendance!$B$5:$B$304,$B45,Attendance!$A$5:$A$304,T$9,Attendance!$F$5:$F$304,"A")&gt;0,"A",IF(COUNTIFS(Attendance!$B$5:$B$304,$B45,Attendance!$A$5:$A$304,T$9,Attendance!$F$5:$F$304,"L")&gt;0,"L",""))))</f>
        <v/>
      </c>
      <c r="U45" s="62" t="str">
        <f aca="false">IF($B45="","",IF(COUNTIFS(Attendance!$B$5:$B$304,$B45,Attendance!$A$5:$A$304,U$9,Attendance!$F$5:$F$304,"P")&gt;0,"P",IF(COUNTIFS(Attendance!$B$5:$B$304,$B45,Attendance!$A$5:$A$304,U$9,Attendance!$F$5:$F$304,"A")&gt;0,"A",IF(COUNTIFS(Attendance!$B$5:$B$304,$B45,Attendance!$A$5:$A$304,U$9,Attendance!$F$5:$F$304,"L")&gt;0,"L",""))))</f>
        <v/>
      </c>
      <c r="V45" s="62" t="str">
        <f aca="false">IF($B45="","",IF(COUNTIFS(Attendance!$B$5:$B$304,$B45,Attendance!$A$5:$A$304,V$9,Attendance!$F$5:$F$304,"P")&gt;0,"P",IF(COUNTIFS(Attendance!$B$5:$B$304,$B45,Attendance!$A$5:$A$304,V$9,Attendance!$F$5:$F$304,"A")&gt;0,"A",IF(COUNTIFS(Attendance!$B$5:$B$304,$B45,Attendance!$A$5:$A$304,V$9,Attendance!$F$5:$F$304,"L")&gt;0,"L",""))))</f>
        <v/>
      </c>
      <c r="W45" s="62" t="str">
        <f aca="false">IF($B45="","",IF(COUNTIFS(Attendance!$B$5:$B$304,$B45,Attendance!$A$5:$A$304,W$9,Attendance!$F$5:$F$304,"P")&gt;0,"P",IF(COUNTIFS(Attendance!$B$5:$B$304,$B45,Attendance!$A$5:$A$304,W$9,Attendance!$F$5:$F$304,"A")&gt;0,"A",IF(COUNTIFS(Attendance!$B$5:$B$304,$B45,Attendance!$A$5:$A$304,W$9,Attendance!$F$5:$F$304,"L")&gt;0,"L",""))))</f>
        <v/>
      </c>
      <c r="X45" s="62" t="str">
        <f aca="false">IF($B45="","",IF(COUNTIFS(Attendance!$B$5:$B$304,$B45,Attendance!$A$5:$A$304,X$9,Attendance!$F$5:$F$304,"P")&gt;0,"P",IF(COUNTIFS(Attendance!$B$5:$B$304,$B45,Attendance!$A$5:$A$304,X$9,Attendance!$F$5:$F$304,"A")&gt;0,"A",IF(COUNTIFS(Attendance!$B$5:$B$304,$B45,Attendance!$A$5:$A$304,X$9,Attendance!$F$5:$F$304,"L")&gt;0,"L",""))))</f>
        <v/>
      </c>
      <c r="Y45" s="59" t="str">
        <f aca="false">IF($B45="","",COUNTIFS(Attendance!$B$5:$B$304,$B45,Attendance!$F$5:$F$304,"P",Attendance!$A$5:$A$304,"&gt;="&amp;$AF$4,Attendance!$A$5:$A$304,"&lt;="&amp;$AF$5))</f>
        <v/>
      </c>
      <c r="Z45" s="59" t="str">
        <f aca="false">IF($B45="","",COUNTIFS(Attendance!$B$5:$B$304,$B45,Attendance!$F$5:$F$304,"A",Attendance!$A$5:$A$304,"&gt;="&amp;$AF$4,Attendance!$A$5:$A$304,"&lt;="&amp;$AF$5))</f>
        <v/>
      </c>
      <c r="AA45" s="59" t="str">
        <f aca="false">IF($B45="","",COUNTIFS(Attendance!$B$5:$B$304,$B45,Attendance!$F$5:$F$304,"L",Attendance!$A$5:$A$304,"&gt;="&amp;$AF$4,Attendance!$A$5:$A$304,"&lt;="&amp;$AF$5))</f>
        <v/>
      </c>
      <c r="AB45" s="59" t="str">
        <f aca="false">IF($B45="","",SUM(Y45:AA45))</f>
        <v/>
      </c>
      <c r="AC45" s="63" t="str">
        <f aca="false">IF($B45="","",IF(AB45=0,"-",(Y45+AA45)/AB45))</f>
        <v/>
      </c>
    </row>
    <row r="46" customFormat="false" ht="19.5" hidden="false" customHeight="true" outlineLevel="0" collapsed="false">
      <c r="A46" s="59" t="str">
        <f aca="false">IF($B46="","",37)</f>
        <v/>
      </c>
      <c r="B46" s="59" t="str">
        <f aca="false">IFERROR(INDEX(Students!$A$5:$A$304,MATCH($C$4&amp;"|"&amp;$C$5&amp;"|"&amp;37,Students!$O$5:$O$304,0)),"")</f>
        <v/>
      </c>
      <c r="C46" s="60" t="str">
        <f aca="false">IF($B46="","",INDEX(Students!$B$5:$B$304,MATCH($B46,Students!$A$5:$A$304,0)))</f>
        <v/>
      </c>
      <c r="D46" s="61"/>
      <c r="E46" s="62" t="str">
        <f aca="false">IF($B46="","",IF(COUNTIFS(Attendance!$B$5:$B$304,$B46,Attendance!$A$5:$A$304,E$9,Attendance!$F$5:$F$304,"P")&gt;0,"P",IF(COUNTIFS(Attendance!$B$5:$B$304,$B46,Attendance!$A$5:$A$304,E$9,Attendance!$F$5:$F$304,"A")&gt;0,"A",IF(COUNTIFS(Attendance!$B$5:$B$304,$B46,Attendance!$A$5:$A$304,E$9,Attendance!$F$5:$F$304,"L")&gt;0,"L",""))))</f>
        <v/>
      </c>
      <c r="F46" s="62" t="str">
        <f aca="false">IF($B46="","",IF(COUNTIFS(Attendance!$B$5:$B$304,$B46,Attendance!$A$5:$A$304,F$9,Attendance!$F$5:$F$304,"P")&gt;0,"P",IF(COUNTIFS(Attendance!$B$5:$B$304,$B46,Attendance!$A$5:$A$304,F$9,Attendance!$F$5:$F$304,"A")&gt;0,"A",IF(COUNTIFS(Attendance!$B$5:$B$304,$B46,Attendance!$A$5:$A$304,F$9,Attendance!$F$5:$F$304,"L")&gt;0,"L",""))))</f>
        <v/>
      </c>
      <c r="G46" s="62" t="str">
        <f aca="false">IF($B46="","",IF(COUNTIFS(Attendance!$B$5:$B$304,$B46,Attendance!$A$5:$A$304,G$9,Attendance!$F$5:$F$304,"P")&gt;0,"P",IF(COUNTIFS(Attendance!$B$5:$B$304,$B46,Attendance!$A$5:$A$304,G$9,Attendance!$F$5:$F$304,"A")&gt;0,"A",IF(COUNTIFS(Attendance!$B$5:$B$304,$B46,Attendance!$A$5:$A$304,G$9,Attendance!$F$5:$F$304,"L")&gt;0,"L",""))))</f>
        <v/>
      </c>
      <c r="H46" s="62" t="str">
        <f aca="false">IF($B46="","",IF(COUNTIFS(Attendance!$B$5:$B$304,$B46,Attendance!$A$5:$A$304,H$9,Attendance!$F$5:$F$304,"P")&gt;0,"P",IF(COUNTIFS(Attendance!$B$5:$B$304,$B46,Attendance!$A$5:$A$304,H$9,Attendance!$F$5:$F$304,"A")&gt;0,"A",IF(COUNTIFS(Attendance!$B$5:$B$304,$B46,Attendance!$A$5:$A$304,H$9,Attendance!$F$5:$F$304,"L")&gt;0,"L",""))))</f>
        <v/>
      </c>
      <c r="I46" s="62" t="str">
        <f aca="false">IF($B46="","",IF(COUNTIFS(Attendance!$B$5:$B$304,$B46,Attendance!$A$5:$A$304,I$9,Attendance!$F$5:$F$304,"P")&gt;0,"P",IF(COUNTIFS(Attendance!$B$5:$B$304,$B46,Attendance!$A$5:$A$304,I$9,Attendance!$F$5:$F$304,"A")&gt;0,"A",IF(COUNTIFS(Attendance!$B$5:$B$304,$B46,Attendance!$A$5:$A$304,I$9,Attendance!$F$5:$F$304,"L")&gt;0,"L",""))))</f>
        <v/>
      </c>
      <c r="J46" s="62" t="str">
        <f aca="false">IF($B46="","",IF(COUNTIFS(Attendance!$B$5:$B$304,$B46,Attendance!$A$5:$A$304,J$9,Attendance!$F$5:$F$304,"P")&gt;0,"P",IF(COUNTIFS(Attendance!$B$5:$B$304,$B46,Attendance!$A$5:$A$304,J$9,Attendance!$F$5:$F$304,"A")&gt;0,"A",IF(COUNTIFS(Attendance!$B$5:$B$304,$B46,Attendance!$A$5:$A$304,J$9,Attendance!$F$5:$F$304,"L")&gt;0,"L",""))))</f>
        <v/>
      </c>
      <c r="K46" s="62" t="str">
        <f aca="false">IF($B46="","",IF(COUNTIFS(Attendance!$B$5:$B$304,$B46,Attendance!$A$5:$A$304,K$9,Attendance!$F$5:$F$304,"P")&gt;0,"P",IF(COUNTIFS(Attendance!$B$5:$B$304,$B46,Attendance!$A$5:$A$304,K$9,Attendance!$F$5:$F$304,"A")&gt;0,"A",IF(COUNTIFS(Attendance!$B$5:$B$304,$B46,Attendance!$A$5:$A$304,K$9,Attendance!$F$5:$F$304,"L")&gt;0,"L",""))))</f>
        <v/>
      </c>
      <c r="L46" s="62" t="str">
        <f aca="false">IF($B46="","",IF(COUNTIFS(Attendance!$B$5:$B$304,$B46,Attendance!$A$5:$A$304,L$9,Attendance!$F$5:$F$304,"P")&gt;0,"P",IF(COUNTIFS(Attendance!$B$5:$B$304,$B46,Attendance!$A$5:$A$304,L$9,Attendance!$F$5:$F$304,"A")&gt;0,"A",IF(COUNTIFS(Attendance!$B$5:$B$304,$B46,Attendance!$A$5:$A$304,L$9,Attendance!$F$5:$F$304,"L")&gt;0,"L",""))))</f>
        <v/>
      </c>
      <c r="M46" s="62" t="str">
        <f aca="false">IF($B46="","",IF(COUNTIFS(Attendance!$B$5:$B$304,$B46,Attendance!$A$5:$A$304,M$9,Attendance!$F$5:$F$304,"P")&gt;0,"P",IF(COUNTIFS(Attendance!$B$5:$B$304,$B46,Attendance!$A$5:$A$304,M$9,Attendance!$F$5:$F$304,"A")&gt;0,"A",IF(COUNTIFS(Attendance!$B$5:$B$304,$B46,Attendance!$A$5:$A$304,M$9,Attendance!$F$5:$F$304,"L")&gt;0,"L",""))))</f>
        <v/>
      </c>
      <c r="N46" s="62" t="str">
        <f aca="false">IF($B46="","",IF(COUNTIFS(Attendance!$B$5:$B$304,$B46,Attendance!$A$5:$A$304,N$9,Attendance!$F$5:$F$304,"P")&gt;0,"P",IF(COUNTIFS(Attendance!$B$5:$B$304,$B46,Attendance!$A$5:$A$304,N$9,Attendance!$F$5:$F$304,"A")&gt;0,"A",IF(COUNTIFS(Attendance!$B$5:$B$304,$B46,Attendance!$A$5:$A$304,N$9,Attendance!$F$5:$F$304,"L")&gt;0,"L",""))))</f>
        <v/>
      </c>
      <c r="O46" s="62" t="str">
        <f aca="false">IF($B46="","",IF(COUNTIFS(Attendance!$B$5:$B$304,$B46,Attendance!$A$5:$A$304,O$9,Attendance!$F$5:$F$304,"P")&gt;0,"P",IF(COUNTIFS(Attendance!$B$5:$B$304,$B46,Attendance!$A$5:$A$304,O$9,Attendance!$F$5:$F$304,"A")&gt;0,"A",IF(COUNTIFS(Attendance!$B$5:$B$304,$B46,Attendance!$A$5:$A$304,O$9,Attendance!$F$5:$F$304,"L")&gt;0,"L",""))))</f>
        <v/>
      </c>
      <c r="P46" s="62" t="str">
        <f aca="false">IF($B46="","",IF(COUNTIFS(Attendance!$B$5:$B$304,$B46,Attendance!$A$5:$A$304,P$9,Attendance!$F$5:$F$304,"P")&gt;0,"P",IF(COUNTIFS(Attendance!$B$5:$B$304,$B46,Attendance!$A$5:$A$304,P$9,Attendance!$F$5:$F$304,"A")&gt;0,"A",IF(COUNTIFS(Attendance!$B$5:$B$304,$B46,Attendance!$A$5:$A$304,P$9,Attendance!$F$5:$F$304,"L")&gt;0,"L",""))))</f>
        <v/>
      </c>
      <c r="Q46" s="62" t="str">
        <f aca="false">IF($B46="","",IF(COUNTIFS(Attendance!$B$5:$B$304,$B46,Attendance!$A$5:$A$304,Q$9,Attendance!$F$5:$F$304,"P")&gt;0,"P",IF(COUNTIFS(Attendance!$B$5:$B$304,$B46,Attendance!$A$5:$A$304,Q$9,Attendance!$F$5:$F$304,"A")&gt;0,"A",IF(COUNTIFS(Attendance!$B$5:$B$304,$B46,Attendance!$A$5:$A$304,Q$9,Attendance!$F$5:$F$304,"L")&gt;0,"L",""))))</f>
        <v/>
      </c>
      <c r="R46" s="62" t="str">
        <f aca="false">IF($B46="","",IF(COUNTIFS(Attendance!$B$5:$B$304,$B46,Attendance!$A$5:$A$304,R$9,Attendance!$F$5:$F$304,"P")&gt;0,"P",IF(COUNTIFS(Attendance!$B$5:$B$304,$B46,Attendance!$A$5:$A$304,R$9,Attendance!$F$5:$F$304,"A")&gt;0,"A",IF(COUNTIFS(Attendance!$B$5:$B$304,$B46,Attendance!$A$5:$A$304,R$9,Attendance!$F$5:$F$304,"L")&gt;0,"L",""))))</f>
        <v/>
      </c>
      <c r="S46" s="62" t="str">
        <f aca="false">IF($B46="","",IF(COUNTIFS(Attendance!$B$5:$B$304,$B46,Attendance!$A$5:$A$304,S$9,Attendance!$F$5:$F$304,"P")&gt;0,"P",IF(COUNTIFS(Attendance!$B$5:$B$304,$B46,Attendance!$A$5:$A$304,S$9,Attendance!$F$5:$F$304,"A")&gt;0,"A",IF(COUNTIFS(Attendance!$B$5:$B$304,$B46,Attendance!$A$5:$A$304,S$9,Attendance!$F$5:$F$304,"L")&gt;0,"L",""))))</f>
        <v/>
      </c>
      <c r="T46" s="62" t="str">
        <f aca="false">IF($B46="","",IF(COUNTIFS(Attendance!$B$5:$B$304,$B46,Attendance!$A$5:$A$304,T$9,Attendance!$F$5:$F$304,"P")&gt;0,"P",IF(COUNTIFS(Attendance!$B$5:$B$304,$B46,Attendance!$A$5:$A$304,T$9,Attendance!$F$5:$F$304,"A")&gt;0,"A",IF(COUNTIFS(Attendance!$B$5:$B$304,$B46,Attendance!$A$5:$A$304,T$9,Attendance!$F$5:$F$304,"L")&gt;0,"L",""))))</f>
        <v/>
      </c>
      <c r="U46" s="62" t="str">
        <f aca="false">IF($B46="","",IF(COUNTIFS(Attendance!$B$5:$B$304,$B46,Attendance!$A$5:$A$304,U$9,Attendance!$F$5:$F$304,"P")&gt;0,"P",IF(COUNTIFS(Attendance!$B$5:$B$304,$B46,Attendance!$A$5:$A$304,U$9,Attendance!$F$5:$F$304,"A")&gt;0,"A",IF(COUNTIFS(Attendance!$B$5:$B$304,$B46,Attendance!$A$5:$A$304,U$9,Attendance!$F$5:$F$304,"L")&gt;0,"L",""))))</f>
        <v/>
      </c>
      <c r="V46" s="62" t="str">
        <f aca="false">IF($B46="","",IF(COUNTIFS(Attendance!$B$5:$B$304,$B46,Attendance!$A$5:$A$304,V$9,Attendance!$F$5:$F$304,"P")&gt;0,"P",IF(COUNTIFS(Attendance!$B$5:$B$304,$B46,Attendance!$A$5:$A$304,V$9,Attendance!$F$5:$F$304,"A")&gt;0,"A",IF(COUNTIFS(Attendance!$B$5:$B$304,$B46,Attendance!$A$5:$A$304,V$9,Attendance!$F$5:$F$304,"L")&gt;0,"L",""))))</f>
        <v/>
      </c>
      <c r="W46" s="62" t="str">
        <f aca="false">IF($B46="","",IF(COUNTIFS(Attendance!$B$5:$B$304,$B46,Attendance!$A$5:$A$304,W$9,Attendance!$F$5:$F$304,"P")&gt;0,"P",IF(COUNTIFS(Attendance!$B$5:$B$304,$B46,Attendance!$A$5:$A$304,W$9,Attendance!$F$5:$F$304,"A")&gt;0,"A",IF(COUNTIFS(Attendance!$B$5:$B$304,$B46,Attendance!$A$5:$A$304,W$9,Attendance!$F$5:$F$304,"L")&gt;0,"L",""))))</f>
        <v/>
      </c>
      <c r="X46" s="62" t="str">
        <f aca="false">IF($B46="","",IF(COUNTIFS(Attendance!$B$5:$B$304,$B46,Attendance!$A$5:$A$304,X$9,Attendance!$F$5:$F$304,"P")&gt;0,"P",IF(COUNTIFS(Attendance!$B$5:$B$304,$B46,Attendance!$A$5:$A$304,X$9,Attendance!$F$5:$F$304,"A")&gt;0,"A",IF(COUNTIFS(Attendance!$B$5:$B$304,$B46,Attendance!$A$5:$A$304,X$9,Attendance!$F$5:$F$304,"L")&gt;0,"L",""))))</f>
        <v/>
      </c>
      <c r="Y46" s="59" t="str">
        <f aca="false">IF($B46="","",COUNTIFS(Attendance!$B$5:$B$304,$B46,Attendance!$F$5:$F$304,"P",Attendance!$A$5:$A$304,"&gt;="&amp;$AF$4,Attendance!$A$5:$A$304,"&lt;="&amp;$AF$5))</f>
        <v/>
      </c>
      <c r="Z46" s="59" t="str">
        <f aca="false">IF($B46="","",COUNTIFS(Attendance!$B$5:$B$304,$B46,Attendance!$F$5:$F$304,"A",Attendance!$A$5:$A$304,"&gt;="&amp;$AF$4,Attendance!$A$5:$A$304,"&lt;="&amp;$AF$5))</f>
        <v/>
      </c>
      <c r="AA46" s="59" t="str">
        <f aca="false">IF($B46="","",COUNTIFS(Attendance!$B$5:$B$304,$B46,Attendance!$F$5:$F$304,"L",Attendance!$A$5:$A$304,"&gt;="&amp;$AF$4,Attendance!$A$5:$A$304,"&lt;="&amp;$AF$5))</f>
        <v/>
      </c>
      <c r="AB46" s="59" t="str">
        <f aca="false">IF($B46="","",SUM(Y46:AA46))</f>
        <v/>
      </c>
      <c r="AC46" s="63" t="str">
        <f aca="false">IF($B46="","",IF(AB46=0,"-",(Y46+AA46)/AB46))</f>
        <v/>
      </c>
    </row>
    <row r="47" customFormat="false" ht="19.5" hidden="false" customHeight="true" outlineLevel="0" collapsed="false">
      <c r="A47" s="59" t="str">
        <f aca="false">IF($B47="","",38)</f>
        <v/>
      </c>
      <c r="B47" s="59" t="str">
        <f aca="false">IFERROR(INDEX(Students!$A$5:$A$304,MATCH($C$4&amp;"|"&amp;$C$5&amp;"|"&amp;38,Students!$O$5:$O$304,0)),"")</f>
        <v/>
      </c>
      <c r="C47" s="60" t="str">
        <f aca="false">IF($B47="","",INDEX(Students!$B$5:$B$304,MATCH($B47,Students!$A$5:$A$304,0)))</f>
        <v/>
      </c>
      <c r="D47" s="61"/>
      <c r="E47" s="62" t="str">
        <f aca="false">IF($B47="","",IF(COUNTIFS(Attendance!$B$5:$B$304,$B47,Attendance!$A$5:$A$304,E$9,Attendance!$F$5:$F$304,"P")&gt;0,"P",IF(COUNTIFS(Attendance!$B$5:$B$304,$B47,Attendance!$A$5:$A$304,E$9,Attendance!$F$5:$F$304,"A")&gt;0,"A",IF(COUNTIFS(Attendance!$B$5:$B$304,$B47,Attendance!$A$5:$A$304,E$9,Attendance!$F$5:$F$304,"L")&gt;0,"L",""))))</f>
        <v/>
      </c>
      <c r="F47" s="62" t="str">
        <f aca="false">IF($B47="","",IF(COUNTIFS(Attendance!$B$5:$B$304,$B47,Attendance!$A$5:$A$304,F$9,Attendance!$F$5:$F$304,"P")&gt;0,"P",IF(COUNTIFS(Attendance!$B$5:$B$304,$B47,Attendance!$A$5:$A$304,F$9,Attendance!$F$5:$F$304,"A")&gt;0,"A",IF(COUNTIFS(Attendance!$B$5:$B$304,$B47,Attendance!$A$5:$A$304,F$9,Attendance!$F$5:$F$304,"L")&gt;0,"L",""))))</f>
        <v/>
      </c>
      <c r="G47" s="62" t="str">
        <f aca="false">IF($B47="","",IF(COUNTIFS(Attendance!$B$5:$B$304,$B47,Attendance!$A$5:$A$304,G$9,Attendance!$F$5:$F$304,"P")&gt;0,"P",IF(COUNTIFS(Attendance!$B$5:$B$304,$B47,Attendance!$A$5:$A$304,G$9,Attendance!$F$5:$F$304,"A")&gt;0,"A",IF(COUNTIFS(Attendance!$B$5:$B$304,$B47,Attendance!$A$5:$A$304,G$9,Attendance!$F$5:$F$304,"L")&gt;0,"L",""))))</f>
        <v/>
      </c>
      <c r="H47" s="62" t="str">
        <f aca="false">IF($B47="","",IF(COUNTIFS(Attendance!$B$5:$B$304,$B47,Attendance!$A$5:$A$304,H$9,Attendance!$F$5:$F$304,"P")&gt;0,"P",IF(COUNTIFS(Attendance!$B$5:$B$304,$B47,Attendance!$A$5:$A$304,H$9,Attendance!$F$5:$F$304,"A")&gt;0,"A",IF(COUNTIFS(Attendance!$B$5:$B$304,$B47,Attendance!$A$5:$A$304,H$9,Attendance!$F$5:$F$304,"L")&gt;0,"L",""))))</f>
        <v/>
      </c>
      <c r="I47" s="62" t="str">
        <f aca="false">IF($B47="","",IF(COUNTIFS(Attendance!$B$5:$B$304,$B47,Attendance!$A$5:$A$304,I$9,Attendance!$F$5:$F$304,"P")&gt;0,"P",IF(COUNTIFS(Attendance!$B$5:$B$304,$B47,Attendance!$A$5:$A$304,I$9,Attendance!$F$5:$F$304,"A")&gt;0,"A",IF(COUNTIFS(Attendance!$B$5:$B$304,$B47,Attendance!$A$5:$A$304,I$9,Attendance!$F$5:$F$304,"L")&gt;0,"L",""))))</f>
        <v/>
      </c>
      <c r="J47" s="62" t="str">
        <f aca="false">IF($B47="","",IF(COUNTIFS(Attendance!$B$5:$B$304,$B47,Attendance!$A$5:$A$304,J$9,Attendance!$F$5:$F$304,"P")&gt;0,"P",IF(COUNTIFS(Attendance!$B$5:$B$304,$B47,Attendance!$A$5:$A$304,J$9,Attendance!$F$5:$F$304,"A")&gt;0,"A",IF(COUNTIFS(Attendance!$B$5:$B$304,$B47,Attendance!$A$5:$A$304,J$9,Attendance!$F$5:$F$304,"L")&gt;0,"L",""))))</f>
        <v/>
      </c>
      <c r="K47" s="62" t="str">
        <f aca="false">IF($B47="","",IF(COUNTIFS(Attendance!$B$5:$B$304,$B47,Attendance!$A$5:$A$304,K$9,Attendance!$F$5:$F$304,"P")&gt;0,"P",IF(COUNTIFS(Attendance!$B$5:$B$304,$B47,Attendance!$A$5:$A$304,K$9,Attendance!$F$5:$F$304,"A")&gt;0,"A",IF(COUNTIFS(Attendance!$B$5:$B$304,$B47,Attendance!$A$5:$A$304,K$9,Attendance!$F$5:$F$304,"L")&gt;0,"L",""))))</f>
        <v/>
      </c>
      <c r="L47" s="62" t="str">
        <f aca="false">IF($B47="","",IF(COUNTIFS(Attendance!$B$5:$B$304,$B47,Attendance!$A$5:$A$304,L$9,Attendance!$F$5:$F$304,"P")&gt;0,"P",IF(COUNTIFS(Attendance!$B$5:$B$304,$B47,Attendance!$A$5:$A$304,L$9,Attendance!$F$5:$F$304,"A")&gt;0,"A",IF(COUNTIFS(Attendance!$B$5:$B$304,$B47,Attendance!$A$5:$A$304,L$9,Attendance!$F$5:$F$304,"L")&gt;0,"L",""))))</f>
        <v/>
      </c>
      <c r="M47" s="62" t="str">
        <f aca="false">IF($B47="","",IF(COUNTIFS(Attendance!$B$5:$B$304,$B47,Attendance!$A$5:$A$304,M$9,Attendance!$F$5:$F$304,"P")&gt;0,"P",IF(COUNTIFS(Attendance!$B$5:$B$304,$B47,Attendance!$A$5:$A$304,M$9,Attendance!$F$5:$F$304,"A")&gt;0,"A",IF(COUNTIFS(Attendance!$B$5:$B$304,$B47,Attendance!$A$5:$A$304,M$9,Attendance!$F$5:$F$304,"L")&gt;0,"L",""))))</f>
        <v/>
      </c>
      <c r="N47" s="62" t="str">
        <f aca="false">IF($B47="","",IF(COUNTIFS(Attendance!$B$5:$B$304,$B47,Attendance!$A$5:$A$304,N$9,Attendance!$F$5:$F$304,"P")&gt;0,"P",IF(COUNTIFS(Attendance!$B$5:$B$304,$B47,Attendance!$A$5:$A$304,N$9,Attendance!$F$5:$F$304,"A")&gt;0,"A",IF(COUNTIFS(Attendance!$B$5:$B$304,$B47,Attendance!$A$5:$A$304,N$9,Attendance!$F$5:$F$304,"L")&gt;0,"L",""))))</f>
        <v/>
      </c>
      <c r="O47" s="62" t="str">
        <f aca="false">IF($B47="","",IF(COUNTIFS(Attendance!$B$5:$B$304,$B47,Attendance!$A$5:$A$304,O$9,Attendance!$F$5:$F$304,"P")&gt;0,"P",IF(COUNTIFS(Attendance!$B$5:$B$304,$B47,Attendance!$A$5:$A$304,O$9,Attendance!$F$5:$F$304,"A")&gt;0,"A",IF(COUNTIFS(Attendance!$B$5:$B$304,$B47,Attendance!$A$5:$A$304,O$9,Attendance!$F$5:$F$304,"L")&gt;0,"L",""))))</f>
        <v/>
      </c>
      <c r="P47" s="62" t="str">
        <f aca="false">IF($B47="","",IF(COUNTIFS(Attendance!$B$5:$B$304,$B47,Attendance!$A$5:$A$304,P$9,Attendance!$F$5:$F$304,"P")&gt;0,"P",IF(COUNTIFS(Attendance!$B$5:$B$304,$B47,Attendance!$A$5:$A$304,P$9,Attendance!$F$5:$F$304,"A")&gt;0,"A",IF(COUNTIFS(Attendance!$B$5:$B$304,$B47,Attendance!$A$5:$A$304,P$9,Attendance!$F$5:$F$304,"L")&gt;0,"L",""))))</f>
        <v/>
      </c>
      <c r="Q47" s="62" t="str">
        <f aca="false">IF($B47="","",IF(COUNTIFS(Attendance!$B$5:$B$304,$B47,Attendance!$A$5:$A$304,Q$9,Attendance!$F$5:$F$304,"P")&gt;0,"P",IF(COUNTIFS(Attendance!$B$5:$B$304,$B47,Attendance!$A$5:$A$304,Q$9,Attendance!$F$5:$F$304,"A")&gt;0,"A",IF(COUNTIFS(Attendance!$B$5:$B$304,$B47,Attendance!$A$5:$A$304,Q$9,Attendance!$F$5:$F$304,"L")&gt;0,"L",""))))</f>
        <v/>
      </c>
      <c r="R47" s="62" t="str">
        <f aca="false">IF($B47="","",IF(COUNTIFS(Attendance!$B$5:$B$304,$B47,Attendance!$A$5:$A$304,R$9,Attendance!$F$5:$F$304,"P")&gt;0,"P",IF(COUNTIFS(Attendance!$B$5:$B$304,$B47,Attendance!$A$5:$A$304,R$9,Attendance!$F$5:$F$304,"A")&gt;0,"A",IF(COUNTIFS(Attendance!$B$5:$B$304,$B47,Attendance!$A$5:$A$304,R$9,Attendance!$F$5:$F$304,"L")&gt;0,"L",""))))</f>
        <v/>
      </c>
      <c r="S47" s="62" t="str">
        <f aca="false">IF($B47="","",IF(COUNTIFS(Attendance!$B$5:$B$304,$B47,Attendance!$A$5:$A$304,S$9,Attendance!$F$5:$F$304,"P")&gt;0,"P",IF(COUNTIFS(Attendance!$B$5:$B$304,$B47,Attendance!$A$5:$A$304,S$9,Attendance!$F$5:$F$304,"A")&gt;0,"A",IF(COUNTIFS(Attendance!$B$5:$B$304,$B47,Attendance!$A$5:$A$304,S$9,Attendance!$F$5:$F$304,"L")&gt;0,"L",""))))</f>
        <v/>
      </c>
      <c r="T47" s="62" t="str">
        <f aca="false">IF($B47="","",IF(COUNTIFS(Attendance!$B$5:$B$304,$B47,Attendance!$A$5:$A$304,T$9,Attendance!$F$5:$F$304,"P")&gt;0,"P",IF(COUNTIFS(Attendance!$B$5:$B$304,$B47,Attendance!$A$5:$A$304,T$9,Attendance!$F$5:$F$304,"A")&gt;0,"A",IF(COUNTIFS(Attendance!$B$5:$B$304,$B47,Attendance!$A$5:$A$304,T$9,Attendance!$F$5:$F$304,"L")&gt;0,"L",""))))</f>
        <v/>
      </c>
      <c r="U47" s="62" t="str">
        <f aca="false">IF($B47="","",IF(COUNTIFS(Attendance!$B$5:$B$304,$B47,Attendance!$A$5:$A$304,U$9,Attendance!$F$5:$F$304,"P")&gt;0,"P",IF(COUNTIFS(Attendance!$B$5:$B$304,$B47,Attendance!$A$5:$A$304,U$9,Attendance!$F$5:$F$304,"A")&gt;0,"A",IF(COUNTIFS(Attendance!$B$5:$B$304,$B47,Attendance!$A$5:$A$304,U$9,Attendance!$F$5:$F$304,"L")&gt;0,"L",""))))</f>
        <v/>
      </c>
      <c r="V47" s="62" t="str">
        <f aca="false">IF($B47="","",IF(COUNTIFS(Attendance!$B$5:$B$304,$B47,Attendance!$A$5:$A$304,V$9,Attendance!$F$5:$F$304,"P")&gt;0,"P",IF(COUNTIFS(Attendance!$B$5:$B$304,$B47,Attendance!$A$5:$A$304,V$9,Attendance!$F$5:$F$304,"A")&gt;0,"A",IF(COUNTIFS(Attendance!$B$5:$B$304,$B47,Attendance!$A$5:$A$304,V$9,Attendance!$F$5:$F$304,"L")&gt;0,"L",""))))</f>
        <v/>
      </c>
      <c r="W47" s="62" t="str">
        <f aca="false">IF($B47="","",IF(COUNTIFS(Attendance!$B$5:$B$304,$B47,Attendance!$A$5:$A$304,W$9,Attendance!$F$5:$F$304,"P")&gt;0,"P",IF(COUNTIFS(Attendance!$B$5:$B$304,$B47,Attendance!$A$5:$A$304,W$9,Attendance!$F$5:$F$304,"A")&gt;0,"A",IF(COUNTIFS(Attendance!$B$5:$B$304,$B47,Attendance!$A$5:$A$304,W$9,Attendance!$F$5:$F$304,"L")&gt;0,"L",""))))</f>
        <v/>
      </c>
      <c r="X47" s="62" t="str">
        <f aca="false">IF($B47="","",IF(COUNTIFS(Attendance!$B$5:$B$304,$B47,Attendance!$A$5:$A$304,X$9,Attendance!$F$5:$F$304,"P")&gt;0,"P",IF(COUNTIFS(Attendance!$B$5:$B$304,$B47,Attendance!$A$5:$A$304,X$9,Attendance!$F$5:$F$304,"A")&gt;0,"A",IF(COUNTIFS(Attendance!$B$5:$B$304,$B47,Attendance!$A$5:$A$304,X$9,Attendance!$F$5:$F$304,"L")&gt;0,"L",""))))</f>
        <v/>
      </c>
      <c r="Y47" s="59" t="str">
        <f aca="false">IF($B47="","",COUNTIFS(Attendance!$B$5:$B$304,$B47,Attendance!$F$5:$F$304,"P",Attendance!$A$5:$A$304,"&gt;="&amp;$AF$4,Attendance!$A$5:$A$304,"&lt;="&amp;$AF$5))</f>
        <v/>
      </c>
      <c r="Z47" s="59" t="str">
        <f aca="false">IF($B47="","",COUNTIFS(Attendance!$B$5:$B$304,$B47,Attendance!$F$5:$F$304,"A",Attendance!$A$5:$A$304,"&gt;="&amp;$AF$4,Attendance!$A$5:$A$304,"&lt;="&amp;$AF$5))</f>
        <v/>
      </c>
      <c r="AA47" s="59" t="str">
        <f aca="false">IF($B47="","",COUNTIFS(Attendance!$B$5:$B$304,$B47,Attendance!$F$5:$F$304,"L",Attendance!$A$5:$A$304,"&gt;="&amp;$AF$4,Attendance!$A$5:$A$304,"&lt;="&amp;$AF$5))</f>
        <v/>
      </c>
      <c r="AB47" s="59" t="str">
        <f aca="false">IF($B47="","",SUM(Y47:AA47))</f>
        <v/>
      </c>
      <c r="AC47" s="63" t="str">
        <f aca="false">IF($B47="","",IF(AB47=0,"-",(Y47+AA47)/AB47))</f>
        <v/>
      </c>
    </row>
    <row r="48" customFormat="false" ht="19.5" hidden="false" customHeight="true" outlineLevel="0" collapsed="false">
      <c r="A48" s="59" t="str">
        <f aca="false">IF($B48="","",39)</f>
        <v/>
      </c>
      <c r="B48" s="59" t="str">
        <f aca="false">IFERROR(INDEX(Students!$A$5:$A$304,MATCH($C$4&amp;"|"&amp;$C$5&amp;"|"&amp;39,Students!$O$5:$O$304,0)),"")</f>
        <v/>
      </c>
      <c r="C48" s="60" t="str">
        <f aca="false">IF($B48="","",INDEX(Students!$B$5:$B$304,MATCH($B48,Students!$A$5:$A$304,0)))</f>
        <v/>
      </c>
      <c r="D48" s="61"/>
      <c r="E48" s="62" t="str">
        <f aca="false">IF($B48="","",IF(COUNTIFS(Attendance!$B$5:$B$304,$B48,Attendance!$A$5:$A$304,E$9,Attendance!$F$5:$F$304,"P")&gt;0,"P",IF(COUNTIFS(Attendance!$B$5:$B$304,$B48,Attendance!$A$5:$A$304,E$9,Attendance!$F$5:$F$304,"A")&gt;0,"A",IF(COUNTIFS(Attendance!$B$5:$B$304,$B48,Attendance!$A$5:$A$304,E$9,Attendance!$F$5:$F$304,"L")&gt;0,"L",""))))</f>
        <v/>
      </c>
      <c r="F48" s="62" t="str">
        <f aca="false">IF($B48="","",IF(COUNTIFS(Attendance!$B$5:$B$304,$B48,Attendance!$A$5:$A$304,F$9,Attendance!$F$5:$F$304,"P")&gt;0,"P",IF(COUNTIFS(Attendance!$B$5:$B$304,$B48,Attendance!$A$5:$A$304,F$9,Attendance!$F$5:$F$304,"A")&gt;0,"A",IF(COUNTIFS(Attendance!$B$5:$B$304,$B48,Attendance!$A$5:$A$304,F$9,Attendance!$F$5:$F$304,"L")&gt;0,"L",""))))</f>
        <v/>
      </c>
      <c r="G48" s="62" t="str">
        <f aca="false">IF($B48="","",IF(COUNTIFS(Attendance!$B$5:$B$304,$B48,Attendance!$A$5:$A$304,G$9,Attendance!$F$5:$F$304,"P")&gt;0,"P",IF(COUNTIFS(Attendance!$B$5:$B$304,$B48,Attendance!$A$5:$A$304,G$9,Attendance!$F$5:$F$304,"A")&gt;0,"A",IF(COUNTIFS(Attendance!$B$5:$B$304,$B48,Attendance!$A$5:$A$304,G$9,Attendance!$F$5:$F$304,"L")&gt;0,"L",""))))</f>
        <v/>
      </c>
      <c r="H48" s="62" t="str">
        <f aca="false">IF($B48="","",IF(COUNTIFS(Attendance!$B$5:$B$304,$B48,Attendance!$A$5:$A$304,H$9,Attendance!$F$5:$F$304,"P")&gt;0,"P",IF(COUNTIFS(Attendance!$B$5:$B$304,$B48,Attendance!$A$5:$A$304,H$9,Attendance!$F$5:$F$304,"A")&gt;0,"A",IF(COUNTIFS(Attendance!$B$5:$B$304,$B48,Attendance!$A$5:$A$304,H$9,Attendance!$F$5:$F$304,"L")&gt;0,"L",""))))</f>
        <v/>
      </c>
      <c r="I48" s="62" t="str">
        <f aca="false">IF($B48="","",IF(COUNTIFS(Attendance!$B$5:$B$304,$B48,Attendance!$A$5:$A$304,I$9,Attendance!$F$5:$F$304,"P")&gt;0,"P",IF(COUNTIFS(Attendance!$B$5:$B$304,$B48,Attendance!$A$5:$A$304,I$9,Attendance!$F$5:$F$304,"A")&gt;0,"A",IF(COUNTIFS(Attendance!$B$5:$B$304,$B48,Attendance!$A$5:$A$304,I$9,Attendance!$F$5:$F$304,"L")&gt;0,"L",""))))</f>
        <v/>
      </c>
      <c r="J48" s="62" t="str">
        <f aca="false">IF($B48="","",IF(COUNTIFS(Attendance!$B$5:$B$304,$B48,Attendance!$A$5:$A$304,J$9,Attendance!$F$5:$F$304,"P")&gt;0,"P",IF(COUNTIFS(Attendance!$B$5:$B$304,$B48,Attendance!$A$5:$A$304,J$9,Attendance!$F$5:$F$304,"A")&gt;0,"A",IF(COUNTIFS(Attendance!$B$5:$B$304,$B48,Attendance!$A$5:$A$304,J$9,Attendance!$F$5:$F$304,"L")&gt;0,"L",""))))</f>
        <v/>
      </c>
      <c r="K48" s="62" t="str">
        <f aca="false">IF($B48="","",IF(COUNTIFS(Attendance!$B$5:$B$304,$B48,Attendance!$A$5:$A$304,K$9,Attendance!$F$5:$F$304,"P")&gt;0,"P",IF(COUNTIFS(Attendance!$B$5:$B$304,$B48,Attendance!$A$5:$A$304,K$9,Attendance!$F$5:$F$304,"A")&gt;0,"A",IF(COUNTIFS(Attendance!$B$5:$B$304,$B48,Attendance!$A$5:$A$304,K$9,Attendance!$F$5:$F$304,"L")&gt;0,"L",""))))</f>
        <v/>
      </c>
      <c r="L48" s="62" t="str">
        <f aca="false">IF($B48="","",IF(COUNTIFS(Attendance!$B$5:$B$304,$B48,Attendance!$A$5:$A$304,L$9,Attendance!$F$5:$F$304,"P")&gt;0,"P",IF(COUNTIFS(Attendance!$B$5:$B$304,$B48,Attendance!$A$5:$A$304,L$9,Attendance!$F$5:$F$304,"A")&gt;0,"A",IF(COUNTIFS(Attendance!$B$5:$B$304,$B48,Attendance!$A$5:$A$304,L$9,Attendance!$F$5:$F$304,"L")&gt;0,"L",""))))</f>
        <v/>
      </c>
      <c r="M48" s="62" t="str">
        <f aca="false">IF($B48="","",IF(COUNTIFS(Attendance!$B$5:$B$304,$B48,Attendance!$A$5:$A$304,M$9,Attendance!$F$5:$F$304,"P")&gt;0,"P",IF(COUNTIFS(Attendance!$B$5:$B$304,$B48,Attendance!$A$5:$A$304,M$9,Attendance!$F$5:$F$304,"A")&gt;0,"A",IF(COUNTIFS(Attendance!$B$5:$B$304,$B48,Attendance!$A$5:$A$304,M$9,Attendance!$F$5:$F$304,"L")&gt;0,"L",""))))</f>
        <v/>
      </c>
      <c r="N48" s="62" t="str">
        <f aca="false">IF($B48="","",IF(COUNTIFS(Attendance!$B$5:$B$304,$B48,Attendance!$A$5:$A$304,N$9,Attendance!$F$5:$F$304,"P")&gt;0,"P",IF(COUNTIFS(Attendance!$B$5:$B$304,$B48,Attendance!$A$5:$A$304,N$9,Attendance!$F$5:$F$304,"A")&gt;0,"A",IF(COUNTIFS(Attendance!$B$5:$B$304,$B48,Attendance!$A$5:$A$304,N$9,Attendance!$F$5:$F$304,"L")&gt;0,"L",""))))</f>
        <v/>
      </c>
      <c r="O48" s="62" t="str">
        <f aca="false">IF($B48="","",IF(COUNTIFS(Attendance!$B$5:$B$304,$B48,Attendance!$A$5:$A$304,O$9,Attendance!$F$5:$F$304,"P")&gt;0,"P",IF(COUNTIFS(Attendance!$B$5:$B$304,$B48,Attendance!$A$5:$A$304,O$9,Attendance!$F$5:$F$304,"A")&gt;0,"A",IF(COUNTIFS(Attendance!$B$5:$B$304,$B48,Attendance!$A$5:$A$304,O$9,Attendance!$F$5:$F$304,"L")&gt;0,"L",""))))</f>
        <v/>
      </c>
      <c r="P48" s="62" t="str">
        <f aca="false">IF($B48="","",IF(COUNTIFS(Attendance!$B$5:$B$304,$B48,Attendance!$A$5:$A$304,P$9,Attendance!$F$5:$F$304,"P")&gt;0,"P",IF(COUNTIFS(Attendance!$B$5:$B$304,$B48,Attendance!$A$5:$A$304,P$9,Attendance!$F$5:$F$304,"A")&gt;0,"A",IF(COUNTIFS(Attendance!$B$5:$B$304,$B48,Attendance!$A$5:$A$304,P$9,Attendance!$F$5:$F$304,"L")&gt;0,"L",""))))</f>
        <v/>
      </c>
      <c r="Q48" s="62" t="str">
        <f aca="false">IF($B48="","",IF(COUNTIFS(Attendance!$B$5:$B$304,$B48,Attendance!$A$5:$A$304,Q$9,Attendance!$F$5:$F$304,"P")&gt;0,"P",IF(COUNTIFS(Attendance!$B$5:$B$304,$B48,Attendance!$A$5:$A$304,Q$9,Attendance!$F$5:$F$304,"A")&gt;0,"A",IF(COUNTIFS(Attendance!$B$5:$B$304,$B48,Attendance!$A$5:$A$304,Q$9,Attendance!$F$5:$F$304,"L")&gt;0,"L",""))))</f>
        <v/>
      </c>
      <c r="R48" s="62" t="str">
        <f aca="false">IF($B48="","",IF(COUNTIFS(Attendance!$B$5:$B$304,$B48,Attendance!$A$5:$A$304,R$9,Attendance!$F$5:$F$304,"P")&gt;0,"P",IF(COUNTIFS(Attendance!$B$5:$B$304,$B48,Attendance!$A$5:$A$304,R$9,Attendance!$F$5:$F$304,"A")&gt;0,"A",IF(COUNTIFS(Attendance!$B$5:$B$304,$B48,Attendance!$A$5:$A$304,R$9,Attendance!$F$5:$F$304,"L")&gt;0,"L",""))))</f>
        <v/>
      </c>
      <c r="S48" s="62" t="str">
        <f aca="false">IF($B48="","",IF(COUNTIFS(Attendance!$B$5:$B$304,$B48,Attendance!$A$5:$A$304,S$9,Attendance!$F$5:$F$304,"P")&gt;0,"P",IF(COUNTIFS(Attendance!$B$5:$B$304,$B48,Attendance!$A$5:$A$304,S$9,Attendance!$F$5:$F$304,"A")&gt;0,"A",IF(COUNTIFS(Attendance!$B$5:$B$304,$B48,Attendance!$A$5:$A$304,S$9,Attendance!$F$5:$F$304,"L")&gt;0,"L",""))))</f>
        <v/>
      </c>
      <c r="T48" s="62" t="str">
        <f aca="false">IF($B48="","",IF(COUNTIFS(Attendance!$B$5:$B$304,$B48,Attendance!$A$5:$A$304,T$9,Attendance!$F$5:$F$304,"P")&gt;0,"P",IF(COUNTIFS(Attendance!$B$5:$B$304,$B48,Attendance!$A$5:$A$304,T$9,Attendance!$F$5:$F$304,"A")&gt;0,"A",IF(COUNTIFS(Attendance!$B$5:$B$304,$B48,Attendance!$A$5:$A$304,T$9,Attendance!$F$5:$F$304,"L")&gt;0,"L",""))))</f>
        <v/>
      </c>
      <c r="U48" s="62" t="str">
        <f aca="false">IF($B48="","",IF(COUNTIFS(Attendance!$B$5:$B$304,$B48,Attendance!$A$5:$A$304,U$9,Attendance!$F$5:$F$304,"P")&gt;0,"P",IF(COUNTIFS(Attendance!$B$5:$B$304,$B48,Attendance!$A$5:$A$304,U$9,Attendance!$F$5:$F$304,"A")&gt;0,"A",IF(COUNTIFS(Attendance!$B$5:$B$304,$B48,Attendance!$A$5:$A$304,U$9,Attendance!$F$5:$F$304,"L")&gt;0,"L",""))))</f>
        <v/>
      </c>
      <c r="V48" s="62" t="str">
        <f aca="false">IF($B48="","",IF(COUNTIFS(Attendance!$B$5:$B$304,$B48,Attendance!$A$5:$A$304,V$9,Attendance!$F$5:$F$304,"P")&gt;0,"P",IF(COUNTIFS(Attendance!$B$5:$B$304,$B48,Attendance!$A$5:$A$304,V$9,Attendance!$F$5:$F$304,"A")&gt;0,"A",IF(COUNTIFS(Attendance!$B$5:$B$304,$B48,Attendance!$A$5:$A$304,V$9,Attendance!$F$5:$F$304,"L")&gt;0,"L",""))))</f>
        <v/>
      </c>
      <c r="W48" s="62" t="str">
        <f aca="false">IF($B48="","",IF(COUNTIFS(Attendance!$B$5:$B$304,$B48,Attendance!$A$5:$A$304,W$9,Attendance!$F$5:$F$304,"P")&gt;0,"P",IF(COUNTIFS(Attendance!$B$5:$B$304,$B48,Attendance!$A$5:$A$304,W$9,Attendance!$F$5:$F$304,"A")&gt;0,"A",IF(COUNTIFS(Attendance!$B$5:$B$304,$B48,Attendance!$A$5:$A$304,W$9,Attendance!$F$5:$F$304,"L")&gt;0,"L",""))))</f>
        <v/>
      </c>
      <c r="X48" s="62" t="str">
        <f aca="false">IF($B48="","",IF(COUNTIFS(Attendance!$B$5:$B$304,$B48,Attendance!$A$5:$A$304,X$9,Attendance!$F$5:$F$304,"P")&gt;0,"P",IF(COUNTIFS(Attendance!$B$5:$B$304,$B48,Attendance!$A$5:$A$304,X$9,Attendance!$F$5:$F$304,"A")&gt;0,"A",IF(COUNTIFS(Attendance!$B$5:$B$304,$B48,Attendance!$A$5:$A$304,X$9,Attendance!$F$5:$F$304,"L")&gt;0,"L",""))))</f>
        <v/>
      </c>
      <c r="Y48" s="59" t="str">
        <f aca="false">IF($B48="","",COUNTIFS(Attendance!$B$5:$B$304,$B48,Attendance!$F$5:$F$304,"P",Attendance!$A$5:$A$304,"&gt;="&amp;$AF$4,Attendance!$A$5:$A$304,"&lt;="&amp;$AF$5))</f>
        <v/>
      </c>
      <c r="Z48" s="59" t="str">
        <f aca="false">IF($B48="","",COUNTIFS(Attendance!$B$5:$B$304,$B48,Attendance!$F$5:$F$304,"A",Attendance!$A$5:$A$304,"&gt;="&amp;$AF$4,Attendance!$A$5:$A$304,"&lt;="&amp;$AF$5))</f>
        <v/>
      </c>
      <c r="AA48" s="59" t="str">
        <f aca="false">IF($B48="","",COUNTIFS(Attendance!$B$5:$B$304,$B48,Attendance!$F$5:$F$304,"L",Attendance!$A$5:$A$304,"&gt;="&amp;$AF$4,Attendance!$A$5:$A$304,"&lt;="&amp;$AF$5))</f>
        <v/>
      </c>
      <c r="AB48" s="59" t="str">
        <f aca="false">IF($B48="","",SUM(Y48:AA48))</f>
        <v/>
      </c>
      <c r="AC48" s="63" t="str">
        <f aca="false">IF($B48="","",IF(AB48=0,"-",(Y48+AA48)/AB48))</f>
        <v/>
      </c>
    </row>
    <row r="49" customFormat="false" ht="19.5" hidden="false" customHeight="true" outlineLevel="0" collapsed="false">
      <c r="A49" s="59" t="str">
        <f aca="false">IF($B49="","",40)</f>
        <v/>
      </c>
      <c r="B49" s="59" t="str">
        <f aca="false">IFERROR(INDEX(Students!$A$5:$A$304,MATCH($C$4&amp;"|"&amp;$C$5&amp;"|"&amp;40,Students!$O$5:$O$304,0)),"")</f>
        <v/>
      </c>
      <c r="C49" s="60" t="str">
        <f aca="false">IF($B49="","",INDEX(Students!$B$5:$B$304,MATCH($B49,Students!$A$5:$A$304,0)))</f>
        <v/>
      </c>
      <c r="D49" s="61"/>
      <c r="E49" s="62" t="str">
        <f aca="false">IF($B49="","",IF(COUNTIFS(Attendance!$B$5:$B$304,$B49,Attendance!$A$5:$A$304,E$9,Attendance!$F$5:$F$304,"P")&gt;0,"P",IF(COUNTIFS(Attendance!$B$5:$B$304,$B49,Attendance!$A$5:$A$304,E$9,Attendance!$F$5:$F$304,"A")&gt;0,"A",IF(COUNTIFS(Attendance!$B$5:$B$304,$B49,Attendance!$A$5:$A$304,E$9,Attendance!$F$5:$F$304,"L")&gt;0,"L",""))))</f>
        <v/>
      </c>
      <c r="F49" s="62" t="str">
        <f aca="false">IF($B49="","",IF(COUNTIFS(Attendance!$B$5:$B$304,$B49,Attendance!$A$5:$A$304,F$9,Attendance!$F$5:$F$304,"P")&gt;0,"P",IF(COUNTIFS(Attendance!$B$5:$B$304,$B49,Attendance!$A$5:$A$304,F$9,Attendance!$F$5:$F$304,"A")&gt;0,"A",IF(COUNTIFS(Attendance!$B$5:$B$304,$B49,Attendance!$A$5:$A$304,F$9,Attendance!$F$5:$F$304,"L")&gt;0,"L",""))))</f>
        <v/>
      </c>
      <c r="G49" s="62" t="str">
        <f aca="false">IF($B49="","",IF(COUNTIFS(Attendance!$B$5:$B$304,$B49,Attendance!$A$5:$A$304,G$9,Attendance!$F$5:$F$304,"P")&gt;0,"P",IF(COUNTIFS(Attendance!$B$5:$B$304,$B49,Attendance!$A$5:$A$304,G$9,Attendance!$F$5:$F$304,"A")&gt;0,"A",IF(COUNTIFS(Attendance!$B$5:$B$304,$B49,Attendance!$A$5:$A$304,G$9,Attendance!$F$5:$F$304,"L")&gt;0,"L",""))))</f>
        <v/>
      </c>
      <c r="H49" s="62" t="str">
        <f aca="false">IF($B49="","",IF(COUNTIFS(Attendance!$B$5:$B$304,$B49,Attendance!$A$5:$A$304,H$9,Attendance!$F$5:$F$304,"P")&gt;0,"P",IF(COUNTIFS(Attendance!$B$5:$B$304,$B49,Attendance!$A$5:$A$304,H$9,Attendance!$F$5:$F$304,"A")&gt;0,"A",IF(COUNTIFS(Attendance!$B$5:$B$304,$B49,Attendance!$A$5:$A$304,H$9,Attendance!$F$5:$F$304,"L")&gt;0,"L",""))))</f>
        <v/>
      </c>
      <c r="I49" s="62" t="str">
        <f aca="false">IF($B49="","",IF(COUNTIFS(Attendance!$B$5:$B$304,$B49,Attendance!$A$5:$A$304,I$9,Attendance!$F$5:$F$304,"P")&gt;0,"P",IF(COUNTIFS(Attendance!$B$5:$B$304,$B49,Attendance!$A$5:$A$304,I$9,Attendance!$F$5:$F$304,"A")&gt;0,"A",IF(COUNTIFS(Attendance!$B$5:$B$304,$B49,Attendance!$A$5:$A$304,I$9,Attendance!$F$5:$F$304,"L")&gt;0,"L",""))))</f>
        <v/>
      </c>
      <c r="J49" s="62" t="str">
        <f aca="false">IF($B49="","",IF(COUNTIFS(Attendance!$B$5:$B$304,$B49,Attendance!$A$5:$A$304,J$9,Attendance!$F$5:$F$304,"P")&gt;0,"P",IF(COUNTIFS(Attendance!$B$5:$B$304,$B49,Attendance!$A$5:$A$304,J$9,Attendance!$F$5:$F$304,"A")&gt;0,"A",IF(COUNTIFS(Attendance!$B$5:$B$304,$B49,Attendance!$A$5:$A$304,J$9,Attendance!$F$5:$F$304,"L")&gt;0,"L",""))))</f>
        <v/>
      </c>
      <c r="K49" s="62" t="str">
        <f aca="false">IF($B49="","",IF(COUNTIFS(Attendance!$B$5:$B$304,$B49,Attendance!$A$5:$A$304,K$9,Attendance!$F$5:$F$304,"P")&gt;0,"P",IF(COUNTIFS(Attendance!$B$5:$B$304,$B49,Attendance!$A$5:$A$304,K$9,Attendance!$F$5:$F$304,"A")&gt;0,"A",IF(COUNTIFS(Attendance!$B$5:$B$304,$B49,Attendance!$A$5:$A$304,K$9,Attendance!$F$5:$F$304,"L")&gt;0,"L",""))))</f>
        <v/>
      </c>
      <c r="L49" s="62" t="str">
        <f aca="false">IF($B49="","",IF(COUNTIFS(Attendance!$B$5:$B$304,$B49,Attendance!$A$5:$A$304,L$9,Attendance!$F$5:$F$304,"P")&gt;0,"P",IF(COUNTIFS(Attendance!$B$5:$B$304,$B49,Attendance!$A$5:$A$304,L$9,Attendance!$F$5:$F$304,"A")&gt;0,"A",IF(COUNTIFS(Attendance!$B$5:$B$304,$B49,Attendance!$A$5:$A$304,L$9,Attendance!$F$5:$F$304,"L")&gt;0,"L",""))))</f>
        <v/>
      </c>
      <c r="M49" s="62" t="str">
        <f aca="false">IF($B49="","",IF(COUNTIFS(Attendance!$B$5:$B$304,$B49,Attendance!$A$5:$A$304,M$9,Attendance!$F$5:$F$304,"P")&gt;0,"P",IF(COUNTIFS(Attendance!$B$5:$B$304,$B49,Attendance!$A$5:$A$304,M$9,Attendance!$F$5:$F$304,"A")&gt;0,"A",IF(COUNTIFS(Attendance!$B$5:$B$304,$B49,Attendance!$A$5:$A$304,M$9,Attendance!$F$5:$F$304,"L")&gt;0,"L",""))))</f>
        <v/>
      </c>
      <c r="N49" s="62" t="str">
        <f aca="false">IF($B49="","",IF(COUNTIFS(Attendance!$B$5:$B$304,$B49,Attendance!$A$5:$A$304,N$9,Attendance!$F$5:$F$304,"P")&gt;0,"P",IF(COUNTIFS(Attendance!$B$5:$B$304,$B49,Attendance!$A$5:$A$304,N$9,Attendance!$F$5:$F$304,"A")&gt;0,"A",IF(COUNTIFS(Attendance!$B$5:$B$304,$B49,Attendance!$A$5:$A$304,N$9,Attendance!$F$5:$F$304,"L")&gt;0,"L",""))))</f>
        <v/>
      </c>
      <c r="O49" s="62" t="str">
        <f aca="false">IF($B49="","",IF(COUNTIFS(Attendance!$B$5:$B$304,$B49,Attendance!$A$5:$A$304,O$9,Attendance!$F$5:$F$304,"P")&gt;0,"P",IF(COUNTIFS(Attendance!$B$5:$B$304,$B49,Attendance!$A$5:$A$304,O$9,Attendance!$F$5:$F$304,"A")&gt;0,"A",IF(COUNTIFS(Attendance!$B$5:$B$304,$B49,Attendance!$A$5:$A$304,O$9,Attendance!$F$5:$F$304,"L")&gt;0,"L",""))))</f>
        <v/>
      </c>
      <c r="P49" s="62" t="str">
        <f aca="false">IF($B49="","",IF(COUNTIFS(Attendance!$B$5:$B$304,$B49,Attendance!$A$5:$A$304,P$9,Attendance!$F$5:$F$304,"P")&gt;0,"P",IF(COUNTIFS(Attendance!$B$5:$B$304,$B49,Attendance!$A$5:$A$304,P$9,Attendance!$F$5:$F$304,"A")&gt;0,"A",IF(COUNTIFS(Attendance!$B$5:$B$304,$B49,Attendance!$A$5:$A$304,P$9,Attendance!$F$5:$F$304,"L")&gt;0,"L",""))))</f>
        <v/>
      </c>
      <c r="Q49" s="62" t="str">
        <f aca="false">IF($B49="","",IF(COUNTIFS(Attendance!$B$5:$B$304,$B49,Attendance!$A$5:$A$304,Q$9,Attendance!$F$5:$F$304,"P")&gt;0,"P",IF(COUNTIFS(Attendance!$B$5:$B$304,$B49,Attendance!$A$5:$A$304,Q$9,Attendance!$F$5:$F$304,"A")&gt;0,"A",IF(COUNTIFS(Attendance!$B$5:$B$304,$B49,Attendance!$A$5:$A$304,Q$9,Attendance!$F$5:$F$304,"L")&gt;0,"L",""))))</f>
        <v/>
      </c>
      <c r="R49" s="62" t="str">
        <f aca="false">IF($B49="","",IF(COUNTIFS(Attendance!$B$5:$B$304,$B49,Attendance!$A$5:$A$304,R$9,Attendance!$F$5:$F$304,"P")&gt;0,"P",IF(COUNTIFS(Attendance!$B$5:$B$304,$B49,Attendance!$A$5:$A$304,R$9,Attendance!$F$5:$F$304,"A")&gt;0,"A",IF(COUNTIFS(Attendance!$B$5:$B$304,$B49,Attendance!$A$5:$A$304,R$9,Attendance!$F$5:$F$304,"L")&gt;0,"L",""))))</f>
        <v/>
      </c>
      <c r="S49" s="62" t="str">
        <f aca="false">IF($B49="","",IF(COUNTIFS(Attendance!$B$5:$B$304,$B49,Attendance!$A$5:$A$304,S$9,Attendance!$F$5:$F$304,"P")&gt;0,"P",IF(COUNTIFS(Attendance!$B$5:$B$304,$B49,Attendance!$A$5:$A$304,S$9,Attendance!$F$5:$F$304,"A")&gt;0,"A",IF(COUNTIFS(Attendance!$B$5:$B$304,$B49,Attendance!$A$5:$A$304,S$9,Attendance!$F$5:$F$304,"L")&gt;0,"L",""))))</f>
        <v/>
      </c>
      <c r="T49" s="62" t="str">
        <f aca="false">IF($B49="","",IF(COUNTIFS(Attendance!$B$5:$B$304,$B49,Attendance!$A$5:$A$304,T$9,Attendance!$F$5:$F$304,"P")&gt;0,"P",IF(COUNTIFS(Attendance!$B$5:$B$304,$B49,Attendance!$A$5:$A$304,T$9,Attendance!$F$5:$F$304,"A")&gt;0,"A",IF(COUNTIFS(Attendance!$B$5:$B$304,$B49,Attendance!$A$5:$A$304,T$9,Attendance!$F$5:$F$304,"L")&gt;0,"L",""))))</f>
        <v/>
      </c>
      <c r="U49" s="62" t="str">
        <f aca="false">IF($B49="","",IF(COUNTIFS(Attendance!$B$5:$B$304,$B49,Attendance!$A$5:$A$304,U$9,Attendance!$F$5:$F$304,"P")&gt;0,"P",IF(COUNTIFS(Attendance!$B$5:$B$304,$B49,Attendance!$A$5:$A$304,U$9,Attendance!$F$5:$F$304,"A")&gt;0,"A",IF(COUNTIFS(Attendance!$B$5:$B$304,$B49,Attendance!$A$5:$A$304,U$9,Attendance!$F$5:$F$304,"L")&gt;0,"L",""))))</f>
        <v/>
      </c>
      <c r="V49" s="62" t="str">
        <f aca="false">IF($B49="","",IF(COUNTIFS(Attendance!$B$5:$B$304,$B49,Attendance!$A$5:$A$304,V$9,Attendance!$F$5:$F$304,"P")&gt;0,"P",IF(COUNTIFS(Attendance!$B$5:$B$304,$B49,Attendance!$A$5:$A$304,V$9,Attendance!$F$5:$F$304,"A")&gt;0,"A",IF(COUNTIFS(Attendance!$B$5:$B$304,$B49,Attendance!$A$5:$A$304,V$9,Attendance!$F$5:$F$304,"L")&gt;0,"L",""))))</f>
        <v/>
      </c>
      <c r="W49" s="62" t="str">
        <f aca="false">IF($B49="","",IF(COUNTIFS(Attendance!$B$5:$B$304,$B49,Attendance!$A$5:$A$304,W$9,Attendance!$F$5:$F$304,"P")&gt;0,"P",IF(COUNTIFS(Attendance!$B$5:$B$304,$B49,Attendance!$A$5:$A$304,W$9,Attendance!$F$5:$F$304,"A")&gt;0,"A",IF(COUNTIFS(Attendance!$B$5:$B$304,$B49,Attendance!$A$5:$A$304,W$9,Attendance!$F$5:$F$304,"L")&gt;0,"L",""))))</f>
        <v/>
      </c>
      <c r="X49" s="62" t="str">
        <f aca="false">IF($B49="","",IF(COUNTIFS(Attendance!$B$5:$B$304,$B49,Attendance!$A$5:$A$304,X$9,Attendance!$F$5:$F$304,"P")&gt;0,"P",IF(COUNTIFS(Attendance!$B$5:$B$304,$B49,Attendance!$A$5:$A$304,X$9,Attendance!$F$5:$F$304,"A")&gt;0,"A",IF(COUNTIFS(Attendance!$B$5:$B$304,$B49,Attendance!$A$5:$A$304,X$9,Attendance!$F$5:$F$304,"L")&gt;0,"L",""))))</f>
        <v/>
      </c>
      <c r="Y49" s="59" t="str">
        <f aca="false">IF($B49="","",COUNTIFS(Attendance!$B$5:$B$304,$B49,Attendance!$F$5:$F$304,"P",Attendance!$A$5:$A$304,"&gt;="&amp;$AF$4,Attendance!$A$5:$A$304,"&lt;="&amp;$AF$5))</f>
        <v/>
      </c>
      <c r="Z49" s="59" t="str">
        <f aca="false">IF($B49="","",COUNTIFS(Attendance!$B$5:$B$304,$B49,Attendance!$F$5:$F$304,"A",Attendance!$A$5:$A$304,"&gt;="&amp;$AF$4,Attendance!$A$5:$A$304,"&lt;="&amp;$AF$5))</f>
        <v/>
      </c>
      <c r="AA49" s="59" t="str">
        <f aca="false">IF($B49="","",COUNTIFS(Attendance!$B$5:$B$304,$B49,Attendance!$F$5:$F$304,"L",Attendance!$A$5:$A$304,"&gt;="&amp;$AF$4,Attendance!$A$5:$A$304,"&lt;="&amp;$AF$5))</f>
        <v/>
      </c>
      <c r="AB49" s="59" t="str">
        <f aca="false">IF($B49="","",SUM(Y49:AA49))</f>
        <v/>
      </c>
      <c r="AC49" s="63" t="str">
        <f aca="false">IF($B49="","",IF(AB49=0,"-",(Y49+AA49)/AB49))</f>
        <v/>
      </c>
    </row>
  </sheetData>
  <mergeCells count="14">
    <mergeCell ref="A1:AC1"/>
    <mergeCell ref="A2:AC2"/>
    <mergeCell ref="A3:AC3"/>
    <mergeCell ref="A4:B4"/>
    <mergeCell ref="D4:L4"/>
    <mergeCell ref="N4:V4"/>
    <mergeCell ref="A5:B5"/>
    <mergeCell ref="D5:L5"/>
    <mergeCell ref="N5:V5"/>
    <mergeCell ref="A6:B6"/>
    <mergeCell ref="D6:L6"/>
    <mergeCell ref="N6:V6"/>
    <mergeCell ref="A7:B7"/>
    <mergeCell ref="D7:L7"/>
  </mergeCells>
  <conditionalFormatting sqref="E10:X49">
    <cfRule type="expression" priority="2" aboveAverage="0" equalAverage="0" bottom="0" percent="0" rank="0" text="" dxfId="9">
      <formula>E10="P"</formula>
    </cfRule>
    <cfRule type="expression" priority="3" aboveAverage="0" equalAverage="0" bottom="0" percent="0" rank="0" text="" dxfId="10">
      <formula>E10="A"</formula>
    </cfRule>
    <cfRule type="expression" priority="4" aboveAverage="0" equalAverage="0" bottom="0" percent="0" rank="0" text="" dxfId="11">
      <formula>E10="L"</formula>
    </cfRule>
  </conditionalFormatting>
  <conditionalFormatting sqref="AC10:AC49">
    <cfRule type="expression" priority="5" aboveAverage="0" equalAverage="0" bottom="0" percent="0" rank="0" text="" dxfId="12">
      <formula>AND(ISNUMBER($AC10),$AC10&lt;0.85)</formula>
    </cfRule>
    <cfRule type="expression" priority="6" aboveAverage="0" equalAverage="0" bottom="0" percent="0" rank="0" text="" dxfId="13">
      <formula>AND(ISNUMBER($AC10),$AC10&gt;=0.95)</formula>
    </cfRule>
  </conditionalFormatting>
  <conditionalFormatting sqref="A10:C49">
    <cfRule type="expression" priority="7" aboveAverage="0" equalAverage="0" bottom="0" percent="0" rank="0" text="" dxfId="14">
      <formula>AND(MOD(ROW(),2)=0,$B10&lt;&gt;"")</formula>
    </cfRule>
  </conditionalFormatting>
  <dataValidations count="4">
    <dataValidation allowBlank="true" errorStyle="stop" operator="between" showDropDown="false" showErrorMessage="false" showInputMessage="false" sqref="C4" type="list">
      <formula1>Schools!$A$5:$A$304</formula1>
      <formula2>0</formula2>
    </dataValidation>
    <dataValidation allowBlank="true" errorStyle="stop" operator="between" showDropDown="false" showErrorMessage="false" showInputMessage="false" sqref="C5" type="list">
      <formula1>Settings!$B$11:$B$30</formula1>
      <formula2>0</formula2>
    </dataValidation>
    <dataValidation allowBlank="true" errorStyle="stop" operator="between" showDropDown="false" showErrorMessage="false" showInputMessage="false" sqref="C6" type="list">
      <formula1>Settings!$A$36:$A$39</formula1>
      <formula2>0</formula2>
    </dataValidation>
    <dataValidation allowBlank="true" error="Use P (present), A (absent) or L (late)." errorStyle="stop" errorTitle="Mark" operator="between" showDropDown="false" showErrorMessage="true" showInputMessage="false" sqref="D10:D49" type="list">
      <formula1>"P,A,L"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98B"/>
    <pageSetUpPr fitToPage="true"/>
  </sheetPr>
  <dimension ref="A1:R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8"/>
    <col collapsed="false" customWidth="true" hidden="false" outlineLevel="0" max="7" min="4" style="0" width="13"/>
    <col collapsed="false" customWidth="true" hidden="false" outlineLevel="0" max="8" min="8" style="0" width="11"/>
    <col collapsed="false" customWidth="true" hidden="false" outlineLevel="0" max="9" min="9" style="0" width="8"/>
    <col collapsed="false" customWidth="true" hidden="false" outlineLevel="0" max="10" min="10" style="0" width="14"/>
    <col collapsed="false" customWidth="true" hidden="false" outlineLevel="0" max="18" min="11" style="0" width="7"/>
  </cols>
  <sheetData>
    <row r="1" customFormat="false" ht="42" hidden="false" customHeight="true" outlineLevel="0" collapsed="false">
      <c r="A1" s="2" t="s">
        <v>177</v>
      </c>
      <c r="B1" s="2"/>
      <c r="C1" s="2"/>
      <c r="D1" s="2"/>
      <c r="E1" s="2"/>
      <c r="F1" s="2"/>
      <c r="G1" s="2"/>
      <c r="H1" s="2"/>
      <c r="I1" s="2"/>
      <c r="J1" s="2"/>
    </row>
    <row r="2" customFormat="false" ht="19.5" hidden="false" customHeight="true" outlineLevel="0" collapsed="false">
      <c r="A2" s="3" t="s">
        <v>178</v>
      </c>
      <c r="B2" s="3"/>
      <c r="C2" s="3"/>
      <c r="D2" s="3"/>
      <c r="E2" s="3"/>
      <c r="F2" s="3"/>
      <c r="G2" s="3"/>
      <c r="H2" s="3"/>
      <c r="I2" s="3"/>
      <c r="J2" s="3"/>
    </row>
    <row r="3" customFormat="false" ht="3.75" hidden="false" customHeight="true" outlineLevel="0" collapsed="false">
      <c r="A3" s="4"/>
      <c r="B3" s="4"/>
      <c r="C3" s="4"/>
      <c r="D3" s="4"/>
      <c r="E3" s="4"/>
      <c r="F3" s="4"/>
      <c r="G3" s="4"/>
      <c r="H3" s="4"/>
      <c r="I3" s="4"/>
      <c r="J3" s="4"/>
    </row>
    <row r="4" customFormat="false" ht="21.75" hidden="false" customHeight="true" outlineLevel="0" collapsed="false">
      <c r="A4" s="24" t="s">
        <v>142</v>
      </c>
      <c r="B4" s="24"/>
      <c r="C4" s="53" t="s">
        <v>143</v>
      </c>
      <c r="D4" s="54" t="str">
        <f aca="false">IF($C$4="","",IFERROR(INDEX(Schools!$B$5:$B$304,MATCH($C$4,Schools!$A$5:$A$304,0)),"School not found"))</f>
        <v>Example Primary School</v>
      </c>
      <c r="E4" s="54"/>
      <c r="F4" s="54"/>
      <c r="G4" s="54"/>
      <c r="H4" s="54"/>
      <c r="I4" s="54"/>
      <c r="J4" s="54"/>
      <c r="L4" s="44" t="s">
        <v>179</v>
      </c>
      <c r="M4" s="44"/>
      <c r="N4" s="44"/>
      <c r="O4" s="44"/>
      <c r="P4" s="44"/>
      <c r="Q4" s="44"/>
      <c r="R4" s="44"/>
    </row>
    <row r="5" customFormat="false" ht="21.75" hidden="false" customHeight="true" outlineLevel="0" collapsed="false">
      <c r="A5" s="24" t="s">
        <v>121</v>
      </c>
      <c r="B5" s="24"/>
      <c r="C5" s="53" t="s">
        <v>145</v>
      </c>
      <c r="D5" s="54" t="str">
        <f aca="false">IF($C$5="","",COUNTIFS(Students!$E$5:$E$304,$C$4,Students!$F$5:$F$304,$C$5,Students!$K$5:$K$304,"Active")&amp;" active students  |  "&amp;$C$6&amp;"  |  "&amp;Settings!$B$5)</f>
        <v>1 active students  |  Term 1  |  2026/2027</v>
      </c>
      <c r="E5" s="54"/>
      <c r="F5" s="54"/>
      <c r="G5" s="54"/>
      <c r="H5" s="54"/>
      <c r="I5" s="54"/>
      <c r="J5" s="54"/>
      <c r="L5" s="46" t="s">
        <v>144</v>
      </c>
      <c r="M5" s="46"/>
      <c r="N5" s="46"/>
      <c r="O5" s="46"/>
      <c r="P5" s="46"/>
      <c r="Q5" s="46"/>
      <c r="R5" s="46"/>
    </row>
    <row r="6" customFormat="false" ht="21.75" hidden="false" customHeight="true" outlineLevel="0" collapsed="false">
      <c r="A6" s="24" t="s">
        <v>147</v>
      </c>
      <c r="B6" s="24"/>
      <c r="C6" s="53" t="s">
        <v>130</v>
      </c>
      <c r="D6" s="54" t="str">
        <f aca="false">IF(COUNT($H$10:$H$49)=0,"  No saved scores yet for this subject and term","  Class average "&amp;TEXT(AVERAGE($H$10:$H$49),"0.0")&amp;"  |  "&amp;COUNT($H$10:$H$49)&amp;" students scored")</f>
        <v>  Class average 77.7  |  1 students scored</v>
      </c>
      <c r="E6" s="54"/>
      <c r="F6" s="54"/>
      <c r="G6" s="54"/>
      <c r="H6" s="54"/>
      <c r="I6" s="54"/>
      <c r="J6" s="54"/>
      <c r="L6" s="47" t="s">
        <v>126</v>
      </c>
    </row>
    <row r="7" customFormat="false" ht="21.75" hidden="false" customHeight="true" outlineLevel="0" collapsed="false">
      <c r="A7" s="24" t="s">
        <v>180</v>
      </c>
      <c r="B7" s="24"/>
      <c r="C7" s="53" t="s">
        <v>181</v>
      </c>
      <c r="D7" s="54" t="str">
        <f aca="false">"  Final score = "&amp;TEXT(Settings!$B$8,"0%")&amp;" class work + "&amp;TEXT(1-Settings!$B$8,"0%")&amp;" exam"</f>
        <v>  Final score = 30% class work + 70% exam</v>
      </c>
      <c r="E7" s="54"/>
      <c r="F7" s="54"/>
      <c r="G7" s="54"/>
      <c r="H7" s="54"/>
      <c r="I7" s="54"/>
      <c r="J7" s="54"/>
    </row>
    <row r="8" customFormat="false" ht="13.5" hidden="false" customHeight="true" outlineLevel="0" collapsed="false"/>
    <row r="9" customFormat="false" ht="27.75" hidden="false" customHeight="true" outlineLevel="0" collapsed="false">
      <c r="A9" s="15" t="s">
        <v>149</v>
      </c>
      <c r="B9" s="15" t="s">
        <v>150</v>
      </c>
      <c r="C9" s="15" t="s">
        <v>151</v>
      </c>
      <c r="D9" s="15" t="s">
        <v>182</v>
      </c>
      <c r="E9" s="15" t="s">
        <v>183</v>
      </c>
      <c r="F9" s="15" t="s">
        <v>184</v>
      </c>
      <c r="G9" s="15" t="s">
        <v>185</v>
      </c>
      <c r="H9" s="15" t="s">
        <v>186</v>
      </c>
      <c r="I9" s="15" t="s">
        <v>133</v>
      </c>
      <c r="J9" s="15" t="s">
        <v>134</v>
      </c>
    </row>
    <row r="10" customFormat="false" ht="19.5" hidden="false" customHeight="true" outlineLevel="0" collapsed="false">
      <c r="A10" s="59" t="n">
        <f aca="false">IF($B10="","",1)</f>
        <v>1</v>
      </c>
      <c r="B10" s="59" t="str">
        <f aca="false">IFERROR(INDEX(Students!$A$5:$A$304,MATCH($C$4&amp;"|"&amp;$C$5&amp;"|"&amp;1,Students!$O$5:$O$304,0)),"")</f>
        <v>S0001</v>
      </c>
      <c r="C10" s="60" t="str">
        <f aca="false">IF($B10="","",INDEX(Students!$B$5:$B$304,MATCH($B10,Students!$A$5:$A$304,0)))</f>
        <v>Aminata Conteh</v>
      </c>
      <c r="D10" s="61"/>
      <c r="E10" s="61"/>
      <c r="F10" s="59" t="n">
        <f aca="false">IF($B10="","",IFERROR(AVERAGEIFS(Grades!$G$5:$G$304,Grades!$A$5:$A$304,$B10,Grades!$E$5:$E$304,$C$7,Grades!$F$5:$F$304,$C$6),""))</f>
        <v>70</v>
      </c>
      <c r="G10" s="59" t="n">
        <f aca="false">IF($B10="","",IFERROR(AVERAGEIFS(Grades!$H$5:$H$304,Grades!$A$5:$A$304,$B10,Grades!$E$5:$E$304,$C$7,Grades!$F$5:$F$304,$C$6),""))</f>
        <v>81</v>
      </c>
      <c r="H10" s="64" t="n">
        <f aca="false">IF($B10="","",IFERROR(AVERAGEIFS(Grades!$I$5:$I$304,Grades!$A$5:$A$304,$B10,Grades!$E$5:$E$304,$C$7,Grades!$F$5:$F$304,$C$6),""))</f>
        <v>77.7</v>
      </c>
      <c r="I10" s="65" t="str">
        <f aca="false">IF($H10="","",IF($H10&gt;=Settings!$E$11,Settings!$F$11,IF($H10&gt;=Settings!$E$12,Settings!$F$12,IF($H10&gt;=Settings!$E$13,Settings!$F$13,IF($H10&gt;=Settings!$E$14,Settings!$F$14,Settings!$F$15)))))</f>
        <v>B</v>
      </c>
      <c r="J10" s="59" t="str">
        <f aca="false">IF($H10="","",IF($H10&gt;=Settings!$E$11,Settings!$G$11,IF($H10&gt;=Settings!$E$12,Settings!$G$12,IF($H10&gt;=Settings!$E$13,Settings!$G$13,IF($H10&gt;=Settings!$E$14,Settings!$G$14,Settings!$G$15)))))</f>
        <v>Very Good</v>
      </c>
    </row>
    <row r="11" customFormat="false" ht="19.5" hidden="false" customHeight="true" outlineLevel="0" collapsed="false">
      <c r="A11" s="59" t="str">
        <f aca="false">IF($B11="","",2)</f>
        <v/>
      </c>
      <c r="B11" s="59" t="str">
        <f aca="false">IFERROR(INDEX(Students!$A$5:$A$304,MATCH($C$4&amp;"|"&amp;$C$5&amp;"|"&amp;2,Students!$O$5:$O$304,0)),"")</f>
        <v/>
      </c>
      <c r="C11" s="60" t="str">
        <f aca="false">IF($B11="","",INDEX(Students!$B$5:$B$304,MATCH($B11,Students!$A$5:$A$304,0)))</f>
        <v/>
      </c>
      <c r="D11" s="61"/>
      <c r="E11" s="61"/>
      <c r="F11" s="59" t="str">
        <f aca="false">IF($B11="","",IFERROR(AVERAGEIFS(Grades!$G$5:$G$304,Grades!$A$5:$A$304,$B11,Grades!$E$5:$E$304,$C$7,Grades!$F$5:$F$304,$C$6),""))</f>
        <v/>
      </c>
      <c r="G11" s="59" t="str">
        <f aca="false">IF($B11="","",IFERROR(AVERAGEIFS(Grades!$H$5:$H$304,Grades!$A$5:$A$304,$B11,Grades!$E$5:$E$304,$C$7,Grades!$F$5:$F$304,$C$6),""))</f>
        <v/>
      </c>
      <c r="H11" s="64" t="str">
        <f aca="false">IF($B11="","",IFERROR(AVERAGEIFS(Grades!$I$5:$I$304,Grades!$A$5:$A$304,$B11,Grades!$E$5:$E$304,$C$7,Grades!$F$5:$F$304,$C$6),""))</f>
        <v/>
      </c>
      <c r="I11" s="65" t="str">
        <f aca="false">IF($H11="","",IF($H11&gt;=Settings!$E$11,Settings!$F$11,IF($H11&gt;=Settings!$E$12,Settings!$F$12,IF($H11&gt;=Settings!$E$13,Settings!$F$13,IF($H11&gt;=Settings!$E$14,Settings!$F$14,Settings!$F$15)))))</f>
        <v/>
      </c>
      <c r="J11" s="59" t="str">
        <f aca="false">IF($H11="","",IF($H11&gt;=Settings!$E$11,Settings!$G$11,IF($H11&gt;=Settings!$E$12,Settings!$G$12,IF($H11&gt;=Settings!$E$13,Settings!$G$13,IF($H11&gt;=Settings!$E$14,Settings!$G$14,Settings!$G$15)))))</f>
        <v/>
      </c>
    </row>
    <row r="12" customFormat="false" ht="19.5" hidden="false" customHeight="true" outlineLevel="0" collapsed="false">
      <c r="A12" s="59" t="str">
        <f aca="false">IF($B12="","",3)</f>
        <v/>
      </c>
      <c r="B12" s="59" t="str">
        <f aca="false">IFERROR(INDEX(Students!$A$5:$A$304,MATCH($C$4&amp;"|"&amp;$C$5&amp;"|"&amp;3,Students!$O$5:$O$304,0)),"")</f>
        <v/>
      </c>
      <c r="C12" s="60" t="str">
        <f aca="false">IF($B12="","",INDEX(Students!$B$5:$B$304,MATCH($B12,Students!$A$5:$A$304,0)))</f>
        <v/>
      </c>
      <c r="D12" s="61"/>
      <c r="E12" s="61"/>
      <c r="F12" s="59" t="str">
        <f aca="false">IF($B12="","",IFERROR(AVERAGEIFS(Grades!$G$5:$G$304,Grades!$A$5:$A$304,$B12,Grades!$E$5:$E$304,$C$7,Grades!$F$5:$F$304,$C$6),""))</f>
        <v/>
      </c>
      <c r="G12" s="59" t="str">
        <f aca="false">IF($B12="","",IFERROR(AVERAGEIFS(Grades!$H$5:$H$304,Grades!$A$5:$A$304,$B12,Grades!$E$5:$E$304,$C$7,Grades!$F$5:$F$304,$C$6),""))</f>
        <v/>
      </c>
      <c r="H12" s="64" t="str">
        <f aca="false">IF($B12="","",IFERROR(AVERAGEIFS(Grades!$I$5:$I$304,Grades!$A$5:$A$304,$B12,Grades!$E$5:$E$304,$C$7,Grades!$F$5:$F$304,$C$6),""))</f>
        <v/>
      </c>
      <c r="I12" s="65" t="str">
        <f aca="false">IF($H12="","",IF($H12&gt;=Settings!$E$11,Settings!$F$11,IF($H12&gt;=Settings!$E$12,Settings!$F$12,IF($H12&gt;=Settings!$E$13,Settings!$F$13,IF($H12&gt;=Settings!$E$14,Settings!$F$14,Settings!$F$15)))))</f>
        <v/>
      </c>
      <c r="J12" s="59" t="str">
        <f aca="false">IF($H12="","",IF($H12&gt;=Settings!$E$11,Settings!$G$11,IF($H12&gt;=Settings!$E$12,Settings!$G$12,IF($H12&gt;=Settings!$E$13,Settings!$G$13,IF($H12&gt;=Settings!$E$14,Settings!$G$14,Settings!$G$15)))))</f>
        <v/>
      </c>
    </row>
    <row r="13" customFormat="false" ht="19.5" hidden="false" customHeight="true" outlineLevel="0" collapsed="false">
      <c r="A13" s="59" t="str">
        <f aca="false">IF($B13="","",4)</f>
        <v/>
      </c>
      <c r="B13" s="59" t="str">
        <f aca="false">IFERROR(INDEX(Students!$A$5:$A$304,MATCH($C$4&amp;"|"&amp;$C$5&amp;"|"&amp;4,Students!$O$5:$O$304,0)),"")</f>
        <v/>
      </c>
      <c r="C13" s="60" t="str">
        <f aca="false">IF($B13="","",INDEX(Students!$B$5:$B$304,MATCH($B13,Students!$A$5:$A$304,0)))</f>
        <v/>
      </c>
      <c r="D13" s="61"/>
      <c r="E13" s="61"/>
      <c r="F13" s="59" t="str">
        <f aca="false">IF($B13="","",IFERROR(AVERAGEIFS(Grades!$G$5:$G$304,Grades!$A$5:$A$304,$B13,Grades!$E$5:$E$304,$C$7,Grades!$F$5:$F$304,$C$6),""))</f>
        <v/>
      </c>
      <c r="G13" s="59" t="str">
        <f aca="false">IF($B13="","",IFERROR(AVERAGEIFS(Grades!$H$5:$H$304,Grades!$A$5:$A$304,$B13,Grades!$E$5:$E$304,$C$7,Grades!$F$5:$F$304,$C$6),""))</f>
        <v/>
      </c>
      <c r="H13" s="64" t="str">
        <f aca="false">IF($B13="","",IFERROR(AVERAGEIFS(Grades!$I$5:$I$304,Grades!$A$5:$A$304,$B13,Grades!$E$5:$E$304,$C$7,Grades!$F$5:$F$304,$C$6),""))</f>
        <v/>
      </c>
      <c r="I13" s="65" t="str">
        <f aca="false">IF($H13="","",IF($H13&gt;=Settings!$E$11,Settings!$F$11,IF($H13&gt;=Settings!$E$12,Settings!$F$12,IF($H13&gt;=Settings!$E$13,Settings!$F$13,IF($H13&gt;=Settings!$E$14,Settings!$F$14,Settings!$F$15)))))</f>
        <v/>
      </c>
      <c r="J13" s="59" t="str">
        <f aca="false">IF($H13="","",IF($H13&gt;=Settings!$E$11,Settings!$G$11,IF($H13&gt;=Settings!$E$12,Settings!$G$12,IF($H13&gt;=Settings!$E$13,Settings!$G$13,IF($H13&gt;=Settings!$E$14,Settings!$G$14,Settings!$G$15)))))</f>
        <v/>
      </c>
    </row>
    <row r="14" customFormat="false" ht="19.5" hidden="false" customHeight="true" outlineLevel="0" collapsed="false">
      <c r="A14" s="59" t="str">
        <f aca="false">IF($B14="","",5)</f>
        <v/>
      </c>
      <c r="B14" s="59" t="str">
        <f aca="false">IFERROR(INDEX(Students!$A$5:$A$304,MATCH($C$4&amp;"|"&amp;$C$5&amp;"|"&amp;5,Students!$O$5:$O$304,0)),"")</f>
        <v/>
      </c>
      <c r="C14" s="60" t="str">
        <f aca="false">IF($B14="","",INDEX(Students!$B$5:$B$304,MATCH($B14,Students!$A$5:$A$304,0)))</f>
        <v/>
      </c>
      <c r="D14" s="61"/>
      <c r="E14" s="61"/>
      <c r="F14" s="59" t="str">
        <f aca="false">IF($B14="","",IFERROR(AVERAGEIFS(Grades!$G$5:$G$304,Grades!$A$5:$A$304,$B14,Grades!$E$5:$E$304,$C$7,Grades!$F$5:$F$304,$C$6),""))</f>
        <v/>
      </c>
      <c r="G14" s="59" t="str">
        <f aca="false">IF($B14="","",IFERROR(AVERAGEIFS(Grades!$H$5:$H$304,Grades!$A$5:$A$304,$B14,Grades!$E$5:$E$304,$C$7,Grades!$F$5:$F$304,$C$6),""))</f>
        <v/>
      </c>
      <c r="H14" s="64" t="str">
        <f aca="false">IF($B14="","",IFERROR(AVERAGEIFS(Grades!$I$5:$I$304,Grades!$A$5:$A$304,$B14,Grades!$E$5:$E$304,$C$7,Grades!$F$5:$F$304,$C$6),""))</f>
        <v/>
      </c>
      <c r="I14" s="65" t="str">
        <f aca="false">IF($H14="","",IF($H14&gt;=Settings!$E$11,Settings!$F$11,IF($H14&gt;=Settings!$E$12,Settings!$F$12,IF($H14&gt;=Settings!$E$13,Settings!$F$13,IF($H14&gt;=Settings!$E$14,Settings!$F$14,Settings!$F$15)))))</f>
        <v/>
      </c>
      <c r="J14" s="59" t="str">
        <f aca="false">IF($H14="","",IF($H14&gt;=Settings!$E$11,Settings!$G$11,IF($H14&gt;=Settings!$E$12,Settings!$G$12,IF($H14&gt;=Settings!$E$13,Settings!$G$13,IF($H14&gt;=Settings!$E$14,Settings!$G$14,Settings!$G$15)))))</f>
        <v/>
      </c>
    </row>
    <row r="15" customFormat="false" ht="19.5" hidden="false" customHeight="true" outlineLevel="0" collapsed="false">
      <c r="A15" s="59" t="str">
        <f aca="false">IF($B15="","",6)</f>
        <v/>
      </c>
      <c r="B15" s="59" t="str">
        <f aca="false">IFERROR(INDEX(Students!$A$5:$A$304,MATCH($C$4&amp;"|"&amp;$C$5&amp;"|"&amp;6,Students!$O$5:$O$304,0)),"")</f>
        <v/>
      </c>
      <c r="C15" s="60" t="str">
        <f aca="false">IF($B15="","",INDEX(Students!$B$5:$B$304,MATCH($B15,Students!$A$5:$A$304,0)))</f>
        <v/>
      </c>
      <c r="D15" s="61"/>
      <c r="E15" s="61"/>
      <c r="F15" s="59" t="str">
        <f aca="false">IF($B15="","",IFERROR(AVERAGEIFS(Grades!$G$5:$G$304,Grades!$A$5:$A$304,$B15,Grades!$E$5:$E$304,$C$7,Grades!$F$5:$F$304,$C$6),""))</f>
        <v/>
      </c>
      <c r="G15" s="59" t="str">
        <f aca="false">IF($B15="","",IFERROR(AVERAGEIFS(Grades!$H$5:$H$304,Grades!$A$5:$A$304,$B15,Grades!$E$5:$E$304,$C$7,Grades!$F$5:$F$304,$C$6),""))</f>
        <v/>
      </c>
      <c r="H15" s="64" t="str">
        <f aca="false">IF($B15="","",IFERROR(AVERAGEIFS(Grades!$I$5:$I$304,Grades!$A$5:$A$304,$B15,Grades!$E$5:$E$304,$C$7,Grades!$F$5:$F$304,$C$6),""))</f>
        <v/>
      </c>
      <c r="I15" s="65" t="str">
        <f aca="false">IF($H15="","",IF($H15&gt;=Settings!$E$11,Settings!$F$11,IF($H15&gt;=Settings!$E$12,Settings!$F$12,IF($H15&gt;=Settings!$E$13,Settings!$F$13,IF($H15&gt;=Settings!$E$14,Settings!$F$14,Settings!$F$15)))))</f>
        <v/>
      </c>
      <c r="J15" s="59" t="str">
        <f aca="false">IF($H15="","",IF($H15&gt;=Settings!$E$11,Settings!$G$11,IF($H15&gt;=Settings!$E$12,Settings!$G$12,IF($H15&gt;=Settings!$E$13,Settings!$G$13,IF($H15&gt;=Settings!$E$14,Settings!$G$14,Settings!$G$15)))))</f>
        <v/>
      </c>
    </row>
    <row r="16" customFormat="false" ht="19.5" hidden="false" customHeight="true" outlineLevel="0" collapsed="false">
      <c r="A16" s="59" t="str">
        <f aca="false">IF($B16="","",7)</f>
        <v/>
      </c>
      <c r="B16" s="59" t="str">
        <f aca="false">IFERROR(INDEX(Students!$A$5:$A$304,MATCH($C$4&amp;"|"&amp;$C$5&amp;"|"&amp;7,Students!$O$5:$O$304,0)),"")</f>
        <v/>
      </c>
      <c r="C16" s="60" t="str">
        <f aca="false">IF($B16="","",INDEX(Students!$B$5:$B$304,MATCH($B16,Students!$A$5:$A$304,0)))</f>
        <v/>
      </c>
      <c r="D16" s="61"/>
      <c r="E16" s="61"/>
      <c r="F16" s="59" t="str">
        <f aca="false">IF($B16="","",IFERROR(AVERAGEIFS(Grades!$G$5:$G$304,Grades!$A$5:$A$304,$B16,Grades!$E$5:$E$304,$C$7,Grades!$F$5:$F$304,$C$6),""))</f>
        <v/>
      </c>
      <c r="G16" s="59" t="str">
        <f aca="false">IF($B16="","",IFERROR(AVERAGEIFS(Grades!$H$5:$H$304,Grades!$A$5:$A$304,$B16,Grades!$E$5:$E$304,$C$7,Grades!$F$5:$F$304,$C$6),""))</f>
        <v/>
      </c>
      <c r="H16" s="64" t="str">
        <f aca="false">IF($B16="","",IFERROR(AVERAGEIFS(Grades!$I$5:$I$304,Grades!$A$5:$A$304,$B16,Grades!$E$5:$E$304,$C$7,Grades!$F$5:$F$304,$C$6),""))</f>
        <v/>
      </c>
      <c r="I16" s="65" t="str">
        <f aca="false">IF($H16="","",IF($H16&gt;=Settings!$E$11,Settings!$F$11,IF($H16&gt;=Settings!$E$12,Settings!$F$12,IF($H16&gt;=Settings!$E$13,Settings!$F$13,IF($H16&gt;=Settings!$E$14,Settings!$F$14,Settings!$F$15)))))</f>
        <v/>
      </c>
      <c r="J16" s="59" t="str">
        <f aca="false">IF($H16="","",IF($H16&gt;=Settings!$E$11,Settings!$G$11,IF($H16&gt;=Settings!$E$12,Settings!$G$12,IF($H16&gt;=Settings!$E$13,Settings!$G$13,IF($H16&gt;=Settings!$E$14,Settings!$G$14,Settings!$G$15)))))</f>
        <v/>
      </c>
    </row>
    <row r="17" customFormat="false" ht="19.5" hidden="false" customHeight="true" outlineLevel="0" collapsed="false">
      <c r="A17" s="59" t="str">
        <f aca="false">IF($B17="","",8)</f>
        <v/>
      </c>
      <c r="B17" s="59" t="str">
        <f aca="false">IFERROR(INDEX(Students!$A$5:$A$304,MATCH($C$4&amp;"|"&amp;$C$5&amp;"|"&amp;8,Students!$O$5:$O$304,0)),"")</f>
        <v/>
      </c>
      <c r="C17" s="60" t="str">
        <f aca="false">IF($B17="","",INDEX(Students!$B$5:$B$304,MATCH($B17,Students!$A$5:$A$304,0)))</f>
        <v/>
      </c>
      <c r="D17" s="61"/>
      <c r="E17" s="61"/>
      <c r="F17" s="59" t="str">
        <f aca="false">IF($B17="","",IFERROR(AVERAGEIFS(Grades!$G$5:$G$304,Grades!$A$5:$A$304,$B17,Grades!$E$5:$E$304,$C$7,Grades!$F$5:$F$304,$C$6),""))</f>
        <v/>
      </c>
      <c r="G17" s="59" t="str">
        <f aca="false">IF($B17="","",IFERROR(AVERAGEIFS(Grades!$H$5:$H$304,Grades!$A$5:$A$304,$B17,Grades!$E$5:$E$304,$C$7,Grades!$F$5:$F$304,$C$6),""))</f>
        <v/>
      </c>
      <c r="H17" s="64" t="str">
        <f aca="false">IF($B17="","",IFERROR(AVERAGEIFS(Grades!$I$5:$I$304,Grades!$A$5:$A$304,$B17,Grades!$E$5:$E$304,$C$7,Grades!$F$5:$F$304,$C$6),""))</f>
        <v/>
      </c>
      <c r="I17" s="65" t="str">
        <f aca="false">IF($H17="","",IF($H17&gt;=Settings!$E$11,Settings!$F$11,IF($H17&gt;=Settings!$E$12,Settings!$F$12,IF($H17&gt;=Settings!$E$13,Settings!$F$13,IF($H17&gt;=Settings!$E$14,Settings!$F$14,Settings!$F$15)))))</f>
        <v/>
      </c>
      <c r="J17" s="59" t="str">
        <f aca="false">IF($H17="","",IF($H17&gt;=Settings!$E$11,Settings!$G$11,IF($H17&gt;=Settings!$E$12,Settings!$G$12,IF($H17&gt;=Settings!$E$13,Settings!$G$13,IF($H17&gt;=Settings!$E$14,Settings!$G$14,Settings!$G$15)))))</f>
        <v/>
      </c>
    </row>
    <row r="18" customFormat="false" ht="19.5" hidden="false" customHeight="true" outlineLevel="0" collapsed="false">
      <c r="A18" s="59" t="str">
        <f aca="false">IF($B18="","",9)</f>
        <v/>
      </c>
      <c r="B18" s="59" t="str">
        <f aca="false">IFERROR(INDEX(Students!$A$5:$A$304,MATCH($C$4&amp;"|"&amp;$C$5&amp;"|"&amp;9,Students!$O$5:$O$304,0)),"")</f>
        <v/>
      </c>
      <c r="C18" s="60" t="str">
        <f aca="false">IF($B18="","",INDEX(Students!$B$5:$B$304,MATCH($B18,Students!$A$5:$A$304,0)))</f>
        <v/>
      </c>
      <c r="D18" s="61"/>
      <c r="E18" s="61"/>
      <c r="F18" s="59" t="str">
        <f aca="false">IF($B18="","",IFERROR(AVERAGEIFS(Grades!$G$5:$G$304,Grades!$A$5:$A$304,$B18,Grades!$E$5:$E$304,$C$7,Grades!$F$5:$F$304,$C$6),""))</f>
        <v/>
      </c>
      <c r="G18" s="59" t="str">
        <f aca="false">IF($B18="","",IFERROR(AVERAGEIFS(Grades!$H$5:$H$304,Grades!$A$5:$A$304,$B18,Grades!$E$5:$E$304,$C$7,Grades!$F$5:$F$304,$C$6),""))</f>
        <v/>
      </c>
      <c r="H18" s="64" t="str">
        <f aca="false">IF($B18="","",IFERROR(AVERAGEIFS(Grades!$I$5:$I$304,Grades!$A$5:$A$304,$B18,Grades!$E$5:$E$304,$C$7,Grades!$F$5:$F$304,$C$6),""))</f>
        <v/>
      </c>
      <c r="I18" s="65" t="str">
        <f aca="false">IF($H18="","",IF($H18&gt;=Settings!$E$11,Settings!$F$11,IF($H18&gt;=Settings!$E$12,Settings!$F$12,IF($H18&gt;=Settings!$E$13,Settings!$F$13,IF($H18&gt;=Settings!$E$14,Settings!$F$14,Settings!$F$15)))))</f>
        <v/>
      </c>
      <c r="J18" s="59" t="str">
        <f aca="false">IF($H18="","",IF($H18&gt;=Settings!$E$11,Settings!$G$11,IF($H18&gt;=Settings!$E$12,Settings!$G$12,IF($H18&gt;=Settings!$E$13,Settings!$G$13,IF($H18&gt;=Settings!$E$14,Settings!$G$14,Settings!$G$15)))))</f>
        <v/>
      </c>
    </row>
    <row r="19" customFormat="false" ht="19.5" hidden="false" customHeight="true" outlineLevel="0" collapsed="false">
      <c r="A19" s="59" t="str">
        <f aca="false">IF($B19="","",10)</f>
        <v/>
      </c>
      <c r="B19" s="59" t="str">
        <f aca="false">IFERROR(INDEX(Students!$A$5:$A$304,MATCH($C$4&amp;"|"&amp;$C$5&amp;"|"&amp;10,Students!$O$5:$O$304,0)),"")</f>
        <v/>
      </c>
      <c r="C19" s="60" t="str">
        <f aca="false">IF($B19="","",INDEX(Students!$B$5:$B$304,MATCH($B19,Students!$A$5:$A$304,0)))</f>
        <v/>
      </c>
      <c r="D19" s="61"/>
      <c r="E19" s="61"/>
      <c r="F19" s="59" t="str">
        <f aca="false">IF($B19="","",IFERROR(AVERAGEIFS(Grades!$G$5:$G$304,Grades!$A$5:$A$304,$B19,Grades!$E$5:$E$304,$C$7,Grades!$F$5:$F$304,$C$6),""))</f>
        <v/>
      </c>
      <c r="G19" s="59" t="str">
        <f aca="false">IF($B19="","",IFERROR(AVERAGEIFS(Grades!$H$5:$H$304,Grades!$A$5:$A$304,$B19,Grades!$E$5:$E$304,$C$7,Grades!$F$5:$F$304,$C$6),""))</f>
        <v/>
      </c>
      <c r="H19" s="64" t="str">
        <f aca="false">IF($B19="","",IFERROR(AVERAGEIFS(Grades!$I$5:$I$304,Grades!$A$5:$A$304,$B19,Grades!$E$5:$E$304,$C$7,Grades!$F$5:$F$304,$C$6),""))</f>
        <v/>
      </c>
      <c r="I19" s="65" t="str">
        <f aca="false">IF($H19="","",IF($H19&gt;=Settings!$E$11,Settings!$F$11,IF($H19&gt;=Settings!$E$12,Settings!$F$12,IF($H19&gt;=Settings!$E$13,Settings!$F$13,IF($H19&gt;=Settings!$E$14,Settings!$F$14,Settings!$F$15)))))</f>
        <v/>
      </c>
      <c r="J19" s="59" t="str">
        <f aca="false">IF($H19="","",IF($H19&gt;=Settings!$E$11,Settings!$G$11,IF($H19&gt;=Settings!$E$12,Settings!$G$12,IF($H19&gt;=Settings!$E$13,Settings!$G$13,IF($H19&gt;=Settings!$E$14,Settings!$G$14,Settings!$G$15)))))</f>
        <v/>
      </c>
    </row>
    <row r="20" customFormat="false" ht="19.5" hidden="false" customHeight="true" outlineLevel="0" collapsed="false">
      <c r="A20" s="59" t="str">
        <f aca="false">IF($B20="","",11)</f>
        <v/>
      </c>
      <c r="B20" s="59" t="str">
        <f aca="false">IFERROR(INDEX(Students!$A$5:$A$304,MATCH($C$4&amp;"|"&amp;$C$5&amp;"|"&amp;11,Students!$O$5:$O$304,0)),"")</f>
        <v/>
      </c>
      <c r="C20" s="60" t="str">
        <f aca="false">IF($B20="","",INDEX(Students!$B$5:$B$304,MATCH($B20,Students!$A$5:$A$304,0)))</f>
        <v/>
      </c>
      <c r="D20" s="61"/>
      <c r="E20" s="61"/>
      <c r="F20" s="59" t="str">
        <f aca="false">IF($B20="","",IFERROR(AVERAGEIFS(Grades!$G$5:$G$304,Grades!$A$5:$A$304,$B20,Grades!$E$5:$E$304,$C$7,Grades!$F$5:$F$304,$C$6),""))</f>
        <v/>
      </c>
      <c r="G20" s="59" t="str">
        <f aca="false">IF($B20="","",IFERROR(AVERAGEIFS(Grades!$H$5:$H$304,Grades!$A$5:$A$304,$B20,Grades!$E$5:$E$304,$C$7,Grades!$F$5:$F$304,$C$6),""))</f>
        <v/>
      </c>
      <c r="H20" s="64" t="str">
        <f aca="false">IF($B20="","",IFERROR(AVERAGEIFS(Grades!$I$5:$I$304,Grades!$A$5:$A$304,$B20,Grades!$E$5:$E$304,$C$7,Grades!$F$5:$F$304,$C$6),""))</f>
        <v/>
      </c>
      <c r="I20" s="65" t="str">
        <f aca="false">IF($H20="","",IF($H20&gt;=Settings!$E$11,Settings!$F$11,IF($H20&gt;=Settings!$E$12,Settings!$F$12,IF($H20&gt;=Settings!$E$13,Settings!$F$13,IF($H20&gt;=Settings!$E$14,Settings!$F$14,Settings!$F$15)))))</f>
        <v/>
      </c>
      <c r="J20" s="59" t="str">
        <f aca="false">IF($H20="","",IF($H20&gt;=Settings!$E$11,Settings!$G$11,IF($H20&gt;=Settings!$E$12,Settings!$G$12,IF($H20&gt;=Settings!$E$13,Settings!$G$13,IF($H20&gt;=Settings!$E$14,Settings!$G$14,Settings!$G$15)))))</f>
        <v/>
      </c>
    </row>
    <row r="21" customFormat="false" ht="19.5" hidden="false" customHeight="true" outlineLevel="0" collapsed="false">
      <c r="A21" s="59" t="str">
        <f aca="false">IF($B21="","",12)</f>
        <v/>
      </c>
      <c r="B21" s="59" t="str">
        <f aca="false">IFERROR(INDEX(Students!$A$5:$A$304,MATCH($C$4&amp;"|"&amp;$C$5&amp;"|"&amp;12,Students!$O$5:$O$304,0)),"")</f>
        <v/>
      </c>
      <c r="C21" s="60" t="str">
        <f aca="false">IF($B21="","",INDEX(Students!$B$5:$B$304,MATCH($B21,Students!$A$5:$A$304,0)))</f>
        <v/>
      </c>
      <c r="D21" s="61"/>
      <c r="E21" s="61"/>
      <c r="F21" s="59" t="str">
        <f aca="false">IF($B21="","",IFERROR(AVERAGEIFS(Grades!$G$5:$G$304,Grades!$A$5:$A$304,$B21,Grades!$E$5:$E$304,$C$7,Grades!$F$5:$F$304,$C$6),""))</f>
        <v/>
      </c>
      <c r="G21" s="59" t="str">
        <f aca="false">IF($B21="","",IFERROR(AVERAGEIFS(Grades!$H$5:$H$304,Grades!$A$5:$A$304,$B21,Grades!$E$5:$E$304,$C$7,Grades!$F$5:$F$304,$C$6),""))</f>
        <v/>
      </c>
      <c r="H21" s="64" t="str">
        <f aca="false">IF($B21="","",IFERROR(AVERAGEIFS(Grades!$I$5:$I$304,Grades!$A$5:$A$304,$B21,Grades!$E$5:$E$304,$C$7,Grades!$F$5:$F$304,$C$6),""))</f>
        <v/>
      </c>
      <c r="I21" s="65" t="str">
        <f aca="false">IF($H21="","",IF($H21&gt;=Settings!$E$11,Settings!$F$11,IF($H21&gt;=Settings!$E$12,Settings!$F$12,IF($H21&gt;=Settings!$E$13,Settings!$F$13,IF($H21&gt;=Settings!$E$14,Settings!$F$14,Settings!$F$15)))))</f>
        <v/>
      </c>
      <c r="J21" s="59" t="str">
        <f aca="false">IF($H21="","",IF($H21&gt;=Settings!$E$11,Settings!$G$11,IF($H21&gt;=Settings!$E$12,Settings!$G$12,IF($H21&gt;=Settings!$E$13,Settings!$G$13,IF($H21&gt;=Settings!$E$14,Settings!$G$14,Settings!$G$15)))))</f>
        <v/>
      </c>
    </row>
    <row r="22" customFormat="false" ht="19.5" hidden="false" customHeight="true" outlineLevel="0" collapsed="false">
      <c r="A22" s="59" t="str">
        <f aca="false">IF($B22="","",13)</f>
        <v/>
      </c>
      <c r="B22" s="59" t="str">
        <f aca="false">IFERROR(INDEX(Students!$A$5:$A$304,MATCH($C$4&amp;"|"&amp;$C$5&amp;"|"&amp;13,Students!$O$5:$O$304,0)),"")</f>
        <v/>
      </c>
      <c r="C22" s="60" t="str">
        <f aca="false">IF($B22="","",INDEX(Students!$B$5:$B$304,MATCH($B22,Students!$A$5:$A$304,0)))</f>
        <v/>
      </c>
      <c r="D22" s="61"/>
      <c r="E22" s="61"/>
      <c r="F22" s="59" t="str">
        <f aca="false">IF($B22="","",IFERROR(AVERAGEIFS(Grades!$G$5:$G$304,Grades!$A$5:$A$304,$B22,Grades!$E$5:$E$304,$C$7,Grades!$F$5:$F$304,$C$6),""))</f>
        <v/>
      </c>
      <c r="G22" s="59" t="str">
        <f aca="false">IF($B22="","",IFERROR(AVERAGEIFS(Grades!$H$5:$H$304,Grades!$A$5:$A$304,$B22,Grades!$E$5:$E$304,$C$7,Grades!$F$5:$F$304,$C$6),""))</f>
        <v/>
      </c>
      <c r="H22" s="64" t="str">
        <f aca="false">IF($B22="","",IFERROR(AVERAGEIFS(Grades!$I$5:$I$304,Grades!$A$5:$A$304,$B22,Grades!$E$5:$E$304,$C$7,Grades!$F$5:$F$304,$C$6),""))</f>
        <v/>
      </c>
      <c r="I22" s="65" t="str">
        <f aca="false">IF($H22="","",IF($H22&gt;=Settings!$E$11,Settings!$F$11,IF($H22&gt;=Settings!$E$12,Settings!$F$12,IF($H22&gt;=Settings!$E$13,Settings!$F$13,IF($H22&gt;=Settings!$E$14,Settings!$F$14,Settings!$F$15)))))</f>
        <v/>
      </c>
      <c r="J22" s="59" t="str">
        <f aca="false">IF($H22="","",IF($H22&gt;=Settings!$E$11,Settings!$G$11,IF($H22&gt;=Settings!$E$12,Settings!$G$12,IF($H22&gt;=Settings!$E$13,Settings!$G$13,IF($H22&gt;=Settings!$E$14,Settings!$G$14,Settings!$G$15)))))</f>
        <v/>
      </c>
    </row>
    <row r="23" customFormat="false" ht="19.5" hidden="false" customHeight="true" outlineLevel="0" collapsed="false">
      <c r="A23" s="59" t="str">
        <f aca="false">IF($B23="","",14)</f>
        <v/>
      </c>
      <c r="B23" s="59" t="str">
        <f aca="false">IFERROR(INDEX(Students!$A$5:$A$304,MATCH($C$4&amp;"|"&amp;$C$5&amp;"|"&amp;14,Students!$O$5:$O$304,0)),"")</f>
        <v/>
      </c>
      <c r="C23" s="60" t="str">
        <f aca="false">IF($B23="","",INDEX(Students!$B$5:$B$304,MATCH($B23,Students!$A$5:$A$304,0)))</f>
        <v/>
      </c>
      <c r="D23" s="61"/>
      <c r="E23" s="61"/>
      <c r="F23" s="59" t="str">
        <f aca="false">IF($B23="","",IFERROR(AVERAGEIFS(Grades!$G$5:$G$304,Grades!$A$5:$A$304,$B23,Grades!$E$5:$E$304,$C$7,Grades!$F$5:$F$304,$C$6),""))</f>
        <v/>
      </c>
      <c r="G23" s="59" t="str">
        <f aca="false">IF($B23="","",IFERROR(AVERAGEIFS(Grades!$H$5:$H$304,Grades!$A$5:$A$304,$B23,Grades!$E$5:$E$304,$C$7,Grades!$F$5:$F$304,$C$6),""))</f>
        <v/>
      </c>
      <c r="H23" s="64" t="str">
        <f aca="false">IF($B23="","",IFERROR(AVERAGEIFS(Grades!$I$5:$I$304,Grades!$A$5:$A$304,$B23,Grades!$E$5:$E$304,$C$7,Grades!$F$5:$F$304,$C$6),""))</f>
        <v/>
      </c>
      <c r="I23" s="65" t="str">
        <f aca="false">IF($H23="","",IF($H23&gt;=Settings!$E$11,Settings!$F$11,IF($H23&gt;=Settings!$E$12,Settings!$F$12,IF($H23&gt;=Settings!$E$13,Settings!$F$13,IF($H23&gt;=Settings!$E$14,Settings!$F$14,Settings!$F$15)))))</f>
        <v/>
      </c>
      <c r="J23" s="59" t="str">
        <f aca="false">IF($H23="","",IF($H23&gt;=Settings!$E$11,Settings!$G$11,IF($H23&gt;=Settings!$E$12,Settings!$G$12,IF($H23&gt;=Settings!$E$13,Settings!$G$13,IF($H23&gt;=Settings!$E$14,Settings!$G$14,Settings!$G$15)))))</f>
        <v/>
      </c>
    </row>
    <row r="24" customFormat="false" ht="19.5" hidden="false" customHeight="true" outlineLevel="0" collapsed="false">
      <c r="A24" s="59" t="str">
        <f aca="false">IF($B24="","",15)</f>
        <v/>
      </c>
      <c r="B24" s="59" t="str">
        <f aca="false">IFERROR(INDEX(Students!$A$5:$A$304,MATCH($C$4&amp;"|"&amp;$C$5&amp;"|"&amp;15,Students!$O$5:$O$304,0)),"")</f>
        <v/>
      </c>
      <c r="C24" s="60" t="str">
        <f aca="false">IF($B24="","",INDEX(Students!$B$5:$B$304,MATCH($B24,Students!$A$5:$A$304,0)))</f>
        <v/>
      </c>
      <c r="D24" s="61"/>
      <c r="E24" s="61"/>
      <c r="F24" s="59" t="str">
        <f aca="false">IF($B24="","",IFERROR(AVERAGEIFS(Grades!$G$5:$G$304,Grades!$A$5:$A$304,$B24,Grades!$E$5:$E$304,$C$7,Grades!$F$5:$F$304,$C$6),""))</f>
        <v/>
      </c>
      <c r="G24" s="59" t="str">
        <f aca="false">IF($B24="","",IFERROR(AVERAGEIFS(Grades!$H$5:$H$304,Grades!$A$5:$A$304,$B24,Grades!$E$5:$E$304,$C$7,Grades!$F$5:$F$304,$C$6),""))</f>
        <v/>
      </c>
      <c r="H24" s="64" t="str">
        <f aca="false">IF($B24="","",IFERROR(AVERAGEIFS(Grades!$I$5:$I$304,Grades!$A$5:$A$304,$B24,Grades!$E$5:$E$304,$C$7,Grades!$F$5:$F$304,$C$6),""))</f>
        <v/>
      </c>
      <c r="I24" s="65" t="str">
        <f aca="false">IF($H24="","",IF($H24&gt;=Settings!$E$11,Settings!$F$11,IF($H24&gt;=Settings!$E$12,Settings!$F$12,IF($H24&gt;=Settings!$E$13,Settings!$F$13,IF($H24&gt;=Settings!$E$14,Settings!$F$14,Settings!$F$15)))))</f>
        <v/>
      </c>
      <c r="J24" s="59" t="str">
        <f aca="false">IF($H24="","",IF($H24&gt;=Settings!$E$11,Settings!$G$11,IF($H24&gt;=Settings!$E$12,Settings!$G$12,IF($H24&gt;=Settings!$E$13,Settings!$G$13,IF($H24&gt;=Settings!$E$14,Settings!$G$14,Settings!$G$15)))))</f>
        <v/>
      </c>
    </row>
    <row r="25" customFormat="false" ht="19.5" hidden="false" customHeight="true" outlineLevel="0" collapsed="false">
      <c r="A25" s="59" t="str">
        <f aca="false">IF($B25="","",16)</f>
        <v/>
      </c>
      <c r="B25" s="59" t="str">
        <f aca="false">IFERROR(INDEX(Students!$A$5:$A$304,MATCH($C$4&amp;"|"&amp;$C$5&amp;"|"&amp;16,Students!$O$5:$O$304,0)),"")</f>
        <v/>
      </c>
      <c r="C25" s="60" t="str">
        <f aca="false">IF($B25="","",INDEX(Students!$B$5:$B$304,MATCH($B25,Students!$A$5:$A$304,0)))</f>
        <v/>
      </c>
      <c r="D25" s="61"/>
      <c r="E25" s="61"/>
      <c r="F25" s="59" t="str">
        <f aca="false">IF($B25="","",IFERROR(AVERAGEIFS(Grades!$G$5:$G$304,Grades!$A$5:$A$304,$B25,Grades!$E$5:$E$304,$C$7,Grades!$F$5:$F$304,$C$6),""))</f>
        <v/>
      </c>
      <c r="G25" s="59" t="str">
        <f aca="false">IF($B25="","",IFERROR(AVERAGEIFS(Grades!$H$5:$H$304,Grades!$A$5:$A$304,$B25,Grades!$E$5:$E$304,$C$7,Grades!$F$5:$F$304,$C$6),""))</f>
        <v/>
      </c>
      <c r="H25" s="64" t="str">
        <f aca="false">IF($B25="","",IFERROR(AVERAGEIFS(Grades!$I$5:$I$304,Grades!$A$5:$A$304,$B25,Grades!$E$5:$E$304,$C$7,Grades!$F$5:$F$304,$C$6),""))</f>
        <v/>
      </c>
      <c r="I25" s="65" t="str">
        <f aca="false">IF($H25="","",IF($H25&gt;=Settings!$E$11,Settings!$F$11,IF($H25&gt;=Settings!$E$12,Settings!$F$12,IF($H25&gt;=Settings!$E$13,Settings!$F$13,IF($H25&gt;=Settings!$E$14,Settings!$F$14,Settings!$F$15)))))</f>
        <v/>
      </c>
      <c r="J25" s="59" t="str">
        <f aca="false">IF($H25="","",IF($H25&gt;=Settings!$E$11,Settings!$G$11,IF($H25&gt;=Settings!$E$12,Settings!$G$12,IF($H25&gt;=Settings!$E$13,Settings!$G$13,IF($H25&gt;=Settings!$E$14,Settings!$G$14,Settings!$G$15)))))</f>
        <v/>
      </c>
    </row>
    <row r="26" customFormat="false" ht="19.5" hidden="false" customHeight="true" outlineLevel="0" collapsed="false">
      <c r="A26" s="59" t="str">
        <f aca="false">IF($B26="","",17)</f>
        <v/>
      </c>
      <c r="B26" s="59" t="str">
        <f aca="false">IFERROR(INDEX(Students!$A$5:$A$304,MATCH($C$4&amp;"|"&amp;$C$5&amp;"|"&amp;17,Students!$O$5:$O$304,0)),"")</f>
        <v/>
      </c>
      <c r="C26" s="60" t="str">
        <f aca="false">IF($B26="","",INDEX(Students!$B$5:$B$304,MATCH($B26,Students!$A$5:$A$304,0)))</f>
        <v/>
      </c>
      <c r="D26" s="61"/>
      <c r="E26" s="61"/>
      <c r="F26" s="59" t="str">
        <f aca="false">IF($B26="","",IFERROR(AVERAGEIFS(Grades!$G$5:$G$304,Grades!$A$5:$A$304,$B26,Grades!$E$5:$E$304,$C$7,Grades!$F$5:$F$304,$C$6),""))</f>
        <v/>
      </c>
      <c r="G26" s="59" t="str">
        <f aca="false">IF($B26="","",IFERROR(AVERAGEIFS(Grades!$H$5:$H$304,Grades!$A$5:$A$304,$B26,Grades!$E$5:$E$304,$C$7,Grades!$F$5:$F$304,$C$6),""))</f>
        <v/>
      </c>
      <c r="H26" s="64" t="str">
        <f aca="false">IF($B26="","",IFERROR(AVERAGEIFS(Grades!$I$5:$I$304,Grades!$A$5:$A$304,$B26,Grades!$E$5:$E$304,$C$7,Grades!$F$5:$F$304,$C$6),""))</f>
        <v/>
      </c>
      <c r="I26" s="65" t="str">
        <f aca="false">IF($H26="","",IF($H26&gt;=Settings!$E$11,Settings!$F$11,IF($H26&gt;=Settings!$E$12,Settings!$F$12,IF($H26&gt;=Settings!$E$13,Settings!$F$13,IF($H26&gt;=Settings!$E$14,Settings!$F$14,Settings!$F$15)))))</f>
        <v/>
      </c>
      <c r="J26" s="59" t="str">
        <f aca="false">IF($H26="","",IF($H26&gt;=Settings!$E$11,Settings!$G$11,IF($H26&gt;=Settings!$E$12,Settings!$G$12,IF($H26&gt;=Settings!$E$13,Settings!$G$13,IF($H26&gt;=Settings!$E$14,Settings!$G$14,Settings!$G$15)))))</f>
        <v/>
      </c>
    </row>
    <row r="27" customFormat="false" ht="19.5" hidden="false" customHeight="true" outlineLevel="0" collapsed="false">
      <c r="A27" s="59" t="str">
        <f aca="false">IF($B27="","",18)</f>
        <v/>
      </c>
      <c r="B27" s="59" t="str">
        <f aca="false">IFERROR(INDEX(Students!$A$5:$A$304,MATCH($C$4&amp;"|"&amp;$C$5&amp;"|"&amp;18,Students!$O$5:$O$304,0)),"")</f>
        <v/>
      </c>
      <c r="C27" s="60" t="str">
        <f aca="false">IF($B27="","",INDEX(Students!$B$5:$B$304,MATCH($B27,Students!$A$5:$A$304,0)))</f>
        <v/>
      </c>
      <c r="D27" s="61"/>
      <c r="E27" s="61"/>
      <c r="F27" s="59" t="str">
        <f aca="false">IF($B27="","",IFERROR(AVERAGEIFS(Grades!$G$5:$G$304,Grades!$A$5:$A$304,$B27,Grades!$E$5:$E$304,$C$7,Grades!$F$5:$F$304,$C$6),""))</f>
        <v/>
      </c>
      <c r="G27" s="59" t="str">
        <f aca="false">IF($B27="","",IFERROR(AVERAGEIFS(Grades!$H$5:$H$304,Grades!$A$5:$A$304,$B27,Grades!$E$5:$E$304,$C$7,Grades!$F$5:$F$304,$C$6),""))</f>
        <v/>
      </c>
      <c r="H27" s="64" t="str">
        <f aca="false">IF($B27="","",IFERROR(AVERAGEIFS(Grades!$I$5:$I$304,Grades!$A$5:$A$304,$B27,Grades!$E$5:$E$304,$C$7,Grades!$F$5:$F$304,$C$6),""))</f>
        <v/>
      </c>
      <c r="I27" s="65" t="str">
        <f aca="false">IF($H27="","",IF($H27&gt;=Settings!$E$11,Settings!$F$11,IF($H27&gt;=Settings!$E$12,Settings!$F$12,IF($H27&gt;=Settings!$E$13,Settings!$F$13,IF($H27&gt;=Settings!$E$14,Settings!$F$14,Settings!$F$15)))))</f>
        <v/>
      </c>
      <c r="J27" s="59" t="str">
        <f aca="false">IF($H27="","",IF($H27&gt;=Settings!$E$11,Settings!$G$11,IF($H27&gt;=Settings!$E$12,Settings!$G$12,IF($H27&gt;=Settings!$E$13,Settings!$G$13,IF($H27&gt;=Settings!$E$14,Settings!$G$14,Settings!$G$15)))))</f>
        <v/>
      </c>
    </row>
    <row r="28" customFormat="false" ht="19.5" hidden="false" customHeight="true" outlineLevel="0" collapsed="false">
      <c r="A28" s="59" t="str">
        <f aca="false">IF($B28="","",19)</f>
        <v/>
      </c>
      <c r="B28" s="59" t="str">
        <f aca="false">IFERROR(INDEX(Students!$A$5:$A$304,MATCH($C$4&amp;"|"&amp;$C$5&amp;"|"&amp;19,Students!$O$5:$O$304,0)),"")</f>
        <v/>
      </c>
      <c r="C28" s="60" t="str">
        <f aca="false">IF($B28="","",INDEX(Students!$B$5:$B$304,MATCH($B28,Students!$A$5:$A$304,0)))</f>
        <v/>
      </c>
      <c r="D28" s="61"/>
      <c r="E28" s="61"/>
      <c r="F28" s="59" t="str">
        <f aca="false">IF($B28="","",IFERROR(AVERAGEIFS(Grades!$G$5:$G$304,Grades!$A$5:$A$304,$B28,Grades!$E$5:$E$304,$C$7,Grades!$F$5:$F$304,$C$6),""))</f>
        <v/>
      </c>
      <c r="G28" s="59" t="str">
        <f aca="false">IF($B28="","",IFERROR(AVERAGEIFS(Grades!$H$5:$H$304,Grades!$A$5:$A$304,$B28,Grades!$E$5:$E$304,$C$7,Grades!$F$5:$F$304,$C$6),""))</f>
        <v/>
      </c>
      <c r="H28" s="64" t="str">
        <f aca="false">IF($B28="","",IFERROR(AVERAGEIFS(Grades!$I$5:$I$304,Grades!$A$5:$A$304,$B28,Grades!$E$5:$E$304,$C$7,Grades!$F$5:$F$304,$C$6),""))</f>
        <v/>
      </c>
      <c r="I28" s="65" t="str">
        <f aca="false">IF($H28="","",IF($H28&gt;=Settings!$E$11,Settings!$F$11,IF($H28&gt;=Settings!$E$12,Settings!$F$12,IF($H28&gt;=Settings!$E$13,Settings!$F$13,IF($H28&gt;=Settings!$E$14,Settings!$F$14,Settings!$F$15)))))</f>
        <v/>
      </c>
      <c r="J28" s="59" t="str">
        <f aca="false">IF($H28="","",IF($H28&gt;=Settings!$E$11,Settings!$G$11,IF($H28&gt;=Settings!$E$12,Settings!$G$12,IF($H28&gt;=Settings!$E$13,Settings!$G$13,IF($H28&gt;=Settings!$E$14,Settings!$G$14,Settings!$G$15)))))</f>
        <v/>
      </c>
    </row>
    <row r="29" customFormat="false" ht="19.5" hidden="false" customHeight="true" outlineLevel="0" collapsed="false">
      <c r="A29" s="59" t="str">
        <f aca="false">IF($B29="","",20)</f>
        <v/>
      </c>
      <c r="B29" s="59" t="str">
        <f aca="false">IFERROR(INDEX(Students!$A$5:$A$304,MATCH($C$4&amp;"|"&amp;$C$5&amp;"|"&amp;20,Students!$O$5:$O$304,0)),"")</f>
        <v/>
      </c>
      <c r="C29" s="60" t="str">
        <f aca="false">IF($B29="","",INDEX(Students!$B$5:$B$304,MATCH($B29,Students!$A$5:$A$304,0)))</f>
        <v/>
      </c>
      <c r="D29" s="61"/>
      <c r="E29" s="61"/>
      <c r="F29" s="59" t="str">
        <f aca="false">IF($B29="","",IFERROR(AVERAGEIFS(Grades!$G$5:$G$304,Grades!$A$5:$A$304,$B29,Grades!$E$5:$E$304,$C$7,Grades!$F$5:$F$304,$C$6),""))</f>
        <v/>
      </c>
      <c r="G29" s="59" t="str">
        <f aca="false">IF($B29="","",IFERROR(AVERAGEIFS(Grades!$H$5:$H$304,Grades!$A$5:$A$304,$B29,Grades!$E$5:$E$304,$C$7,Grades!$F$5:$F$304,$C$6),""))</f>
        <v/>
      </c>
      <c r="H29" s="64" t="str">
        <f aca="false">IF($B29="","",IFERROR(AVERAGEIFS(Grades!$I$5:$I$304,Grades!$A$5:$A$304,$B29,Grades!$E$5:$E$304,$C$7,Grades!$F$5:$F$304,$C$6),""))</f>
        <v/>
      </c>
      <c r="I29" s="65" t="str">
        <f aca="false">IF($H29="","",IF($H29&gt;=Settings!$E$11,Settings!$F$11,IF($H29&gt;=Settings!$E$12,Settings!$F$12,IF($H29&gt;=Settings!$E$13,Settings!$F$13,IF($H29&gt;=Settings!$E$14,Settings!$F$14,Settings!$F$15)))))</f>
        <v/>
      </c>
      <c r="J29" s="59" t="str">
        <f aca="false">IF($H29="","",IF($H29&gt;=Settings!$E$11,Settings!$G$11,IF($H29&gt;=Settings!$E$12,Settings!$G$12,IF($H29&gt;=Settings!$E$13,Settings!$G$13,IF($H29&gt;=Settings!$E$14,Settings!$G$14,Settings!$G$15)))))</f>
        <v/>
      </c>
    </row>
    <row r="30" customFormat="false" ht="19.5" hidden="false" customHeight="true" outlineLevel="0" collapsed="false">
      <c r="A30" s="59" t="str">
        <f aca="false">IF($B30="","",21)</f>
        <v/>
      </c>
      <c r="B30" s="59" t="str">
        <f aca="false">IFERROR(INDEX(Students!$A$5:$A$304,MATCH($C$4&amp;"|"&amp;$C$5&amp;"|"&amp;21,Students!$O$5:$O$304,0)),"")</f>
        <v/>
      </c>
      <c r="C30" s="60" t="str">
        <f aca="false">IF($B30="","",INDEX(Students!$B$5:$B$304,MATCH($B30,Students!$A$5:$A$304,0)))</f>
        <v/>
      </c>
      <c r="D30" s="61"/>
      <c r="E30" s="61"/>
      <c r="F30" s="59" t="str">
        <f aca="false">IF($B30="","",IFERROR(AVERAGEIFS(Grades!$G$5:$G$304,Grades!$A$5:$A$304,$B30,Grades!$E$5:$E$304,$C$7,Grades!$F$5:$F$304,$C$6),""))</f>
        <v/>
      </c>
      <c r="G30" s="59" t="str">
        <f aca="false">IF($B30="","",IFERROR(AVERAGEIFS(Grades!$H$5:$H$304,Grades!$A$5:$A$304,$B30,Grades!$E$5:$E$304,$C$7,Grades!$F$5:$F$304,$C$6),""))</f>
        <v/>
      </c>
      <c r="H30" s="64" t="str">
        <f aca="false">IF($B30="","",IFERROR(AVERAGEIFS(Grades!$I$5:$I$304,Grades!$A$5:$A$304,$B30,Grades!$E$5:$E$304,$C$7,Grades!$F$5:$F$304,$C$6),""))</f>
        <v/>
      </c>
      <c r="I30" s="65" t="str">
        <f aca="false">IF($H30="","",IF($H30&gt;=Settings!$E$11,Settings!$F$11,IF($H30&gt;=Settings!$E$12,Settings!$F$12,IF($H30&gt;=Settings!$E$13,Settings!$F$13,IF($H30&gt;=Settings!$E$14,Settings!$F$14,Settings!$F$15)))))</f>
        <v/>
      </c>
      <c r="J30" s="59" t="str">
        <f aca="false">IF($H30="","",IF($H30&gt;=Settings!$E$11,Settings!$G$11,IF($H30&gt;=Settings!$E$12,Settings!$G$12,IF($H30&gt;=Settings!$E$13,Settings!$G$13,IF($H30&gt;=Settings!$E$14,Settings!$G$14,Settings!$G$15)))))</f>
        <v/>
      </c>
    </row>
    <row r="31" customFormat="false" ht="19.5" hidden="false" customHeight="true" outlineLevel="0" collapsed="false">
      <c r="A31" s="59" t="str">
        <f aca="false">IF($B31="","",22)</f>
        <v/>
      </c>
      <c r="B31" s="59" t="str">
        <f aca="false">IFERROR(INDEX(Students!$A$5:$A$304,MATCH($C$4&amp;"|"&amp;$C$5&amp;"|"&amp;22,Students!$O$5:$O$304,0)),"")</f>
        <v/>
      </c>
      <c r="C31" s="60" t="str">
        <f aca="false">IF($B31="","",INDEX(Students!$B$5:$B$304,MATCH($B31,Students!$A$5:$A$304,0)))</f>
        <v/>
      </c>
      <c r="D31" s="61"/>
      <c r="E31" s="61"/>
      <c r="F31" s="59" t="str">
        <f aca="false">IF($B31="","",IFERROR(AVERAGEIFS(Grades!$G$5:$G$304,Grades!$A$5:$A$304,$B31,Grades!$E$5:$E$304,$C$7,Grades!$F$5:$F$304,$C$6),""))</f>
        <v/>
      </c>
      <c r="G31" s="59" t="str">
        <f aca="false">IF($B31="","",IFERROR(AVERAGEIFS(Grades!$H$5:$H$304,Grades!$A$5:$A$304,$B31,Grades!$E$5:$E$304,$C$7,Grades!$F$5:$F$304,$C$6),""))</f>
        <v/>
      </c>
      <c r="H31" s="64" t="str">
        <f aca="false">IF($B31="","",IFERROR(AVERAGEIFS(Grades!$I$5:$I$304,Grades!$A$5:$A$304,$B31,Grades!$E$5:$E$304,$C$7,Grades!$F$5:$F$304,$C$6),""))</f>
        <v/>
      </c>
      <c r="I31" s="65" t="str">
        <f aca="false">IF($H31="","",IF($H31&gt;=Settings!$E$11,Settings!$F$11,IF($H31&gt;=Settings!$E$12,Settings!$F$12,IF($H31&gt;=Settings!$E$13,Settings!$F$13,IF($H31&gt;=Settings!$E$14,Settings!$F$14,Settings!$F$15)))))</f>
        <v/>
      </c>
      <c r="J31" s="59" t="str">
        <f aca="false">IF($H31="","",IF($H31&gt;=Settings!$E$11,Settings!$G$11,IF($H31&gt;=Settings!$E$12,Settings!$G$12,IF($H31&gt;=Settings!$E$13,Settings!$G$13,IF($H31&gt;=Settings!$E$14,Settings!$G$14,Settings!$G$15)))))</f>
        <v/>
      </c>
    </row>
    <row r="32" customFormat="false" ht="19.5" hidden="false" customHeight="true" outlineLevel="0" collapsed="false">
      <c r="A32" s="59" t="str">
        <f aca="false">IF($B32="","",23)</f>
        <v/>
      </c>
      <c r="B32" s="59" t="str">
        <f aca="false">IFERROR(INDEX(Students!$A$5:$A$304,MATCH($C$4&amp;"|"&amp;$C$5&amp;"|"&amp;23,Students!$O$5:$O$304,0)),"")</f>
        <v/>
      </c>
      <c r="C32" s="60" t="str">
        <f aca="false">IF($B32="","",INDEX(Students!$B$5:$B$304,MATCH($B32,Students!$A$5:$A$304,0)))</f>
        <v/>
      </c>
      <c r="D32" s="61"/>
      <c r="E32" s="61"/>
      <c r="F32" s="59" t="str">
        <f aca="false">IF($B32="","",IFERROR(AVERAGEIFS(Grades!$G$5:$G$304,Grades!$A$5:$A$304,$B32,Grades!$E$5:$E$304,$C$7,Grades!$F$5:$F$304,$C$6),""))</f>
        <v/>
      </c>
      <c r="G32" s="59" t="str">
        <f aca="false">IF($B32="","",IFERROR(AVERAGEIFS(Grades!$H$5:$H$304,Grades!$A$5:$A$304,$B32,Grades!$E$5:$E$304,$C$7,Grades!$F$5:$F$304,$C$6),""))</f>
        <v/>
      </c>
      <c r="H32" s="64" t="str">
        <f aca="false">IF($B32="","",IFERROR(AVERAGEIFS(Grades!$I$5:$I$304,Grades!$A$5:$A$304,$B32,Grades!$E$5:$E$304,$C$7,Grades!$F$5:$F$304,$C$6),""))</f>
        <v/>
      </c>
      <c r="I32" s="65" t="str">
        <f aca="false">IF($H32="","",IF($H32&gt;=Settings!$E$11,Settings!$F$11,IF($H32&gt;=Settings!$E$12,Settings!$F$12,IF($H32&gt;=Settings!$E$13,Settings!$F$13,IF($H32&gt;=Settings!$E$14,Settings!$F$14,Settings!$F$15)))))</f>
        <v/>
      </c>
      <c r="J32" s="59" t="str">
        <f aca="false">IF($H32="","",IF($H32&gt;=Settings!$E$11,Settings!$G$11,IF($H32&gt;=Settings!$E$12,Settings!$G$12,IF($H32&gt;=Settings!$E$13,Settings!$G$13,IF($H32&gt;=Settings!$E$14,Settings!$G$14,Settings!$G$15)))))</f>
        <v/>
      </c>
    </row>
    <row r="33" customFormat="false" ht="19.5" hidden="false" customHeight="true" outlineLevel="0" collapsed="false">
      <c r="A33" s="59" t="str">
        <f aca="false">IF($B33="","",24)</f>
        <v/>
      </c>
      <c r="B33" s="59" t="str">
        <f aca="false">IFERROR(INDEX(Students!$A$5:$A$304,MATCH($C$4&amp;"|"&amp;$C$5&amp;"|"&amp;24,Students!$O$5:$O$304,0)),"")</f>
        <v/>
      </c>
      <c r="C33" s="60" t="str">
        <f aca="false">IF($B33="","",INDEX(Students!$B$5:$B$304,MATCH($B33,Students!$A$5:$A$304,0)))</f>
        <v/>
      </c>
      <c r="D33" s="61"/>
      <c r="E33" s="61"/>
      <c r="F33" s="59" t="str">
        <f aca="false">IF($B33="","",IFERROR(AVERAGEIFS(Grades!$G$5:$G$304,Grades!$A$5:$A$304,$B33,Grades!$E$5:$E$304,$C$7,Grades!$F$5:$F$304,$C$6),""))</f>
        <v/>
      </c>
      <c r="G33" s="59" t="str">
        <f aca="false">IF($B33="","",IFERROR(AVERAGEIFS(Grades!$H$5:$H$304,Grades!$A$5:$A$304,$B33,Grades!$E$5:$E$304,$C$7,Grades!$F$5:$F$304,$C$6),""))</f>
        <v/>
      </c>
      <c r="H33" s="64" t="str">
        <f aca="false">IF($B33="","",IFERROR(AVERAGEIFS(Grades!$I$5:$I$304,Grades!$A$5:$A$304,$B33,Grades!$E$5:$E$304,$C$7,Grades!$F$5:$F$304,$C$6),""))</f>
        <v/>
      </c>
      <c r="I33" s="65" t="str">
        <f aca="false">IF($H33="","",IF($H33&gt;=Settings!$E$11,Settings!$F$11,IF($H33&gt;=Settings!$E$12,Settings!$F$12,IF($H33&gt;=Settings!$E$13,Settings!$F$13,IF($H33&gt;=Settings!$E$14,Settings!$F$14,Settings!$F$15)))))</f>
        <v/>
      </c>
      <c r="J33" s="59" t="str">
        <f aca="false">IF($H33="","",IF($H33&gt;=Settings!$E$11,Settings!$G$11,IF($H33&gt;=Settings!$E$12,Settings!$G$12,IF($H33&gt;=Settings!$E$13,Settings!$G$13,IF($H33&gt;=Settings!$E$14,Settings!$G$14,Settings!$G$15)))))</f>
        <v/>
      </c>
    </row>
    <row r="34" customFormat="false" ht="19.5" hidden="false" customHeight="true" outlineLevel="0" collapsed="false">
      <c r="A34" s="59" t="str">
        <f aca="false">IF($B34="","",25)</f>
        <v/>
      </c>
      <c r="B34" s="59" t="str">
        <f aca="false">IFERROR(INDEX(Students!$A$5:$A$304,MATCH($C$4&amp;"|"&amp;$C$5&amp;"|"&amp;25,Students!$O$5:$O$304,0)),"")</f>
        <v/>
      </c>
      <c r="C34" s="60" t="str">
        <f aca="false">IF($B34="","",INDEX(Students!$B$5:$B$304,MATCH($B34,Students!$A$5:$A$304,0)))</f>
        <v/>
      </c>
      <c r="D34" s="61"/>
      <c r="E34" s="61"/>
      <c r="F34" s="59" t="str">
        <f aca="false">IF($B34="","",IFERROR(AVERAGEIFS(Grades!$G$5:$G$304,Grades!$A$5:$A$304,$B34,Grades!$E$5:$E$304,$C$7,Grades!$F$5:$F$304,$C$6),""))</f>
        <v/>
      </c>
      <c r="G34" s="59" t="str">
        <f aca="false">IF($B34="","",IFERROR(AVERAGEIFS(Grades!$H$5:$H$304,Grades!$A$5:$A$304,$B34,Grades!$E$5:$E$304,$C$7,Grades!$F$5:$F$304,$C$6),""))</f>
        <v/>
      </c>
      <c r="H34" s="64" t="str">
        <f aca="false">IF($B34="","",IFERROR(AVERAGEIFS(Grades!$I$5:$I$304,Grades!$A$5:$A$304,$B34,Grades!$E$5:$E$304,$C$7,Grades!$F$5:$F$304,$C$6),""))</f>
        <v/>
      </c>
      <c r="I34" s="65" t="str">
        <f aca="false">IF($H34="","",IF($H34&gt;=Settings!$E$11,Settings!$F$11,IF($H34&gt;=Settings!$E$12,Settings!$F$12,IF($H34&gt;=Settings!$E$13,Settings!$F$13,IF($H34&gt;=Settings!$E$14,Settings!$F$14,Settings!$F$15)))))</f>
        <v/>
      </c>
      <c r="J34" s="59" t="str">
        <f aca="false">IF($H34="","",IF($H34&gt;=Settings!$E$11,Settings!$G$11,IF($H34&gt;=Settings!$E$12,Settings!$G$12,IF($H34&gt;=Settings!$E$13,Settings!$G$13,IF($H34&gt;=Settings!$E$14,Settings!$G$14,Settings!$G$15)))))</f>
        <v/>
      </c>
    </row>
    <row r="35" customFormat="false" ht="19.5" hidden="false" customHeight="true" outlineLevel="0" collapsed="false">
      <c r="A35" s="59" t="str">
        <f aca="false">IF($B35="","",26)</f>
        <v/>
      </c>
      <c r="B35" s="59" t="str">
        <f aca="false">IFERROR(INDEX(Students!$A$5:$A$304,MATCH($C$4&amp;"|"&amp;$C$5&amp;"|"&amp;26,Students!$O$5:$O$304,0)),"")</f>
        <v/>
      </c>
      <c r="C35" s="60" t="str">
        <f aca="false">IF($B35="","",INDEX(Students!$B$5:$B$304,MATCH($B35,Students!$A$5:$A$304,0)))</f>
        <v/>
      </c>
      <c r="D35" s="61"/>
      <c r="E35" s="61"/>
      <c r="F35" s="59" t="str">
        <f aca="false">IF($B35="","",IFERROR(AVERAGEIFS(Grades!$G$5:$G$304,Grades!$A$5:$A$304,$B35,Grades!$E$5:$E$304,$C$7,Grades!$F$5:$F$304,$C$6),""))</f>
        <v/>
      </c>
      <c r="G35" s="59" t="str">
        <f aca="false">IF($B35="","",IFERROR(AVERAGEIFS(Grades!$H$5:$H$304,Grades!$A$5:$A$304,$B35,Grades!$E$5:$E$304,$C$7,Grades!$F$5:$F$304,$C$6),""))</f>
        <v/>
      </c>
      <c r="H35" s="64" t="str">
        <f aca="false">IF($B35="","",IFERROR(AVERAGEIFS(Grades!$I$5:$I$304,Grades!$A$5:$A$304,$B35,Grades!$E$5:$E$304,$C$7,Grades!$F$5:$F$304,$C$6),""))</f>
        <v/>
      </c>
      <c r="I35" s="65" t="str">
        <f aca="false">IF($H35="","",IF($H35&gt;=Settings!$E$11,Settings!$F$11,IF($H35&gt;=Settings!$E$12,Settings!$F$12,IF($H35&gt;=Settings!$E$13,Settings!$F$13,IF($H35&gt;=Settings!$E$14,Settings!$F$14,Settings!$F$15)))))</f>
        <v/>
      </c>
      <c r="J35" s="59" t="str">
        <f aca="false">IF($H35="","",IF($H35&gt;=Settings!$E$11,Settings!$G$11,IF($H35&gt;=Settings!$E$12,Settings!$G$12,IF($H35&gt;=Settings!$E$13,Settings!$G$13,IF($H35&gt;=Settings!$E$14,Settings!$G$14,Settings!$G$15)))))</f>
        <v/>
      </c>
    </row>
    <row r="36" customFormat="false" ht="19.5" hidden="false" customHeight="true" outlineLevel="0" collapsed="false">
      <c r="A36" s="59" t="str">
        <f aca="false">IF($B36="","",27)</f>
        <v/>
      </c>
      <c r="B36" s="59" t="str">
        <f aca="false">IFERROR(INDEX(Students!$A$5:$A$304,MATCH($C$4&amp;"|"&amp;$C$5&amp;"|"&amp;27,Students!$O$5:$O$304,0)),"")</f>
        <v/>
      </c>
      <c r="C36" s="60" t="str">
        <f aca="false">IF($B36="","",INDEX(Students!$B$5:$B$304,MATCH($B36,Students!$A$5:$A$304,0)))</f>
        <v/>
      </c>
      <c r="D36" s="61"/>
      <c r="E36" s="61"/>
      <c r="F36" s="59" t="str">
        <f aca="false">IF($B36="","",IFERROR(AVERAGEIFS(Grades!$G$5:$G$304,Grades!$A$5:$A$304,$B36,Grades!$E$5:$E$304,$C$7,Grades!$F$5:$F$304,$C$6),""))</f>
        <v/>
      </c>
      <c r="G36" s="59" t="str">
        <f aca="false">IF($B36="","",IFERROR(AVERAGEIFS(Grades!$H$5:$H$304,Grades!$A$5:$A$304,$B36,Grades!$E$5:$E$304,$C$7,Grades!$F$5:$F$304,$C$6),""))</f>
        <v/>
      </c>
      <c r="H36" s="64" t="str">
        <f aca="false">IF($B36="","",IFERROR(AVERAGEIFS(Grades!$I$5:$I$304,Grades!$A$5:$A$304,$B36,Grades!$E$5:$E$304,$C$7,Grades!$F$5:$F$304,$C$6),""))</f>
        <v/>
      </c>
      <c r="I36" s="65" t="str">
        <f aca="false">IF($H36="","",IF($H36&gt;=Settings!$E$11,Settings!$F$11,IF($H36&gt;=Settings!$E$12,Settings!$F$12,IF($H36&gt;=Settings!$E$13,Settings!$F$13,IF($H36&gt;=Settings!$E$14,Settings!$F$14,Settings!$F$15)))))</f>
        <v/>
      </c>
      <c r="J36" s="59" t="str">
        <f aca="false">IF($H36="","",IF($H36&gt;=Settings!$E$11,Settings!$G$11,IF($H36&gt;=Settings!$E$12,Settings!$G$12,IF($H36&gt;=Settings!$E$13,Settings!$G$13,IF($H36&gt;=Settings!$E$14,Settings!$G$14,Settings!$G$15)))))</f>
        <v/>
      </c>
    </row>
    <row r="37" customFormat="false" ht="19.5" hidden="false" customHeight="true" outlineLevel="0" collapsed="false">
      <c r="A37" s="59" t="str">
        <f aca="false">IF($B37="","",28)</f>
        <v/>
      </c>
      <c r="B37" s="59" t="str">
        <f aca="false">IFERROR(INDEX(Students!$A$5:$A$304,MATCH($C$4&amp;"|"&amp;$C$5&amp;"|"&amp;28,Students!$O$5:$O$304,0)),"")</f>
        <v/>
      </c>
      <c r="C37" s="60" t="str">
        <f aca="false">IF($B37="","",INDEX(Students!$B$5:$B$304,MATCH($B37,Students!$A$5:$A$304,0)))</f>
        <v/>
      </c>
      <c r="D37" s="61"/>
      <c r="E37" s="61"/>
      <c r="F37" s="59" t="str">
        <f aca="false">IF($B37="","",IFERROR(AVERAGEIFS(Grades!$G$5:$G$304,Grades!$A$5:$A$304,$B37,Grades!$E$5:$E$304,$C$7,Grades!$F$5:$F$304,$C$6),""))</f>
        <v/>
      </c>
      <c r="G37" s="59" t="str">
        <f aca="false">IF($B37="","",IFERROR(AVERAGEIFS(Grades!$H$5:$H$304,Grades!$A$5:$A$304,$B37,Grades!$E$5:$E$304,$C$7,Grades!$F$5:$F$304,$C$6),""))</f>
        <v/>
      </c>
      <c r="H37" s="64" t="str">
        <f aca="false">IF($B37="","",IFERROR(AVERAGEIFS(Grades!$I$5:$I$304,Grades!$A$5:$A$304,$B37,Grades!$E$5:$E$304,$C$7,Grades!$F$5:$F$304,$C$6),""))</f>
        <v/>
      </c>
      <c r="I37" s="65" t="str">
        <f aca="false">IF($H37="","",IF($H37&gt;=Settings!$E$11,Settings!$F$11,IF($H37&gt;=Settings!$E$12,Settings!$F$12,IF($H37&gt;=Settings!$E$13,Settings!$F$13,IF($H37&gt;=Settings!$E$14,Settings!$F$14,Settings!$F$15)))))</f>
        <v/>
      </c>
      <c r="J37" s="59" t="str">
        <f aca="false">IF($H37="","",IF($H37&gt;=Settings!$E$11,Settings!$G$11,IF($H37&gt;=Settings!$E$12,Settings!$G$12,IF($H37&gt;=Settings!$E$13,Settings!$G$13,IF($H37&gt;=Settings!$E$14,Settings!$G$14,Settings!$G$15)))))</f>
        <v/>
      </c>
    </row>
    <row r="38" customFormat="false" ht="19.5" hidden="false" customHeight="true" outlineLevel="0" collapsed="false">
      <c r="A38" s="59" t="str">
        <f aca="false">IF($B38="","",29)</f>
        <v/>
      </c>
      <c r="B38" s="59" t="str">
        <f aca="false">IFERROR(INDEX(Students!$A$5:$A$304,MATCH($C$4&amp;"|"&amp;$C$5&amp;"|"&amp;29,Students!$O$5:$O$304,0)),"")</f>
        <v/>
      </c>
      <c r="C38" s="60" t="str">
        <f aca="false">IF($B38="","",INDEX(Students!$B$5:$B$304,MATCH($B38,Students!$A$5:$A$304,0)))</f>
        <v/>
      </c>
      <c r="D38" s="61"/>
      <c r="E38" s="61"/>
      <c r="F38" s="59" t="str">
        <f aca="false">IF($B38="","",IFERROR(AVERAGEIFS(Grades!$G$5:$G$304,Grades!$A$5:$A$304,$B38,Grades!$E$5:$E$304,$C$7,Grades!$F$5:$F$304,$C$6),""))</f>
        <v/>
      </c>
      <c r="G38" s="59" t="str">
        <f aca="false">IF($B38="","",IFERROR(AVERAGEIFS(Grades!$H$5:$H$304,Grades!$A$5:$A$304,$B38,Grades!$E$5:$E$304,$C$7,Grades!$F$5:$F$304,$C$6),""))</f>
        <v/>
      </c>
      <c r="H38" s="64" t="str">
        <f aca="false">IF($B38="","",IFERROR(AVERAGEIFS(Grades!$I$5:$I$304,Grades!$A$5:$A$304,$B38,Grades!$E$5:$E$304,$C$7,Grades!$F$5:$F$304,$C$6),""))</f>
        <v/>
      </c>
      <c r="I38" s="65" t="str">
        <f aca="false">IF($H38="","",IF($H38&gt;=Settings!$E$11,Settings!$F$11,IF($H38&gt;=Settings!$E$12,Settings!$F$12,IF($H38&gt;=Settings!$E$13,Settings!$F$13,IF($H38&gt;=Settings!$E$14,Settings!$F$14,Settings!$F$15)))))</f>
        <v/>
      </c>
      <c r="J38" s="59" t="str">
        <f aca="false">IF($H38="","",IF($H38&gt;=Settings!$E$11,Settings!$G$11,IF($H38&gt;=Settings!$E$12,Settings!$G$12,IF($H38&gt;=Settings!$E$13,Settings!$G$13,IF($H38&gt;=Settings!$E$14,Settings!$G$14,Settings!$G$15)))))</f>
        <v/>
      </c>
    </row>
    <row r="39" customFormat="false" ht="19.5" hidden="false" customHeight="true" outlineLevel="0" collapsed="false">
      <c r="A39" s="59" t="str">
        <f aca="false">IF($B39="","",30)</f>
        <v/>
      </c>
      <c r="B39" s="59" t="str">
        <f aca="false">IFERROR(INDEX(Students!$A$5:$A$304,MATCH($C$4&amp;"|"&amp;$C$5&amp;"|"&amp;30,Students!$O$5:$O$304,0)),"")</f>
        <v/>
      </c>
      <c r="C39" s="60" t="str">
        <f aca="false">IF($B39="","",INDEX(Students!$B$5:$B$304,MATCH($B39,Students!$A$5:$A$304,0)))</f>
        <v/>
      </c>
      <c r="D39" s="61"/>
      <c r="E39" s="61"/>
      <c r="F39" s="59" t="str">
        <f aca="false">IF($B39="","",IFERROR(AVERAGEIFS(Grades!$G$5:$G$304,Grades!$A$5:$A$304,$B39,Grades!$E$5:$E$304,$C$7,Grades!$F$5:$F$304,$C$6),""))</f>
        <v/>
      </c>
      <c r="G39" s="59" t="str">
        <f aca="false">IF($B39="","",IFERROR(AVERAGEIFS(Grades!$H$5:$H$304,Grades!$A$5:$A$304,$B39,Grades!$E$5:$E$304,$C$7,Grades!$F$5:$F$304,$C$6),""))</f>
        <v/>
      </c>
      <c r="H39" s="64" t="str">
        <f aca="false">IF($B39="","",IFERROR(AVERAGEIFS(Grades!$I$5:$I$304,Grades!$A$5:$A$304,$B39,Grades!$E$5:$E$304,$C$7,Grades!$F$5:$F$304,$C$6),""))</f>
        <v/>
      </c>
      <c r="I39" s="65" t="str">
        <f aca="false">IF($H39="","",IF($H39&gt;=Settings!$E$11,Settings!$F$11,IF($H39&gt;=Settings!$E$12,Settings!$F$12,IF($H39&gt;=Settings!$E$13,Settings!$F$13,IF($H39&gt;=Settings!$E$14,Settings!$F$14,Settings!$F$15)))))</f>
        <v/>
      </c>
      <c r="J39" s="59" t="str">
        <f aca="false">IF($H39="","",IF($H39&gt;=Settings!$E$11,Settings!$G$11,IF($H39&gt;=Settings!$E$12,Settings!$G$12,IF($H39&gt;=Settings!$E$13,Settings!$G$13,IF($H39&gt;=Settings!$E$14,Settings!$G$14,Settings!$G$15)))))</f>
        <v/>
      </c>
    </row>
    <row r="40" customFormat="false" ht="19.5" hidden="false" customHeight="true" outlineLevel="0" collapsed="false">
      <c r="A40" s="59" t="str">
        <f aca="false">IF($B40="","",31)</f>
        <v/>
      </c>
      <c r="B40" s="59" t="str">
        <f aca="false">IFERROR(INDEX(Students!$A$5:$A$304,MATCH($C$4&amp;"|"&amp;$C$5&amp;"|"&amp;31,Students!$O$5:$O$304,0)),"")</f>
        <v/>
      </c>
      <c r="C40" s="60" t="str">
        <f aca="false">IF($B40="","",INDEX(Students!$B$5:$B$304,MATCH($B40,Students!$A$5:$A$304,0)))</f>
        <v/>
      </c>
      <c r="D40" s="61"/>
      <c r="E40" s="61"/>
      <c r="F40" s="59" t="str">
        <f aca="false">IF($B40="","",IFERROR(AVERAGEIFS(Grades!$G$5:$G$304,Grades!$A$5:$A$304,$B40,Grades!$E$5:$E$304,$C$7,Grades!$F$5:$F$304,$C$6),""))</f>
        <v/>
      </c>
      <c r="G40" s="59" t="str">
        <f aca="false">IF($B40="","",IFERROR(AVERAGEIFS(Grades!$H$5:$H$304,Grades!$A$5:$A$304,$B40,Grades!$E$5:$E$304,$C$7,Grades!$F$5:$F$304,$C$6),""))</f>
        <v/>
      </c>
      <c r="H40" s="64" t="str">
        <f aca="false">IF($B40="","",IFERROR(AVERAGEIFS(Grades!$I$5:$I$304,Grades!$A$5:$A$304,$B40,Grades!$E$5:$E$304,$C$7,Grades!$F$5:$F$304,$C$6),""))</f>
        <v/>
      </c>
      <c r="I40" s="65" t="str">
        <f aca="false">IF($H40="","",IF($H40&gt;=Settings!$E$11,Settings!$F$11,IF($H40&gt;=Settings!$E$12,Settings!$F$12,IF($H40&gt;=Settings!$E$13,Settings!$F$13,IF($H40&gt;=Settings!$E$14,Settings!$F$14,Settings!$F$15)))))</f>
        <v/>
      </c>
      <c r="J40" s="59" t="str">
        <f aca="false">IF($H40="","",IF($H40&gt;=Settings!$E$11,Settings!$G$11,IF($H40&gt;=Settings!$E$12,Settings!$G$12,IF($H40&gt;=Settings!$E$13,Settings!$G$13,IF($H40&gt;=Settings!$E$14,Settings!$G$14,Settings!$G$15)))))</f>
        <v/>
      </c>
    </row>
    <row r="41" customFormat="false" ht="19.5" hidden="false" customHeight="true" outlineLevel="0" collapsed="false">
      <c r="A41" s="59" t="str">
        <f aca="false">IF($B41="","",32)</f>
        <v/>
      </c>
      <c r="B41" s="59" t="str">
        <f aca="false">IFERROR(INDEX(Students!$A$5:$A$304,MATCH($C$4&amp;"|"&amp;$C$5&amp;"|"&amp;32,Students!$O$5:$O$304,0)),"")</f>
        <v/>
      </c>
      <c r="C41" s="60" t="str">
        <f aca="false">IF($B41="","",INDEX(Students!$B$5:$B$304,MATCH($B41,Students!$A$5:$A$304,0)))</f>
        <v/>
      </c>
      <c r="D41" s="61"/>
      <c r="E41" s="61"/>
      <c r="F41" s="59" t="str">
        <f aca="false">IF($B41="","",IFERROR(AVERAGEIFS(Grades!$G$5:$G$304,Grades!$A$5:$A$304,$B41,Grades!$E$5:$E$304,$C$7,Grades!$F$5:$F$304,$C$6),""))</f>
        <v/>
      </c>
      <c r="G41" s="59" t="str">
        <f aca="false">IF($B41="","",IFERROR(AVERAGEIFS(Grades!$H$5:$H$304,Grades!$A$5:$A$304,$B41,Grades!$E$5:$E$304,$C$7,Grades!$F$5:$F$304,$C$6),""))</f>
        <v/>
      </c>
      <c r="H41" s="64" t="str">
        <f aca="false">IF($B41="","",IFERROR(AVERAGEIFS(Grades!$I$5:$I$304,Grades!$A$5:$A$304,$B41,Grades!$E$5:$E$304,$C$7,Grades!$F$5:$F$304,$C$6),""))</f>
        <v/>
      </c>
      <c r="I41" s="65" t="str">
        <f aca="false">IF($H41="","",IF($H41&gt;=Settings!$E$11,Settings!$F$11,IF($H41&gt;=Settings!$E$12,Settings!$F$12,IF($H41&gt;=Settings!$E$13,Settings!$F$13,IF($H41&gt;=Settings!$E$14,Settings!$F$14,Settings!$F$15)))))</f>
        <v/>
      </c>
      <c r="J41" s="59" t="str">
        <f aca="false">IF($H41="","",IF($H41&gt;=Settings!$E$11,Settings!$G$11,IF($H41&gt;=Settings!$E$12,Settings!$G$12,IF($H41&gt;=Settings!$E$13,Settings!$G$13,IF($H41&gt;=Settings!$E$14,Settings!$G$14,Settings!$G$15)))))</f>
        <v/>
      </c>
    </row>
    <row r="42" customFormat="false" ht="19.5" hidden="false" customHeight="true" outlineLevel="0" collapsed="false">
      <c r="A42" s="59" t="str">
        <f aca="false">IF($B42="","",33)</f>
        <v/>
      </c>
      <c r="B42" s="59" t="str">
        <f aca="false">IFERROR(INDEX(Students!$A$5:$A$304,MATCH($C$4&amp;"|"&amp;$C$5&amp;"|"&amp;33,Students!$O$5:$O$304,0)),"")</f>
        <v/>
      </c>
      <c r="C42" s="60" t="str">
        <f aca="false">IF($B42="","",INDEX(Students!$B$5:$B$304,MATCH($B42,Students!$A$5:$A$304,0)))</f>
        <v/>
      </c>
      <c r="D42" s="61"/>
      <c r="E42" s="61"/>
      <c r="F42" s="59" t="str">
        <f aca="false">IF($B42="","",IFERROR(AVERAGEIFS(Grades!$G$5:$G$304,Grades!$A$5:$A$304,$B42,Grades!$E$5:$E$304,$C$7,Grades!$F$5:$F$304,$C$6),""))</f>
        <v/>
      </c>
      <c r="G42" s="59" t="str">
        <f aca="false">IF($B42="","",IFERROR(AVERAGEIFS(Grades!$H$5:$H$304,Grades!$A$5:$A$304,$B42,Grades!$E$5:$E$304,$C$7,Grades!$F$5:$F$304,$C$6),""))</f>
        <v/>
      </c>
      <c r="H42" s="64" t="str">
        <f aca="false">IF($B42="","",IFERROR(AVERAGEIFS(Grades!$I$5:$I$304,Grades!$A$5:$A$304,$B42,Grades!$E$5:$E$304,$C$7,Grades!$F$5:$F$304,$C$6),""))</f>
        <v/>
      </c>
      <c r="I42" s="65" t="str">
        <f aca="false">IF($H42="","",IF($H42&gt;=Settings!$E$11,Settings!$F$11,IF($H42&gt;=Settings!$E$12,Settings!$F$12,IF($H42&gt;=Settings!$E$13,Settings!$F$13,IF($H42&gt;=Settings!$E$14,Settings!$F$14,Settings!$F$15)))))</f>
        <v/>
      </c>
      <c r="J42" s="59" t="str">
        <f aca="false">IF($H42="","",IF($H42&gt;=Settings!$E$11,Settings!$G$11,IF($H42&gt;=Settings!$E$12,Settings!$G$12,IF($H42&gt;=Settings!$E$13,Settings!$G$13,IF($H42&gt;=Settings!$E$14,Settings!$G$14,Settings!$G$15)))))</f>
        <v/>
      </c>
    </row>
    <row r="43" customFormat="false" ht="19.5" hidden="false" customHeight="true" outlineLevel="0" collapsed="false">
      <c r="A43" s="59" t="str">
        <f aca="false">IF($B43="","",34)</f>
        <v/>
      </c>
      <c r="B43" s="59" t="str">
        <f aca="false">IFERROR(INDEX(Students!$A$5:$A$304,MATCH($C$4&amp;"|"&amp;$C$5&amp;"|"&amp;34,Students!$O$5:$O$304,0)),"")</f>
        <v/>
      </c>
      <c r="C43" s="60" t="str">
        <f aca="false">IF($B43="","",INDEX(Students!$B$5:$B$304,MATCH($B43,Students!$A$5:$A$304,0)))</f>
        <v/>
      </c>
      <c r="D43" s="61"/>
      <c r="E43" s="61"/>
      <c r="F43" s="59" t="str">
        <f aca="false">IF($B43="","",IFERROR(AVERAGEIFS(Grades!$G$5:$G$304,Grades!$A$5:$A$304,$B43,Grades!$E$5:$E$304,$C$7,Grades!$F$5:$F$304,$C$6),""))</f>
        <v/>
      </c>
      <c r="G43" s="59" t="str">
        <f aca="false">IF($B43="","",IFERROR(AVERAGEIFS(Grades!$H$5:$H$304,Grades!$A$5:$A$304,$B43,Grades!$E$5:$E$304,$C$7,Grades!$F$5:$F$304,$C$6),""))</f>
        <v/>
      </c>
      <c r="H43" s="64" t="str">
        <f aca="false">IF($B43="","",IFERROR(AVERAGEIFS(Grades!$I$5:$I$304,Grades!$A$5:$A$304,$B43,Grades!$E$5:$E$304,$C$7,Grades!$F$5:$F$304,$C$6),""))</f>
        <v/>
      </c>
      <c r="I43" s="65" t="str">
        <f aca="false">IF($H43="","",IF($H43&gt;=Settings!$E$11,Settings!$F$11,IF($H43&gt;=Settings!$E$12,Settings!$F$12,IF($H43&gt;=Settings!$E$13,Settings!$F$13,IF($H43&gt;=Settings!$E$14,Settings!$F$14,Settings!$F$15)))))</f>
        <v/>
      </c>
      <c r="J43" s="59" t="str">
        <f aca="false">IF($H43="","",IF($H43&gt;=Settings!$E$11,Settings!$G$11,IF($H43&gt;=Settings!$E$12,Settings!$G$12,IF($H43&gt;=Settings!$E$13,Settings!$G$13,IF($H43&gt;=Settings!$E$14,Settings!$G$14,Settings!$G$15)))))</f>
        <v/>
      </c>
    </row>
    <row r="44" customFormat="false" ht="19.5" hidden="false" customHeight="true" outlineLevel="0" collapsed="false">
      <c r="A44" s="59" t="str">
        <f aca="false">IF($B44="","",35)</f>
        <v/>
      </c>
      <c r="B44" s="59" t="str">
        <f aca="false">IFERROR(INDEX(Students!$A$5:$A$304,MATCH($C$4&amp;"|"&amp;$C$5&amp;"|"&amp;35,Students!$O$5:$O$304,0)),"")</f>
        <v/>
      </c>
      <c r="C44" s="60" t="str">
        <f aca="false">IF($B44="","",INDEX(Students!$B$5:$B$304,MATCH($B44,Students!$A$5:$A$304,0)))</f>
        <v/>
      </c>
      <c r="D44" s="61"/>
      <c r="E44" s="61"/>
      <c r="F44" s="59" t="str">
        <f aca="false">IF($B44="","",IFERROR(AVERAGEIFS(Grades!$G$5:$G$304,Grades!$A$5:$A$304,$B44,Grades!$E$5:$E$304,$C$7,Grades!$F$5:$F$304,$C$6),""))</f>
        <v/>
      </c>
      <c r="G44" s="59" t="str">
        <f aca="false">IF($B44="","",IFERROR(AVERAGEIFS(Grades!$H$5:$H$304,Grades!$A$5:$A$304,$B44,Grades!$E$5:$E$304,$C$7,Grades!$F$5:$F$304,$C$6),""))</f>
        <v/>
      </c>
      <c r="H44" s="64" t="str">
        <f aca="false">IF($B44="","",IFERROR(AVERAGEIFS(Grades!$I$5:$I$304,Grades!$A$5:$A$304,$B44,Grades!$E$5:$E$304,$C$7,Grades!$F$5:$F$304,$C$6),""))</f>
        <v/>
      </c>
      <c r="I44" s="65" t="str">
        <f aca="false">IF($H44="","",IF($H44&gt;=Settings!$E$11,Settings!$F$11,IF($H44&gt;=Settings!$E$12,Settings!$F$12,IF($H44&gt;=Settings!$E$13,Settings!$F$13,IF($H44&gt;=Settings!$E$14,Settings!$F$14,Settings!$F$15)))))</f>
        <v/>
      </c>
      <c r="J44" s="59" t="str">
        <f aca="false">IF($H44="","",IF($H44&gt;=Settings!$E$11,Settings!$G$11,IF($H44&gt;=Settings!$E$12,Settings!$G$12,IF($H44&gt;=Settings!$E$13,Settings!$G$13,IF($H44&gt;=Settings!$E$14,Settings!$G$14,Settings!$G$15)))))</f>
        <v/>
      </c>
    </row>
    <row r="45" customFormat="false" ht="19.5" hidden="false" customHeight="true" outlineLevel="0" collapsed="false">
      <c r="A45" s="59" t="str">
        <f aca="false">IF($B45="","",36)</f>
        <v/>
      </c>
      <c r="B45" s="59" t="str">
        <f aca="false">IFERROR(INDEX(Students!$A$5:$A$304,MATCH($C$4&amp;"|"&amp;$C$5&amp;"|"&amp;36,Students!$O$5:$O$304,0)),"")</f>
        <v/>
      </c>
      <c r="C45" s="60" t="str">
        <f aca="false">IF($B45="","",INDEX(Students!$B$5:$B$304,MATCH($B45,Students!$A$5:$A$304,0)))</f>
        <v/>
      </c>
      <c r="D45" s="61"/>
      <c r="E45" s="61"/>
      <c r="F45" s="59" t="str">
        <f aca="false">IF($B45="","",IFERROR(AVERAGEIFS(Grades!$G$5:$G$304,Grades!$A$5:$A$304,$B45,Grades!$E$5:$E$304,$C$7,Grades!$F$5:$F$304,$C$6),""))</f>
        <v/>
      </c>
      <c r="G45" s="59" t="str">
        <f aca="false">IF($B45="","",IFERROR(AVERAGEIFS(Grades!$H$5:$H$304,Grades!$A$5:$A$304,$B45,Grades!$E$5:$E$304,$C$7,Grades!$F$5:$F$304,$C$6),""))</f>
        <v/>
      </c>
      <c r="H45" s="64" t="str">
        <f aca="false">IF($B45="","",IFERROR(AVERAGEIFS(Grades!$I$5:$I$304,Grades!$A$5:$A$304,$B45,Grades!$E$5:$E$304,$C$7,Grades!$F$5:$F$304,$C$6),""))</f>
        <v/>
      </c>
      <c r="I45" s="65" t="str">
        <f aca="false">IF($H45="","",IF($H45&gt;=Settings!$E$11,Settings!$F$11,IF($H45&gt;=Settings!$E$12,Settings!$F$12,IF($H45&gt;=Settings!$E$13,Settings!$F$13,IF($H45&gt;=Settings!$E$14,Settings!$F$14,Settings!$F$15)))))</f>
        <v/>
      </c>
      <c r="J45" s="59" t="str">
        <f aca="false">IF($H45="","",IF($H45&gt;=Settings!$E$11,Settings!$G$11,IF($H45&gt;=Settings!$E$12,Settings!$G$12,IF($H45&gt;=Settings!$E$13,Settings!$G$13,IF($H45&gt;=Settings!$E$14,Settings!$G$14,Settings!$G$15)))))</f>
        <v/>
      </c>
    </row>
    <row r="46" customFormat="false" ht="19.5" hidden="false" customHeight="true" outlineLevel="0" collapsed="false">
      <c r="A46" s="59" t="str">
        <f aca="false">IF($B46="","",37)</f>
        <v/>
      </c>
      <c r="B46" s="59" t="str">
        <f aca="false">IFERROR(INDEX(Students!$A$5:$A$304,MATCH($C$4&amp;"|"&amp;$C$5&amp;"|"&amp;37,Students!$O$5:$O$304,0)),"")</f>
        <v/>
      </c>
      <c r="C46" s="60" t="str">
        <f aca="false">IF($B46="","",INDEX(Students!$B$5:$B$304,MATCH($B46,Students!$A$5:$A$304,0)))</f>
        <v/>
      </c>
      <c r="D46" s="61"/>
      <c r="E46" s="61"/>
      <c r="F46" s="59" t="str">
        <f aca="false">IF($B46="","",IFERROR(AVERAGEIFS(Grades!$G$5:$G$304,Grades!$A$5:$A$304,$B46,Grades!$E$5:$E$304,$C$7,Grades!$F$5:$F$304,$C$6),""))</f>
        <v/>
      </c>
      <c r="G46" s="59" t="str">
        <f aca="false">IF($B46="","",IFERROR(AVERAGEIFS(Grades!$H$5:$H$304,Grades!$A$5:$A$304,$B46,Grades!$E$5:$E$304,$C$7,Grades!$F$5:$F$304,$C$6),""))</f>
        <v/>
      </c>
      <c r="H46" s="64" t="str">
        <f aca="false">IF($B46="","",IFERROR(AVERAGEIFS(Grades!$I$5:$I$304,Grades!$A$5:$A$304,$B46,Grades!$E$5:$E$304,$C$7,Grades!$F$5:$F$304,$C$6),""))</f>
        <v/>
      </c>
      <c r="I46" s="65" t="str">
        <f aca="false">IF($H46="","",IF($H46&gt;=Settings!$E$11,Settings!$F$11,IF($H46&gt;=Settings!$E$12,Settings!$F$12,IF($H46&gt;=Settings!$E$13,Settings!$F$13,IF($H46&gt;=Settings!$E$14,Settings!$F$14,Settings!$F$15)))))</f>
        <v/>
      </c>
      <c r="J46" s="59" t="str">
        <f aca="false">IF($H46="","",IF($H46&gt;=Settings!$E$11,Settings!$G$11,IF($H46&gt;=Settings!$E$12,Settings!$G$12,IF($H46&gt;=Settings!$E$13,Settings!$G$13,IF($H46&gt;=Settings!$E$14,Settings!$G$14,Settings!$G$15)))))</f>
        <v/>
      </c>
    </row>
    <row r="47" customFormat="false" ht="19.5" hidden="false" customHeight="true" outlineLevel="0" collapsed="false">
      <c r="A47" s="59" t="str">
        <f aca="false">IF($B47="","",38)</f>
        <v/>
      </c>
      <c r="B47" s="59" t="str">
        <f aca="false">IFERROR(INDEX(Students!$A$5:$A$304,MATCH($C$4&amp;"|"&amp;$C$5&amp;"|"&amp;38,Students!$O$5:$O$304,0)),"")</f>
        <v/>
      </c>
      <c r="C47" s="60" t="str">
        <f aca="false">IF($B47="","",INDEX(Students!$B$5:$B$304,MATCH($B47,Students!$A$5:$A$304,0)))</f>
        <v/>
      </c>
      <c r="D47" s="61"/>
      <c r="E47" s="61"/>
      <c r="F47" s="59" t="str">
        <f aca="false">IF($B47="","",IFERROR(AVERAGEIFS(Grades!$G$5:$G$304,Grades!$A$5:$A$304,$B47,Grades!$E$5:$E$304,$C$7,Grades!$F$5:$F$304,$C$6),""))</f>
        <v/>
      </c>
      <c r="G47" s="59" t="str">
        <f aca="false">IF($B47="","",IFERROR(AVERAGEIFS(Grades!$H$5:$H$304,Grades!$A$5:$A$304,$B47,Grades!$E$5:$E$304,$C$7,Grades!$F$5:$F$304,$C$6),""))</f>
        <v/>
      </c>
      <c r="H47" s="64" t="str">
        <f aca="false">IF($B47="","",IFERROR(AVERAGEIFS(Grades!$I$5:$I$304,Grades!$A$5:$A$304,$B47,Grades!$E$5:$E$304,$C$7,Grades!$F$5:$F$304,$C$6),""))</f>
        <v/>
      </c>
      <c r="I47" s="65" t="str">
        <f aca="false">IF($H47="","",IF($H47&gt;=Settings!$E$11,Settings!$F$11,IF($H47&gt;=Settings!$E$12,Settings!$F$12,IF($H47&gt;=Settings!$E$13,Settings!$F$13,IF($H47&gt;=Settings!$E$14,Settings!$F$14,Settings!$F$15)))))</f>
        <v/>
      </c>
      <c r="J47" s="59" t="str">
        <f aca="false">IF($H47="","",IF($H47&gt;=Settings!$E$11,Settings!$G$11,IF($H47&gt;=Settings!$E$12,Settings!$G$12,IF($H47&gt;=Settings!$E$13,Settings!$G$13,IF($H47&gt;=Settings!$E$14,Settings!$G$14,Settings!$G$15)))))</f>
        <v/>
      </c>
    </row>
    <row r="48" customFormat="false" ht="19.5" hidden="false" customHeight="true" outlineLevel="0" collapsed="false">
      <c r="A48" s="59" t="str">
        <f aca="false">IF($B48="","",39)</f>
        <v/>
      </c>
      <c r="B48" s="59" t="str">
        <f aca="false">IFERROR(INDEX(Students!$A$5:$A$304,MATCH($C$4&amp;"|"&amp;$C$5&amp;"|"&amp;39,Students!$O$5:$O$304,0)),"")</f>
        <v/>
      </c>
      <c r="C48" s="60" t="str">
        <f aca="false">IF($B48="","",INDEX(Students!$B$5:$B$304,MATCH($B48,Students!$A$5:$A$304,0)))</f>
        <v/>
      </c>
      <c r="D48" s="61"/>
      <c r="E48" s="61"/>
      <c r="F48" s="59" t="str">
        <f aca="false">IF($B48="","",IFERROR(AVERAGEIFS(Grades!$G$5:$G$304,Grades!$A$5:$A$304,$B48,Grades!$E$5:$E$304,$C$7,Grades!$F$5:$F$304,$C$6),""))</f>
        <v/>
      </c>
      <c r="G48" s="59" t="str">
        <f aca="false">IF($B48="","",IFERROR(AVERAGEIFS(Grades!$H$5:$H$304,Grades!$A$5:$A$304,$B48,Grades!$E$5:$E$304,$C$7,Grades!$F$5:$F$304,$C$6),""))</f>
        <v/>
      </c>
      <c r="H48" s="64" t="str">
        <f aca="false">IF($B48="","",IFERROR(AVERAGEIFS(Grades!$I$5:$I$304,Grades!$A$5:$A$304,$B48,Grades!$E$5:$E$304,$C$7,Grades!$F$5:$F$304,$C$6),""))</f>
        <v/>
      </c>
      <c r="I48" s="65" t="str">
        <f aca="false">IF($H48="","",IF($H48&gt;=Settings!$E$11,Settings!$F$11,IF($H48&gt;=Settings!$E$12,Settings!$F$12,IF($H48&gt;=Settings!$E$13,Settings!$F$13,IF($H48&gt;=Settings!$E$14,Settings!$F$14,Settings!$F$15)))))</f>
        <v/>
      </c>
      <c r="J48" s="59" t="str">
        <f aca="false">IF($H48="","",IF($H48&gt;=Settings!$E$11,Settings!$G$11,IF($H48&gt;=Settings!$E$12,Settings!$G$12,IF($H48&gt;=Settings!$E$13,Settings!$G$13,IF($H48&gt;=Settings!$E$14,Settings!$G$14,Settings!$G$15)))))</f>
        <v/>
      </c>
    </row>
    <row r="49" customFormat="false" ht="19.5" hidden="false" customHeight="true" outlineLevel="0" collapsed="false">
      <c r="A49" s="59" t="str">
        <f aca="false">IF($B49="","",40)</f>
        <v/>
      </c>
      <c r="B49" s="59" t="str">
        <f aca="false">IFERROR(INDEX(Students!$A$5:$A$304,MATCH($C$4&amp;"|"&amp;$C$5&amp;"|"&amp;40,Students!$O$5:$O$304,0)),"")</f>
        <v/>
      </c>
      <c r="C49" s="60" t="str">
        <f aca="false">IF($B49="","",INDEX(Students!$B$5:$B$304,MATCH($B49,Students!$A$5:$A$304,0)))</f>
        <v/>
      </c>
      <c r="D49" s="61"/>
      <c r="E49" s="61"/>
      <c r="F49" s="59" t="str">
        <f aca="false">IF($B49="","",IFERROR(AVERAGEIFS(Grades!$G$5:$G$304,Grades!$A$5:$A$304,$B49,Grades!$E$5:$E$304,$C$7,Grades!$F$5:$F$304,$C$6),""))</f>
        <v/>
      </c>
      <c r="G49" s="59" t="str">
        <f aca="false">IF($B49="","",IFERROR(AVERAGEIFS(Grades!$H$5:$H$304,Grades!$A$5:$A$304,$B49,Grades!$E$5:$E$304,$C$7,Grades!$F$5:$F$304,$C$6),""))</f>
        <v/>
      </c>
      <c r="H49" s="64" t="str">
        <f aca="false">IF($B49="","",IFERROR(AVERAGEIFS(Grades!$I$5:$I$304,Grades!$A$5:$A$304,$B49,Grades!$E$5:$E$304,$C$7,Grades!$F$5:$F$304,$C$6),""))</f>
        <v/>
      </c>
      <c r="I49" s="65" t="str">
        <f aca="false">IF($H49="","",IF($H49&gt;=Settings!$E$11,Settings!$F$11,IF($H49&gt;=Settings!$E$12,Settings!$F$12,IF($H49&gt;=Settings!$E$13,Settings!$F$13,IF($H49&gt;=Settings!$E$14,Settings!$F$14,Settings!$F$15)))))</f>
        <v/>
      </c>
      <c r="J49" s="59" t="str">
        <f aca="false">IF($H49="","",IF($H49&gt;=Settings!$E$11,Settings!$G$11,IF($H49&gt;=Settings!$E$12,Settings!$G$12,IF($H49&gt;=Settings!$E$13,Settings!$G$13,IF($H49&gt;=Settings!$E$14,Settings!$G$14,Settings!$G$15)))))</f>
        <v/>
      </c>
    </row>
  </sheetData>
  <mergeCells count="13">
    <mergeCell ref="A1:J1"/>
    <mergeCell ref="A2:J2"/>
    <mergeCell ref="A3:J3"/>
    <mergeCell ref="A4:B4"/>
    <mergeCell ref="D4:J4"/>
    <mergeCell ref="L4:R4"/>
    <mergeCell ref="A5:B5"/>
    <mergeCell ref="D5:J5"/>
    <mergeCell ref="L5:R5"/>
    <mergeCell ref="A6:B6"/>
    <mergeCell ref="D6:J6"/>
    <mergeCell ref="A7:B7"/>
    <mergeCell ref="D7:J7"/>
  </mergeCells>
  <conditionalFormatting sqref="H10:H49">
    <cfRule type="expression" priority="2" aboveAverage="0" equalAverage="0" bottom="0" percent="0" rank="0" text="" dxfId="12">
      <formula>AND(ISNUMBER($H10),$H10&lt;50)</formula>
    </cfRule>
  </conditionalFormatting>
  <conditionalFormatting sqref="I10:I49">
    <cfRule type="expression" priority="3" aboveAverage="0" equalAverage="0" bottom="0" percent="0" rank="0" text="" dxfId="10">
      <formula>$I10="F"</formula>
    </cfRule>
    <cfRule type="expression" priority="4" aboveAverage="0" equalAverage="0" bottom="0" percent="0" rank="0" text="" dxfId="9">
      <formula>OR($I10="A",$I10="B")</formula>
    </cfRule>
  </conditionalFormatting>
  <conditionalFormatting sqref="A10:C49">
    <cfRule type="expression" priority="5" aboveAverage="0" equalAverage="0" bottom="0" percent="0" rank="0" text="" dxfId="14">
      <formula>AND(MOD(ROW(),2)=0,$B10&lt;&gt;"")</formula>
    </cfRule>
  </conditionalFormatting>
  <dataValidations count="5">
    <dataValidation allowBlank="true" errorStyle="stop" operator="between" showDropDown="false" showErrorMessage="false" showInputMessage="false" sqref="C4" type="list">
      <formula1>Schools!$A$5:$A$304</formula1>
      <formula2>0</formula2>
    </dataValidation>
    <dataValidation allowBlank="true" errorStyle="stop" operator="between" showDropDown="false" showErrorMessage="false" showInputMessage="false" sqref="C5" type="list">
      <formula1>Settings!$B$11:$B$30</formula1>
      <formula2>0</formula2>
    </dataValidation>
    <dataValidation allowBlank="true" errorStyle="stop" operator="between" showDropDown="false" showErrorMessage="false" showInputMessage="false" sqref="C6" type="list">
      <formula1>Settings!$A$11:$A$13</formula1>
      <formula2>0</formula2>
    </dataValidation>
    <dataValidation allowBlank="true" errorStyle="stop" operator="between" showDropDown="false" showErrorMessage="false" showInputMessage="false" sqref="C7" type="list">
      <formula1>Settings!$C$11:$C$25</formula1>
      <formula2>0</formula2>
    </dataValidation>
    <dataValidation allowBlank="true" error="Enter a number from 0 to 100." errorStyle="stop" errorTitle="Score" operator="between" showDropDown="false" showErrorMessage="true" showInputMessage="false" sqref="D10:E49" type="decimal">
      <formula1>0</formula1>
      <formula2>100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98B"/>
    <pageSetUpPr fitToPage="true"/>
  </sheetPr>
  <dimension ref="A1:Q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1" width="12"/>
    <col collapsed="false" customWidth="true" hidden="false" outlineLevel="0" max="5" min="5" style="1" width="3"/>
    <col collapsed="false" customWidth="true" hidden="false" outlineLevel="0" max="9" min="6" style="1" width="12"/>
    <col collapsed="false" customWidth="true" hidden="false" outlineLevel="0" max="11" min="11" style="1" width="30"/>
    <col collapsed="false" customWidth="true" hidden="true" outlineLevel="0" max="17" min="16" style="1" width="13"/>
  </cols>
  <sheetData>
    <row r="1" customFormat="false" ht="42" hidden="false" customHeight="true" outlineLevel="0" collapsed="false">
      <c r="A1" s="2" t="s">
        <v>187</v>
      </c>
      <c r="B1" s="2"/>
      <c r="C1" s="2"/>
      <c r="D1" s="2"/>
      <c r="E1" s="2"/>
      <c r="F1" s="2"/>
      <c r="G1" s="2"/>
      <c r="H1" s="2"/>
      <c r="I1" s="2"/>
    </row>
    <row r="2" customFormat="false" ht="19.5" hidden="false" customHeight="true" outlineLevel="0" collapsed="false">
      <c r="A2" s="3" t="s">
        <v>188</v>
      </c>
      <c r="B2" s="3"/>
      <c r="C2" s="3"/>
      <c r="D2" s="3"/>
      <c r="E2" s="3"/>
      <c r="F2" s="3"/>
      <c r="G2" s="3"/>
      <c r="H2" s="3"/>
      <c r="I2" s="3"/>
    </row>
    <row r="3" customFormat="false" ht="3.75" hidden="false" customHeight="true" outlineLevel="0" collapsed="false">
      <c r="A3" s="4"/>
      <c r="B3" s="4"/>
      <c r="C3" s="4"/>
      <c r="D3" s="4"/>
      <c r="E3" s="4"/>
      <c r="F3" s="4"/>
      <c r="G3" s="4"/>
      <c r="H3" s="4"/>
      <c r="I3" s="4"/>
    </row>
    <row r="4" customFormat="false" ht="21.75" hidden="false" customHeight="true" outlineLevel="0" collapsed="false">
      <c r="A4" s="24" t="s">
        <v>142</v>
      </c>
      <c r="B4" s="24"/>
      <c r="C4" s="42" t="s">
        <v>143</v>
      </c>
      <c r="D4" s="43" t="str">
        <f aca="false">IF($C$4="","",IFERROR(INDEX(Schools!$B$5:$B$304,MATCH($C$4,Schools!$A$5:$A$304,0)),"School not found"))</f>
        <v>Example Primary School</v>
      </c>
      <c r="E4" s="43"/>
      <c r="F4" s="43"/>
      <c r="G4" s="43"/>
      <c r="H4" s="43"/>
      <c r="I4" s="43"/>
    </row>
    <row r="5" customFormat="false" ht="21.75" hidden="false" customHeight="true" outlineLevel="0" collapsed="false">
      <c r="A5" s="24" t="s">
        <v>121</v>
      </c>
      <c r="B5" s="24"/>
      <c r="C5" s="42" t="s">
        <v>145</v>
      </c>
    </row>
    <row r="6" customFormat="false" ht="7.5" hidden="false" customHeight="true" outlineLevel="0" collapsed="false"/>
    <row r="7" customFormat="false" ht="21.75" hidden="false" customHeight="true" outlineLevel="0" collapsed="false">
      <c r="A7" s="66" t="str">
        <f aca="false">IF($P$7="","",$D$4)</f>
        <v>Example Primary School</v>
      </c>
      <c r="B7" s="66"/>
      <c r="C7" s="66"/>
      <c r="D7" s="66"/>
      <c r="F7" s="66" t="str">
        <f aca="false">IF($Q$7="","",$D$4)</f>
        <v/>
      </c>
      <c r="G7" s="66"/>
      <c r="H7" s="66"/>
      <c r="I7" s="66"/>
      <c r="P7" s="1" t="str">
        <f aca="false">IFERROR(INDEX(Students!$A$5:$A$304,MATCH($C$4&amp;"|"&amp;$C$5&amp;"|"&amp;1,Students!$O$5:$O$304,0)),"")</f>
        <v>S0001</v>
      </c>
      <c r="Q7" s="1" t="str">
        <f aca="false">IFERROR(INDEX(Students!$A$5:$A$304,MATCH($C$4&amp;"|"&amp;$C$5&amp;"|"&amp;2,Students!$O$5:$O$304,0)),"")</f>
        <v/>
      </c>
    </row>
    <row r="8" customFormat="false" ht="25.5" hidden="false" customHeight="true" outlineLevel="0" collapsed="false">
      <c r="A8" s="67" t="str">
        <f aca="false">IF($P$7="","","PHOTO")</f>
        <v>PHOTO</v>
      </c>
      <c r="B8" s="68" t="str">
        <f aca="false">IF($P$7="","",INDEX(Students!$B$5:$B$304,MATCH($P$7,Students!$A$5:$A$304,0)))</f>
        <v>Aminata Conteh</v>
      </c>
      <c r="C8" s="68"/>
      <c r="D8" s="68"/>
      <c r="F8" s="67" t="str">
        <f aca="false">IF($Q$7="","","PHOTO")</f>
        <v/>
      </c>
      <c r="G8" s="68" t="str">
        <f aca="false">IF($Q$7="","",INDEX(Students!$B$5:$B$304,MATCH($Q$7,Students!$A$5:$A$304,0)))</f>
        <v/>
      </c>
      <c r="H8" s="68"/>
      <c r="I8" s="68"/>
    </row>
    <row r="9" customFormat="false" ht="19.5" hidden="false" customHeight="true" outlineLevel="0" collapsed="false">
      <c r="A9" s="67"/>
      <c r="B9" s="69" t="str">
        <f aca="false">IF($P$7="","","ID: "&amp;$P$7)</f>
        <v>ID: S0001</v>
      </c>
      <c r="C9" s="69"/>
      <c r="D9" s="69"/>
      <c r="F9" s="67"/>
      <c r="G9" s="69" t="str">
        <f aca="false">IF($Q$7="","","ID: "&amp;$Q$7)</f>
        <v/>
      </c>
      <c r="H9" s="69"/>
      <c r="I9" s="69"/>
    </row>
    <row r="10" customFormat="false" ht="19.5" hidden="false" customHeight="true" outlineLevel="0" collapsed="false">
      <c r="A10" s="67"/>
      <c r="B10" s="70" t="str">
        <f aca="false">IF($P$7="","",INDEX(Students!$F$5:$F$304,MATCH($P$7,Students!$A$5:$A$304,0))&amp;"  |  "&amp;Settings!$B$5)</f>
        <v>Class 4  |  2026/2027</v>
      </c>
      <c r="C10" s="70"/>
      <c r="D10" s="70"/>
      <c r="F10" s="67"/>
      <c r="G10" s="70" t="str">
        <f aca="false">IF($Q$7="","",INDEX(Students!$F$5:$F$304,MATCH($Q$7,Students!$A$5:$A$304,0))&amp;"  |  "&amp;Settings!$B$5)</f>
        <v/>
      </c>
      <c r="H10" s="70"/>
      <c r="I10" s="70"/>
    </row>
    <row r="11" customFormat="false" ht="9.75" hidden="false" customHeight="true" outlineLevel="0" collapsed="false"/>
    <row r="12" customFormat="false" ht="21.75" hidden="false" customHeight="true" outlineLevel="0" collapsed="false">
      <c r="A12" s="66" t="str">
        <f aca="false">IF($P$12="","",$D$4)</f>
        <v/>
      </c>
      <c r="B12" s="66"/>
      <c r="C12" s="66"/>
      <c r="D12" s="66"/>
      <c r="F12" s="66" t="str">
        <f aca="false">IF($Q$12="","",$D$4)</f>
        <v/>
      </c>
      <c r="G12" s="66"/>
      <c r="H12" s="66"/>
      <c r="I12" s="66"/>
      <c r="P12" s="1" t="str">
        <f aca="false">IFERROR(INDEX(Students!$A$5:$A$304,MATCH($C$4&amp;"|"&amp;$C$5&amp;"|"&amp;3,Students!$O$5:$O$304,0)),"")</f>
        <v/>
      </c>
      <c r="Q12" s="1" t="str">
        <f aca="false">IFERROR(INDEX(Students!$A$5:$A$304,MATCH($C$4&amp;"|"&amp;$C$5&amp;"|"&amp;4,Students!$O$5:$O$304,0)),"")</f>
        <v/>
      </c>
    </row>
    <row r="13" customFormat="false" ht="25.5" hidden="false" customHeight="true" outlineLevel="0" collapsed="false">
      <c r="A13" s="67" t="str">
        <f aca="false">IF($P$12="","","PHOTO")</f>
        <v/>
      </c>
      <c r="B13" s="68" t="str">
        <f aca="false">IF($P$12="","",INDEX(Students!$B$5:$B$304,MATCH($P$12,Students!$A$5:$A$304,0)))</f>
        <v/>
      </c>
      <c r="C13" s="68"/>
      <c r="D13" s="68"/>
      <c r="F13" s="67" t="str">
        <f aca="false">IF($Q$12="","","PHOTO")</f>
        <v/>
      </c>
      <c r="G13" s="68" t="str">
        <f aca="false">IF($Q$12="","",INDEX(Students!$B$5:$B$304,MATCH($Q$12,Students!$A$5:$A$304,0)))</f>
        <v/>
      </c>
      <c r="H13" s="68"/>
      <c r="I13" s="68"/>
    </row>
    <row r="14" customFormat="false" ht="19.5" hidden="false" customHeight="true" outlineLevel="0" collapsed="false">
      <c r="A14" s="67"/>
      <c r="B14" s="69" t="str">
        <f aca="false">IF($P$12="","","ID: "&amp;$P$12)</f>
        <v/>
      </c>
      <c r="C14" s="69"/>
      <c r="D14" s="69"/>
      <c r="F14" s="67"/>
      <c r="G14" s="69" t="str">
        <f aca="false">IF($Q$12="","","ID: "&amp;$Q$12)</f>
        <v/>
      </c>
      <c r="H14" s="69"/>
      <c r="I14" s="69"/>
    </row>
    <row r="15" customFormat="false" ht="19.5" hidden="false" customHeight="true" outlineLevel="0" collapsed="false">
      <c r="A15" s="67"/>
      <c r="B15" s="70" t="str">
        <f aca="false">IF($P$12="","",INDEX(Students!$F$5:$F$304,MATCH($P$12,Students!$A$5:$A$304,0))&amp;"  |  "&amp;Settings!$B$5)</f>
        <v/>
      </c>
      <c r="C15" s="70"/>
      <c r="D15" s="70"/>
      <c r="F15" s="67"/>
      <c r="G15" s="70" t="str">
        <f aca="false">IF($Q$12="","",INDEX(Students!$F$5:$F$304,MATCH($Q$12,Students!$A$5:$A$304,0))&amp;"  |  "&amp;Settings!$B$5)</f>
        <v/>
      </c>
      <c r="H15" s="70"/>
      <c r="I15" s="70"/>
    </row>
    <row r="16" customFormat="false" ht="9.75" hidden="false" customHeight="true" outlineLevel="0" collapsed="false"/>
    <row r="17" customFormat="false" ht="21.75" hidden="false" customHeight="true" outlineLevel="0" collapsed="false">
      <c r="A17" s="66" t="str">
        <f aca="false">IF($P$17="","",$D$4)</f>
        <v/>
      </c>
      <c r="B17" s="66"/>
      <c r="C17" s="66"/>
      <c r="D17" s="66"/>
      <c r="F17" s="66" t="str">
        <f aca="false">IF($Q$17="","",$D$4)</f>
        <v/>
      </c>
      <c r="G17" s="66"/>
      <c r="H17" s="66"/>
      <c r="I17" s="66"/>
      <c r="P17" s="1" t="str">
        <f aca="false">IFERROR(INDEX(Students!$A$5:$A$304,MATCH($C$4&amp;"|"&amp;$C$5&amp;"|"&amp;5,Students!$O$5:$O$304,0)),"")</f>
        <v/>
      </c>
      <c r="Q17" s="1" t="str">
        <f aca="false">IFERROR(INDEX(Students!$A$5:$A$304,MATCH($C$4&amp;"|"&amp;$C$5&amp;"|"&amp;6,Students!$O$5:$O$304,0)),"")</f>
        <v/>
      </c>
    </row>
    <row r="18" customFormat="false" ht="25.5" hidden="false" customHeight="true" outlineLevel="0" collapsed="false">
      <c r="A18" s="67" t="str">
        <f aca="false">IF($P$17="","","PHOTO")</f>
        <v/>
      </c>
      <c r="B18" s="68" t="str">
        <f aca="false">IF($P$17="","",INDEX(Students!$B$5:$B$304,MATCH($P$17,Students!$A$5:$A$304,0)))</f>
        <v/>
      </c>
      <c r="C18" s="68"/>
      <c r="D18" s="68"/>
      <c r="F18" s="67" t="str">
        <f aca="false">IF($Q$17="","","PHOTO")</f>
        <v/>
      </c>
      <c r="G18" s="68" t="str">
        <f aca="false">IF($Q$17="","",INDEX(Students!$B$5:$B$304,MATCH($Q$17,Students!$A$5:$A$304,0)))</f>
        <v/>
      </c>
      <c r="H18" s="68"/>
      <c r="I18" s="68"/>
    </row>
    <row r="19" customFormat="false" ht="19.5" hidden="false" customHeight="true" outlineLevel="0" collapsed="false">
      <c r="A19" s="67"/>
      <c r="B19" s="69" t="str">
        <f aca="false">IF($P$17="","","ID: "&amp;$P$17)</f>
        <v/>
      </c>
      <c r="C19" s="69"/>
      <c r="D19" s="69"/>
      <c r="F19" s="67"/>
      <c r="G19" s="69" t="str">
        <f aca="false">IF($Q$17="","","ID: "&amp;$Q$17)</f>
        <v/>
      </c>
      <c r="H19" s="69"/>
      <c r="I19" s="69"/>
    </row>
    <row r="20" customFormat="false" ht="19.5" hidden="false" customHeight="true" outlineLevel="0" collapsed="false">
      <c r="A20" s="67"/>
      <c r="B20" s="70" t="str">
        <f aca="false">IF($P$17="","",INDEX(Students!$F$5:$F$304,MATCH($P$17,Students!$A$5:$A$304,0))&amp;"  |  "&amp;Settings!$B$5)</f>
        <v/>
      </c>
      <c r="C20" s="70"/>
      <c r="D20" s="70"/>
      <c r="F20" s="67"/>
      <c r="G20" s="70" t="str">
        <f aca="false">IF($Q$17="","",INDEX(Students!$F$5:$F$304,MATCH($Q$17,Students!$A$5:$A$304,0))&amp;"  |  "&amp;Settings!$B$5)</f>
        <v/>
      </c>
      <c r="H20" s="70"/>
      <c r="I20" s="70"/>
    </row>
    <row r="21" customFormat="false" ht="9.75" hidden="false" customHeight="true" outlineLevel="0" collapsed="false"/>
    <row r="22" customFormat="false" ht="21.75" hidden="false" customHeight="true" outlineLevel="0" collapsed="false">
      <c r="A22" s="66" t="str">
        <f aca="false">IF($P$22="","",$D$4)</f>
        <v/>
      </c>
      <c r="B22" s="66"/>
      <c r="C22" s="66"/>
      <c r="D22" s="66"/>
      <c r="F22" s="66" t="str">
        <f aca="false">IF($Q$22="","",$D$4)</f>
        <v/>
      </c>
      <c r="G22" s="66"/>
      <c r="H22" s="66"/>
      <c r="I22" s="66"/>
      <c r="P22" s="1" t="str">
        <f aca="false">IFERROR(INDEX(Students!$A$5:$A$304,MATCH($C$4&amp;"|"&amp;$C$5&amp;"|"&amp;7,Students!$O$5:$O$304,0)),"")</f>
        <v/>
      </c>
      <c r="Q22" s="1" t="str">
        <f aca="false">IFERROR(INDEX(Students!$A$5:$A$304,MATCH($C$4&amp;"|"&amp;$C$5&amp;"|"&amp;8,Students!$O$5:$O$304,0)),"")</f>
        <v/>
      </c>
    </row>
    <row r="23" customFormat="false" ht="25.5" hidden="false" customHeight="true" outlineLevel="0" collapsed="false">
      <c r="A23" s="67" t="str">
        <f aca="false">IF($P$22="","","PHOTO")</f>
        <v/>
      </c>
      <c r="B23" s="68" t="str">
        <f aca="false">IF($P$22="","",INDEX(Students!$B$5:$B$304,MATCH($P$22,Students!$A$5:$A$304,0)))</f>
        <v/>
      </c>
      <c r="C23" s="68"/>
      <c r="D23" s="68"/>
      <c r="F23" s="67" t="str">
        <f aca="false">IF($Q$22="","","PHOTO")</f>
        <v/>
      </c>
      <c r="G23" s="68" t="str">
        <f aca="false">IF($Q$22="","",INDEX(Students!$B$5:$B$304,MATCH($Q$22,Students!$A$5:$A$304,0)))</f>
        <v/>
      </c>
      <c r="H23" s="68"/>
      <c r="I23" s="68"/>
    </row>
    <row r="24" customFormat="false" ht="19.5" hidden="false" customHeight="true" outlineLevel="0" collapsed="false">
      <c r="A24" s="67"/>
      <c r="B24" s="69" t="str">
        <f aca="false">IF($P$22="","","ID: "&amp;$P$22)</f>
        <v/>
      </c>
      <c r="C24" s="69"/>
      <c r="D24" s="69"/>
      <c r="F24" s="67"/>
      <c r="G24" s="69" t="str">
        <f aca="false">IF($Q$22="","","ID: "&amp;$Q$22)</f>
        <v/>
      </c>
      <c r="H24" s="69"/>
      <c r="I24" s="69"/>
    </row>
    <row r="25" customFormat="false" ht="19.5" hidden="false" customHeight="true" outlineLevel="0" collapsed="false">
      <c r="A25" s="67"/>
      <c r="B25" s="70" t="str">
        <f aca="false">IF($P$22="","",INDEX(Students!$F$5:$F$304,MATCH($P$22,Students!$A$5:$A$304,0))&amp;"  |  "&amp;Settings!$B$5)</f>
        <v/>
      </c>
      <c r="C25" s="70"/>
      <c r="D25" s="70"/>
      <c r="F25" s="67"/>
      <c r="G25" s="70" t="str">
        <f aca="false">IF($Q$22="","",INDEX(Students!$F$5:$F$304,MATCH($Q$22,Students!$A$5:$A$304,0))&amp;"  |  "&amp;Settings!$B$5)</f>
        <v/>
      </c>
      <c r="H25" s="70"/>
      <c r="I25" s="70"/>
    </row>
    <row r="26" customFormat="false" ht="9.75" hidden="false" customHeight="true" outlineLevel="0" collapsed="false"/>
    <row r="27" customFormat="false" ht="21.75" hidden="false" customHeight="true" outlineLevel="0" collapsed="false">
      <c r="A27" s="66" t="str">
        <f aca="false">IF($P$27="","",$D$4)</f>
        <v/>
      </c>
      <c r="B27" s="66"/>
      <c r="C27" s="66"/>
      <c r="D27" s="66"/>
      <c r="F27" s="66" t="str">
        <f aca="false">IF($Q$27="","",$D$4)</f>
        <v/>
      </c>
      <c r="G27" s="66"/>
      <c r="H27" s="66"/>
      <c r="I27" s="66"/>
      <c r="P27" s="1" t="str">
        <f aca="false">IFERROR(INDEX(Students!$A$5:$A$304,MATCH($C$4&amp;"|"&amp;$C$5&amp;"|"&amp;9,Students!$O$5:$O$304,0)),"")</f>
        <v/>
      </c>
      <c r="Q27" s="1" t="str">
        <f aca="false">IFERROR(INDEX(Students!$A$5:$A$304,MATCH($C$4&amp;"|"&amp;$C$5&amp;"|"&amp;10,Students!$O$5:$O$304,0)),"")</f>
        <v/>
      </c>
    </row>
    <row r="28" customFormat="false" ht="25.5" hidden="false" customHeight="true" outlineLevel="0" collapsed="false">
      <c r="A28" s="67" t="str">
        <f aca="false">IF($P$27="","","PHOTO")</f>
        <v/>
      </c>
      <c r="B28" s="68" t="str">
        <f aca="false">IF($P$27="","",INDEX(Students!$B$5:$B$304,MATCH($P$27,Students!$A$5:$A$304,0)))</f>
        <v/>
      </c>
      <c r="C28" s="68"/>
      <c r="D28" s="68"/>
      <c r="F28" s="67" t="str">
        <f aca="false">IF($Q$27="","","PHOTO")</f>
        <v/>
      </c>
      <c r="G28" s="68" t="str">
        <f aca="false">IF($Q$27="","",INDEX(Students!$B$5:$B$304,MATCH($Q$27,Students!$A$5:$A$304,0)))</f>
        <v/>
      </c>
      <c r="H28" s="68"/>
      <c r="I28" s="68"/>
    </row>
    <row r="29" customFormat="false" ht="19.5" hidden="false" customHeight="true" outlineLevel="0" collapsed="false">
      <c r="A29" s="67"/>
      <c r="B29" s="69" t="str">
        <f aca="false">IF($P$27="","","ID: "&amp;$P$27)</f>
        <v/>
      </c>
      <c r="C29" s="69"/>
      <c r="D29" s="69"/>
      <c r="F29" s="67"/>
      <c r="G29" s="69" t="str">
        <f aca="false">IF($Q$27="","","ID: "&amp;$Q$27)</f>
        <v/>
      </c>
      <c r="H29" s="69"/>
      <c r="I29" s="69"/>
    </row>
    <row r="30" customFormat="false" ht="19.5" hidden="false" customHeight="true" outlineLevel="0" collapsed="false">
      <c r="A30" s="67"/>
      <c r="B30" s="70" t="str">
        <f aca="false">IF($P$27="","",INDEX(Students!$F$5:$F$304,MATCH($P$27,Students!$A$5:$A$304,0))&amp;"  |  "&amp;Settings!$B$5)</f>
        <v/>
      </c>
      <c r="C30" s="70"/>
      <c r="D30" s="70"/>
      <c r="F30" s="67"/>
      <c r="G30" s="70" t="str">
        <f aca="false">IF($Q$27="","",INDEX(Students!$F$5:$F$304,MATCH($Q$27,Students!$A$5:$A$304,0))&amp;"  |  "&amp;Settings!$B$5)</f>
        <v/>
      </c>
      <c r="H30" s="70"/>
      <c r="I30" s="70"/>
    </row>
    <row r="31" customFormat="false" ht="9.75" hidden="false" customHeight="true" outlineLevel="0" collapsed="false"/>
    <row r="32" customFormat="false" ht="21.75" hidden="false" customHeight="true" outlineLevel="0" collapsed="false">
      <c r="A32" s="66" t="str">
        <f aca="false">IF($P$32="","",$D$4)</f>
        <v/>
      </c>
      <c r="B32" s="66"/>
      <c r="C32" s="66"/>
      <c r="D32" s="66"/>
      <c r="F32" s="66" t="str">
        <f aca="false">IF($Q$32="","",$D$4)</f>
        <v/>
      </c>
      <c r="G32" s="66"/>
      <c r="H32" s="66"/>
      <c r="I32" s="66"/>
      <c r="P32" s="1" t="str">
        <f aca="false">IFERROR(INDEX(Students!$A$5:$A$304,MATCH($C$4&amp;"|"&amp;$C$5&amp;"|"&amp;11,Students!$O$5:$O$304,0)),"")</f>
        <v/>
      </c>
      <c r="Q32" s="1" t="str">
        <f aca="false">IFERROR(INDEX(Students!$A$5:$A$304,MATCH($C$4&amp;"|"&amp;$C$5&amp;"|"&amp;12,Students!$O$5:$O$304,0)),"")</f>
        <v/>
      </c>
    </row>
    <row r="33" customFormat="false" ht="25.5" hidden="false" customHeight="true" outlineLevel="0" collapsed="false">
      <c r="A33" s="67" t="str">
        <f aca="false">IF($P$32="","","PHOTO")</f>
        <v/>
      </c>
      <c r="B33" s="68" t="str">
        <f aca="false">IF($P$32="","",INDEX(Students!$B$5:$B$304,MATCH($P$32,Students!$A$5:$A$304,0)))</f>
        <v/>
      </c>
      <c r="C33" s="68"/>
      <c r="D33" s="68"/>
      <c r="F33" s="67" t="str">
        <f aca="false">IF($Q$32="","","PHOTO")</f>
        <v/>
      </c>
      <c r="G33" s="68" t="str">
        <f aca="false">IF($Q$32="","",INDEX(Students!$B$5:$B$304,MATCH($Q$32,Students!$A$5:$A$304,0)))</f>
        <v/>
      </c>
      <c r="H33" s="68"/>
      <c r="I33" s="68"/>
    </row>
    <row r="34" customFormat="false" ht="19.5" hidden="false" customHeight="true" outlineLevel="0" collapsed="false">
      <c r="A34" s="67"/>
      <c r="B34" s="69" t="str">
        <f aca="false">IF($P$32="","","ID: "&amp;$P$32)</f>
        <v/>
      </c>
      <c r="C34" s="69"/>
      <c r="D34" s="69"/>
      <c r="F34" s="67"/>
      <c r="G34" s="69" t="str">
        <f aca="false">IF($Q$32="","","ID: "&amp;$Q$32)</f>
        <v/>
      </c>
      <c r="H34" s="69"/>
      <c r="I34" s="69"/>
    </row>
    <row r="35" customFormat="false" ht="19.5" hidden="false" customHeight="true" outlineLevel="0" collapsed="false">
      <c r="A35" s="67"/>
      <c r="B35" s="70" t="str">
        <f aca="false">IF($P$32="","",INDEX(Students!$F$5:$F$304,MATCH($P$32,Students!$A$5:$A$304,0))&amp;"  |  "&amp;Settings!$B$5)</f>
        <v/>
      </c>
      <c r="C35" s="70"/>
      <c r="D35" s="70"/>
      <c r="F35" s="67"/>
      <c r="G35" s="70" t="str">
        <f aca="false">IF($Q$32="","",INDEX(Students!$F$5:$F$304,MATCH($Q$32,Students!$A$5:$A$304,0))&amp;"  |  "&amp;Settings!$B$5)</f>
        <v/>
      </c>
      <c r="H35" s="70"/>
      <c r="I35" s="70"/>
    </row>
    <row r="36" customFormat="false" ht="9.75" hidden="false" customHeight="true" outlineLevel="0" collapsed="false"/>
    <row r="37" customFormat="false" ht="21.75" hidden="false" customHeight="true" outlineLevel="0" collapsed="false">
      <c r="A37" s="66" t="str">
        <f aca="false">IF($P$37="","",$D$4)</f>
        <v/>
      </c>
      <c r="B37" s="66"/>
      <c r="C37" s="66"/>
      <c r="D37" s="66"/>
      <c r="F37" s="66" t="str">
        <f aca="false">IF($Q$37="","",$D$4)</f>
        <v/>
      </c>
      <c r="G37" s="66"/>
      <c r="H37" s="66"/>
      <c r="I37" s="66"/>
      <c r="P37" s="1" t="str">
        <f aca="false">IFERROR(INDEX(Students!$A$5:$A$304,MATCH($C$4&amp;"|"&amp;$C$5&amp;"|"&amp;13,Students!$O$5:$O$304,0)),"")</f>
        <v/>
      </c>
      <c r="Q37" s="1" t="str">
        <f aca="false">IFERROR(INDEX(Students!$A$5:$A$304,MATCH($C$4&amp;"|"&amp;$C$5&amp;"|"&amp;14,Students!$O$5:$O$304,0)),"")</f>
        <v/>
      </c>
    </row>
    <row r="38" customFormat="false" ht="25.5" hidden="false" customHeight="true" outlineLevel="0" collapsed="false">
      <c r="A38" s="67" t="str">
        <f aca="false">IF($P$37="","","PHOTO")</f>
        <v/>
      </c>
      <c r="B38" s="68" t="str">
        <f aca="false">IF($P$37="","",INDEX(Students!$B$5:$B$304,MATCH($P$37,Students!$A$5:$A$304,0)))</f>
        <v/>
      </c>
      <c r="C38" s="68"/>
      <c r="D38" s="68"/>
      <c r="F38" s="67" t="str">
        <f aca="false">IF($Q$37="","","PHOTO")</f>
        <v/>
      </c>
      <c r="G38" s="68" t="str">
        <f aca="false">IF($Q$37="","",INDEX(Students!$B$5:$B$304,MATCH($Q$37,Students!$A$5:$A$304,0)))</f>
        <v/>
      </c>
      <c r="H38" s="68"/>
      <c r="I38" s="68"/>
    </row>
    <row r="39" customFormat="false" ht="19.5" hidden="false" customHeight="true" outlineLevel="0" collapsed="false">
      <c r="A39" s="67"/>
      <c r="B39" s="69" t="str">
        <f aca="false">IF($P$37="","","ID: "&amp;$P$37)</f>
        <v/>
      </c>
      <c r="C39" s="69"/>
      <c r="D39" s="69"/>
      <c r="F39" s="67"/>
      <c r="G39" s="69" t="str">
        <f aca="false">IF($Q$37="","","ID: "&amp;$Q$37)</f>
        <v/>
      </c>
      <c r="H39" s="69"/>
      <c r="I39" s="69"/>
    </row>
    <row r="40" customFormat="false" ht="19.5" hidden="false" customHeight="true" outlineLevel="0" collapsed="false">
      <c r="A40" s="67"/>
      <c r="B40" s="70" t="str">
        <f aca="false">IF($P$37="","",INDEX(Students!$F$5:$F$304,MATCH($P$37,Students!$A$5:$A$304,0))&amp;"  |  "&amp;Settings!$B$5)</f>
        <v/>
      </c>
      <c r="C40" s="70"/>
      <c r="D40" s="70"/>
      <c r="F40" s="67"/>
      <c r="G40" s="70" t="str">
        <f aca="false">IF($Q$37="","",INDEX(Students!$F$5:$F$304,MATCH($Q$37,Students!$A$5:$A$304,0))&amp;"  |  "&amp;Settings!$B$5)</f>
        <v/>
      </c>
      <c r="H40" s="70"/>
      <c r="I40" s="70"/>
    </row>
    <row r="41" customFormat="false" ht="9.75" hidden="false" customHeight="true" outlineLevel="0" collapsed="false"/>
    <row r="42" customFormat="false" ht="21.75" hidden="false" customHeight="true" outlineLevel="0" collapsed="false">
      <c r="A42" s="66" t="str">
        <f aca="false">IF($P$42="","",$D$4)</f>
        <v/>
      </c>
      <c r="B42" s="66"/>
      <c r="C42" s="66"/>
      <c r="D42" s="66"/>
      <c r="F42" s="66" t="str">
        <f aca="false">IF($Q$42="","",$D$4)</f>
        <v/>
      </c>
      <c r="G42" s="66"/>
      <c r="H42" s="66"/>
      <c r="I42" s="66"/>
      <c r="P42" s="1" t="str">
        <f aca="false">IFERROR(INDEX(Students!$A$5:$A$304,MATCH($C$4&amp;"|"&amp;$C$5&amp;"|"&amp;15,Students!$O$5:$O$304,0)),"")</f>
        <v/>
      </c>
      <c r="Q42" s="1" t="str">
        <f aca="false">IFERROR(INDEX(Students!$A$5:$A$304,MATCH($C$4&amp;"|"&amp;$C$5&amp;"|"&amp;16,Students!$O$5:$O$304,0)),"")</f>
        <v/>
      </c>
    </row>
    <row r="43" customFormat="false" ht="25.5" hidden="false" customHeight="true" outlineLevel="0" collapsed="false">
      <c r="A43" s="67" t="str">
        <f aca="false">IF($P$42="","","PHOTO")</f>
        <v/>
      </c>
      <c r="B43" s="68" t="str">
        <f aca="false">IF($P$42="","",INDEX(Students!$B$5:$B$304,MATCH($P$42,Students!$A$5:$A$304,0)))</f>
        <v/>
      </c>
      <c r="C43" s="68"/>
      <c r="D43" s="68"/>
      <c r="F43" s="67" t="str">
        <f aca="false">IF($Q$42="","","PHOTO")</f>
        <v/>
      </c>
      <c r="G43" s="68" t="str">
        <f aca="false">IF($Q$42="","",INDEX(Students!$B$5:$B$304,MATCH($Q$42,Students!$A$5:$A$304,0)))</f>
        <v/>
      </c>
      <c r="H43" s="68"/>
      <c r="I43" s="68"/>
    </row>
    <row r="44" customFormat="false" ht="19.5" hidden="false" customHeight="true" outlineLevel="0" collapsed="false">
      <c r="A44" s="67"/>
      <c r="B44" s="69" t="str">
        <f aca="false">IF($P$42="","","ID: "&amp;$P$42)</f>
        <v/>
      </c>
      <c r="C44" s="69"/>
      <c r="D44" s="69"/>
      <c r="F44" s="67"/>
      <c r="G44" s="69" t="str">
        <f aca="false">IF($Q$42="","","ID: "&amp;$Q$42)</f>
        <v/>
      </c>
      <c r="H44" s="69"/>
      <c r="I44" s="69"/>
    </row>
    <row r="45" customFormat="false" ht="19.5" hidden="false" customHeight="true" outlineLevel="0" collapsed="false">
      <c r="A45" s="67"/>
      <c r="B45" s="70" t="str">
        <f aca="false">IF($P$42="","",INDEX(Students!$F$5:$F$304,MATCH($P$42,Students!$A$5:$A$304,0))&amp;"  |  "&amp;Settings!$B$5)</f>
        <v/>
      </c>
      <c r="C45" s="70"/>
      <c r="D45" s="70"/>
      <c r="F45" s="67"/>
      <c r="G45" s="70" t="str">
        <f aca="false">IF($Q$42="","",INDEX(Students!$F$5:$F$304,MATCH($Q$42,Students!$A$5:$A$304,0))&amp;"  |  "&amp;Settings!$B$5)</f>
        <v/>
      </c>
      <c r="H45" s="70"/>
      <c r="I45" s="70"/>
    </row>
    <row r="46" customFormat="false" ht="9.75" hidden="false" customHeight="true" outlineLevel="0" collapsed="false"/>
    <row r="47" customFormat="false" ht="21.75" hidden="false" customHeight="true" outlineLevel="0" collapsed="false">
      <c r="A47" s="66" t="str">
        <f aca="false">IF($P$47="","",$D$4)</f>
        <v/>
      </c>
      <c r="B47" s="66"/>
      <c r="C47" s="66"/>
      <c r="D47" s="66"/>
      <c r="F47" s="66" t="str">
        <f aca="false">IF($Q$47="","",$D$4)</f>
        <v/>
      </c>
      <c r="G47" s="66"/>
      <c r="H47" s="66"/>
      <c r="I47" s="66"/>
      <c r="P47" s="1" t="str">
        <f aca="false">IFERROR(INDEX(Students!$A$5:$A$304,MATCH($C$4&amp;"|"&amp;$C$5&amp;"|"&amp;17,Students!$O$5:$O$304,0)),"")</f>
        <v/>
      </c>
      <c r="Q47" s="1" t="str">
        <f aca="false">IFERROR(INDEX(Students!$A$5:$A$304,MATCH($C$4&amp;"|"&amp;$C$5&amp;"|"&amp;18,Students!$O$5:$O$304,0)),"")</f>
        <v/>
      </c>
    </row>
    <row r="48" customFormat="false" ht="25.5" hidden="false" customHeight="true" outlineLevel="0" collapsed="false">
      <c r="A48" s="67" t="str">
        <f aca="false">IF($P$47="","","PHOTO")</f>
        <v/>
      </c>
      <c r="B48" s="68" t="str">
        <f aca="false">IF($P$47="","",INDEX(Students!$B$5:$B$304,MATCH($P$47,Students!$A$5:$A$304,0)))</f>
        <v/>
      </c>
      <c r="C48" s="68"/>
      <c r="D48" s="68"/>
      <c r="F48" s="67" t="str">
        <f aca="false">IF($Q$47="","","PHOTO")</f>
        <v/>
      </c>
      <c r="G48" s="68" t="str">
        <f aca="false">IF($Q$47="","",INDEX(Students!$B$5:$B$304,MATCH($Q$47,Students!$A$5:$A$304,0)))</f>
        <v/>
      </c>
      <c r="H48" s="68"/>
      <c r="I48" s="68"/>
    </row>
    <row r="49" customFormat="false" ht="19.5" hidden="false" customHeight="true" outlineLevel="0" collapsed="false">
      <c r="A49" s="67"/>
      <c r="B49" s="69" t="str">
        <f aca="false">IF($P$47="","","ID: "&amp;$P$47)</f>
        <v/>
      </c>
      <c r="C49" s="69"/>
      <c r="D49" s="69"/>
      <c r="F49" s="67"/>
      <c r="G49" s="69" t="str">
        <f aca="false">IF($Q$47="","","ID: "&amp;$Q$47)</f>
        <v/>
      </c>
      <c r="H49" s="69"/>
      <c r="I49" s="69"/>
    </row>
    <row r="50" customFormat="false" ht="19.5" hidden="false" customHeight="true" outlineLevel="0" collapsed="false">
      <c r="A50" s="67"/>
      <c r="B50" s="70" t="str">
        <f aca="false">IF($P$47="","",INDEX(Students!$F$5:$F$304,MATCH($P$47,Students!$A$5:$A$304,0))&amp;"  |  "&amp;Settings!$B$5)</f>
        <v/>
      </c>
      <c r="C50" s="70"/>
      <c r="D50" s="70"/>
      <c r="F50" s="67"/>
      <c r="G50" s="70" t="str">
        <f aca="false">IF($Q$47="","",INDEX(Students!$F$5:$F$304,MATCH($Q$47,Students!$A$5:$A$304,0))&amp;"  |  "&amp;Settings!$B$5)</f>
        <v/>
      </c>
      <c r="H50" s="70"/>
      <c r="I50" s="70"/>
    </row>
    <row r="51" customFormat="false" ht="9.75" hidden="false" customHeight="true" outlineLevel="0" collapsed="false"/>
    <row r="52" customFormat="false" ht="21.75" hidden="false" customHeight="true" outlineLevel="0" collapsed="false">
      <c r="A52" s="66" t="str">
        <f aca="false">IF($P$52="","",$D$4)</f>
        <v/>
      </c>
      <c r="B52" s="66"/>
      <c r="C52" s="66"/>
      <c r="D52" s="66"/>
      <c r="F52" s="66" t="str">
        <f aca="false">IF($Q$52="","",$D$4)</f>
        <v/>
      </c>
      <c r="G52" s="66"/>
      <c r="H52" s="66"/>
      <c r="I52" s="66"/>
      <c r="P52" s="1" t="str">
        <f aca="false">IFERROR(INDEX(Students!$A$5:$A$304,MATCH($C$4&amp;"|"&amp;$C$5&amp;"|"&amp;19,Students!$O$5:$O$304,0)),"")</f>
        <v/>
      </c>
      <c r="Q52" s="1" t="str">
        <f aca="false">IFERROR(INDEX(Students!$A$5:$A$304,MATCH($C$4&amp;"|"&amp;$C$5&amp;"|"&amp;20,Students!$O$5:$O$304,0)),"")</f>
        <v/>
      </c>
    </row>
    <row r="53" customFormat="false" ht="25.5" hidden="false" customHeight="true" outlineLevel="0" collapsed="false">
      <c r="A53" s="67" t="str">
        <f aca="false">IF($P$52="","","PHOTO")</f>
        <v/>
      </c>
      <c r="B53" s="68" t="str">
        <f aca="false">IF($P$52="","",INDEX(Students!$B$5:$B$304,MATCH($P$52,Students!$A$5:$A$304,0)))</f>
        <v/>
      </c>
      <c r="C53" s="68"/>
      <c r="D53" s="68"/>
      <c r="F53" s="67" t="str">
        <f aca="false">IF($Q$52="","","PHOTO")</f>
        <v/>
      </c>
      <c r="G53" s="68" t="str">
        <f aca="false">IF($Q$52="","",INDEX(Students!$B$5:$B$304,MATCH($Q$52,Students!$A$5:$A$304,0)))</f>
        <v/>
      </c>
      <c r="H53" s="68"/>
      <c r="I53" s="68"/>
    </row>
    <row r="54" customFormat="false" ht="19.5" hidden="false" customHeight="true" outlineLevel="0" collapsed="false">
      <c r="A54" s="67"/>
      <c r="B54" s="69" t="str">
        <f aca="false">IF($P$52="","","ID: "&amp;$P$52)</f>
        <v/>
      </c>
      <c r="C54" s="69"/>
      <c r="D54" s="69"/>
      <c r="F54" s="67"/>
      <c r="G54" s="69" t="str">
        <f aca="false">IF($Q$52="","","ID: "&amp;$Q$52)</f>
        <v/>
      </c>
      <c r="H54" s="69"/>
      <c r="I54" s="69"/>
    </row>
    <row r="55" customFormat="false" ht="19.5" hidden="false" customHeight="true" outlineLevel="0" collapsed="false">
      <c r="A55" s="67"/>
      <c r="B55" s="70" t="str">
        <f aca="false">IF($P$52="","",INDEX(Students!$F$5:$F$304,MATCH($P$52,Students!$A$5:$A$304,0))&amp;"  |  "&amp;Settings!$B$5)</f>
        <v/>
      </c>
      <c r="C55" s="70"/>
      <c r="D55" s="70"/>
      <c r="F55" s="67"/>
      <c r="G55" s="70" t="str">
        <f aca="false">IF($Q$52="","",INDEX(Students!$F$5:$F$304,MATCH($Q$52,Students!$A$5:$A$304,0))&amp;"  |  "&amp;Settings!$B$5)</f>
        <v/>
      </c>
      <c r="H55" s="70"/>
      <c r="I55" s="70"/>
    </row>
    <row r="56" customFormat="false" ht="9.75" hidden="false" customHeight="true" outlineLevel="0" collapsed="false"/>
    <row r="57" customFormat="false" ht="21.75" hidden="false" customHeight="true" outlineLevel="0" collapsed="false">
      <c r="A57" s="66" t="str">
        <f aca="false">IF($P$57="","",$D$4)</f>
        <v/>
      </c>
      <c r="B57" s="66"/>
      <c r="C57" s="66"/>
      <c r="D57" s="66"/>
      <c r="F57" s="66" t="str">
        <f aca="false">IF($Q$57="","",$D$4)</f>
        <v/>
      </c>
      <c r="G57" s="66"/>
      <c r="H57" s="66"/>
      <c r="I57" s="66"/>
      <c r="P57" s="1" t="str">
        <f aca="false">IFERROR(INDEX(Students!$A$5:$A$304,MATCH($C$4&amp;"|"&amp;$C$5&amp;"|"&amp;21,Students!$O$5:$O$304,0)),"")</f>
        <v/>
      </c>
      <c r="Q57" s="1" t="str">
        <f aca="false">IFERROR(INDEX(Students!$A$5:$A$304,MATCH($C$4&amp;"|"&amp;$C$5&amp;"|"&amp;22,Students!$O$5:$O$304,0)),"")</f>
        <v/>
      </c>
    </row>
    <row r="58" customFormat="false" ht="25.5" hidden="false" customHeight="true" outlineLevel="0" collapsed="false">
      <c r="A58" s="67" t="str">
        <f aca="false">IF($P$57="","","PHOTO")</f>
        <v/>
      </c>
      <c r="B58" s="68" t="str">
        <f aca="false">IF($P$57="","",INDEX(Students!$B$5:$B$304,MATCH($P$57,Students!$A$5:$A$304,0)))</f>
        <v/>
      </c>
      <c r="C58" s="68"/>
      <c r="D58" s="68"/>
      <c r="F58" s="67" t="str">
        <f aca="false">IF($Q$57="","","PHOTO")</f>
        <v/>
      </c>
      <c r="G58" s="68" t="str">
        <f aca="false">IF($Q$57="","",INDEX(Students!$B$5:$B$304,MATCH($Q$57,Students!$A$5:$A$304,0)))</f>
        <v/>
      </c>
      <c r="H58" s="68"/>
      <c r="I58" s="68"/>
    </row>
    <row r="59" customFormat="false" ht="19.5" hidden="false" customHeight="true" outlineLevel="0" collapsed="false">
      <c r="A59" s="67"/>
      <c r="B59" s="69" t="str">
        <f aca="false">IF($P$57="","","ID: "&amp;$P$57)</f>
        <v/>
      </c>
      <c r="C59" s="69"/>
      <c r="D59" s="69"/>
      <c r="F59" s="67"/>
      <c r="G59" s="69" t="str">
        <f aca="false">IF($Q$57="","","ID: "&amp;$Q$57)</f>
        <v/>
      </c>
      <c r="H59" s="69"/>
      <c r="I59" s="69"/>
    </row>
    <row r="60" customFormat="false" ht="19.5" hidden="false" customHeight="true" outlineLevel="0" collapsed="false">
      <c r="A60" s="67"/>
      <c r="B60" s="70" t="str">
        <f aca="false">IF($P$57="","",INDEX(Students!$F$5:$F$304,MATCH($P$57,Students!$A$5:$A$304,0))&amp;"  |  "&amp;Settings!$B$5)</f>
        <v/>
      </c>
      <c r="C60" s="70"/>
      <c r="D60" s="70"/>
      <c r="F60" s="67"/>
      <c r="G60" s="70" t="str">
        <f aca="false">IF($Q$57="","",INDEX(Students!$F$5:$F$304,MATCH($Q$57,Students!$A$5:$A$304,0))&amp;"  |  "&amp;Settings!$B$5)</f>
        <v/>
      </c>
      <c r="H60" s="70"/>
      <c r="I60" s="70"/>
    </row>
    <row r="61" customFormat="false" ht="9.75" hidden="false" customHeight="true" outlineLevel="0" collapsed="false"/>
    <row r="62" customFormat="false" ht="21.75" hidden="false" customHeight="true" outlineLevel="0" collapsed="false">
      <c r="A62" s="66" t="str">
        <f aca="false">IF($P$62="","",$D$4)</f>
        <v/>
      </c>
      <c r="B62" s="66"/>
      <c r="C62" s="66"/>
      <c r="D62" s="66"/>
      <c r="F62" s="66" t="str">
        <f aca="false">IF($Q$62="","",$D$4)</f>
        <v/>
      </c>
      <c r="G62" s="66"/>
      <c r="H62" s="66"/>
      <c r="I62" s="66"/>
      <c r="P62" s="1" t="str">
        <f aca="false">IFERROR(INDEX(Students!$A$5:$A$304,MATCH($C$4&amp;"|"&amp;$C$5&amp;"|"&amp;23,Students!$O$5:$O$304,0)),"")</f>
        <v/>
      </c>
      <c r="Q62" s="1" t="str">
        <f aca="false">IFERROR(INDEX(Students!$A$5:$A$304,MATCH($C$4&amp;"|"&amp;$C$5&amp;"|"&amp;24,Students!$O$5:$O$304,0)),"")</f>
        <v/>
      </c>
    </row>
    <row r="63" customFormat="false" ht="25.5" hidden="false" customHeight="true" outlineLevel="0" collapsed="false">
      <c r="A63" s="67" t="str">
        <f aca="false">IF($P$62="","","PHOTO")</f>
        <v/>
      </c>
      <c r="B63" s="68" t="str">
        <f aca="false">IF($P$62="","",INDEX(Students!$B$5:$B$304,MATCH($P$62,Students!$A$5:$A$304,0)))</f>
        <v/>
      </c>
      <c r="C63" s="68"/>
      <c r="D63" s="68"/>
      <c r="F63" s="67" t="str">
        <f aca="false">IF($Q$62="","","PHOTO")</f>
        <v/>
      </c>
      <c r="G63" s="68" t="str">
        <f aca="false">IF($Q$62="","",INDEX(Students!$B$5:$B$304,MATCH($Q$62,Students!$A$5:$A$304,0)))</f>
        <v/>
      </c>
      <c r="H63" s="68"/>
      <c r="I63" s="68"/>
    </row>
    <row r="64" customFormat="false" ht="19.5" hidden="false" customHeight="true" outlineLevel="0" collapsed="false">
      <c r="A64" s="67"/>
      <c r="B64" s="69" t="str">
        <f aca="false">IF($P$62="","","ID: "&amp;$P$62)</f>
        <v/>
      </c>
      <c r="C64" s="69"/>
      <c r="D64" s="69"/>
      <c r="F64" s="67"/>
      <c r="G64" s="69" t="str">
        <f aca="false">IF($Q$62="","","ID: "&amp;$Q$62)</f>
        <v/>
      </c>
      <c r="H64" s="69"/>
      <c r="I64" s="69"/>
    </row>
    <row r="65" customFormat="false" ht="19.5" hidden="false" customHeight="true" outlineLevel="0" collapsed="false">
      <c r="A65" s="67"/>
      <c r="B65" s="70" t="str">
        <f aca="false">IF($P$62="","",INDEX(Students!$F$5:$F$304,MATCH($P$62,Students!$A$5:$A$304,0))&amp;"  |  "&amp;Settings!$B$5)</f>
        <v/>
      </c>
      <c r="C65" s="70"/>
      <c r="D65" s="70"/>
      <c r="F65" s="67"/>
      <c r="G65" s="70" t="str">
        <f aca="false">IF($Q$62="","",INDEX(Students!$F$5:$F$304,MATCH($Q$62,Students!$A$5:$A$304,0))&amp;"  |  "&amp;Settings!$B$5)</f>
        <v/>
      </c>
      <c r="H65" s="70"/>
      <c r="I65" s="70"/>
    </row>
    <row r="66" customFormat="false" ht="9.75" hidden="false" customHeight="true" outlineLevel="0" collapsed="false"/>
    <row r="67" customFormat="false" ht="21.75" hidden="false" customHeight="true" outlineLevel="0" collapsed="false">
      <c r="A67" s="66" t="str">
        <f aca="false">IF($P$67="","",$D$4)</f>
        <v/>
      </c>
      <c r="B67" s="66"/>
      <c r="C67" s="66"/>
      <c r="D67" s="66"/>
      <c r="F67" s="66" t="str">
        <f aca="false">IF($Q$67="","",$D$4)</f>
        <v/>
      </c>
      <c r="G67" s="66"/>
      <c r="H67" s="66"/>
      <c r="I67" s="66"/>
      <c r="P67" s="1" t="str">
        <f aca="false">IFERROR(INDEX(Students!$A$5:$A$304,MATCH($C$4&amp;"|"&amp;$C$5&amp;"|"&amp;25,Students!$O$5:$O$304,0)),"")</f>
        <v/>
      </c>
      <c r="Q67" s="1" t="str">
        <f aca="false">IFERROR(INDEX(Students!$A$5:$A$304,MATCH($C$4&amp;"|"&amp;$C$5&amp;"|"&amp;26,Students!$O$5:$O$304,0)),"")</f>
        <v/>
      </c>
    </row>
    <row r="68" customFormat="false" ht="25.5" hidden="false" customHeight="true" outlineLevel="0" collapsed="false">
      <c r="A68" s="67" t="str">
        <f aca="false">IF($P$67="","","PHOTO")</f>
        <v/>
      </c>
      <c r="B68" s="68" t="str">
        <f aca="false">IF($P$67="","",INDEX(Students!$B$5:$B$304,MATCH($P$67,Students!$A$5:$A$304,0)))</f>
        <v/>
      </c>
      <c r="C68" s="68"/>
      <c r="D68" s="68"/>
      <c r="F68" s="67" t="str">
        <f aca="false">IF($Q$67="","","PHOTO")</f>
        <v/>
      </c>
      <c r="G68" s="68" t="str">
        <f aca="false">IF($Q$67="","",INDEX(Students!$B$5:$B$304,MATCH($Q$67,Students!$A$5:$A$304,0)))</f>
        <v/>
      </c>
      <c r="H68" s="68"/>
      <c r="I68" s="68"/>
    </row>
    <row r="69" customFormat="false" ht="19.5" hidden="false" customHeight="true" outlineLevel="0" collapsed="false">
      <c r="A69" s="67"/>
      <c r="B69" s="69" t="str">
        <f aca="false">IF($P$67="","","ID: "&amp;$P$67)</f>
        <v/>
      </c>
      <c r="C69" s="69"/>
      <c r="D69" s="69"/>
      <c r="F69" s="67"/>
      <c r="G69" s="69" t="str">
        <f aca="false">IF($Q$67="","","ID: "&amp;$Q$67)</f>
        <v/>
      </c>
      <c r="H69" s="69"/>
      <c r="I69" s="69"/>
    </row>
    <row r="70" customFormat="false" ht="19.5" hidden="false" customHeight="true" outlineLevel="0" collapsed="false">
      <c r="A70" s="67"/>
      <c r="B70" s="70" t="str">
        <f aca="false">IF($P$67="","",INDEX(Students!$F$5:$F$304,MATCH($P$67,Students!$A$5:$A$304,0))&amp;"  |  "&amp;Settings!$B$5)</f>
        <v/>
      </c>
      <c r="C70" s="70"/>
      <c r="D70" s="70"/>
      <c r="F70" s="67"/>
      <c r="G70" s="70" t="str">
        <f aca="false">IF($Q$67="","",INDEX(Students!$F$5:$F$304,MATCH($Q$67,Students!$A$5:$A$304,0))&amp;"  |  "&amp;Settings!$B$5)</f>
        <v/>
      </c>
      <c r="H70" s="70"/>
      <c r="I70" s="70"/>
    </row>
    <row r="71" customFormat="false" ht="9.75" hidden="false" customHeight="true" outlineLevel="0" collapsed="false"/>
    <row r="72" customFormat="false" ht="21.75" hidden="false" customHeight="true" outlineLevel="0" collapsed="false">
      <c r="A72" s="66" t="str">
        <f aca="false">IF($P$72="","",$D$4)</f>
        <v/>
      </c>
      <c r="B72" s="66"/>
      <c r="C72" s="66"/>
      <c r="D72" s="66"/>
      <c r="F72" s="66" t="str">
        <f aca="false">IF($Q$72="","",$D$4)</f>
        <v/>
      </c>
      <c r="G72" s="66"/>
      <c r="H72" s="66"/>
      <c r="I72" s="66"/>
      <c r="P72" s="1" t="str">
        <f aca="false">IFERROR(INDEX(Students!$A$5:$A$304,MATCH($C$4&amp;"|"&amp;$C$5&amp;"|"&amp;27,Students!$O$5:$O$304,0)),"")</f>
        <v/>
      </c>
      <c r="Q72" s="1" t="str">
        <f aca="false">IFERROR(INDEX(Students!$A$5:$A$304,MATCH($C$4&amp;"|"&amp;$C$5&amp;"|"&amp;28,Students!$O$5:$O$304,0)),"")</f>
        <v/>
      </c>
    </row>
    <row r="73" customFormat="false" ht="25.5" hidden="false" customHeight="true" outlineLevel="0" collapsed="false">
      <c r="A73" s="67" t="str">
        <f aca="false">IF($P$72="","","PHOTO")</f>
        <v/>
      </c>
      <c r="B73" s="68" t="str">
        <f aca="false">IF($P$72="","",INDEX(Students!$B$5:$B$304,MATCH($P$72,Students!$A$5:$A$304,0)))</f>
        <v/>
      </c>
      <c r="C73" s="68"/>
      <c r="D73" s="68"/>
      <c r="F73" s="67" t="str">
        <f aca="false">IF($Q$72="","","PHOTO")</f>
        <v/>
      </c>
      <c r="G73" s="68" t="str">
        <f aca="false">IF($Q$72="","",INDEX(Students!$B$5:$B$304,MATCH($Q$72,Students!$A$5:$A$304,0)))</f>
        <v/>
      </c>
      <c r="H73" s="68"/>
      <c r="I73" s="68"/>
    </row>
    <row r="74" customFormat="false" ht="19.5" hidden="false" customHeight="true" outlineLevel="0" collapsed="false">
      <c r="A74" s="67"/>
      <c r="B74" s="69" t="str">
        <f aca="false">IF($P$72="","","ID: "&amp;$P$72)</f>
        <v/>
      </c>
      <c r="C74" s="69"/>
      <c r="D74" s="69"/>
      <c r="F74" s="67"/>
      <c r="G74" s="69" t="str">
        <f aca="false">IF($Q$72="","","ID: "&amp;$Q$72)</f>
        <v/>
      </c>
      <c r="H74" s="69"/>
      <c r="I74" s="69"/>
    </row>
    <row r="75" customFormat="false" ht="19.5" hidden="false" customHeight="true" outlineLevel="0" collapsed="false">
      <c r="A75" s="67"/>
      <c r="B75" s="70" t="str">
        <f aca="false">IF($P$72="","",INDEX(Students!$F$5:$F$304,MATCH($P$72,Students!$A$5:$A$304,0))&amp;"  |  "&amp;Settings!$B$5)</f>
        <v/>
      </c>
      <c r="C75" s="70"/>
      <c r="D75" s="70"/>
      <c r="F75" s="67"/>
      <c r="G75" s="70" t="str">
        <f aca="false">IF($Q$72="","",INDEX(Students!$F$5:$F$304,MATCH($Q$72,Students!$A$5:$A$304,0))&amp;"  |  "&amp;Settings!$B$5)</f>
        <v/>
      </c>
      <c r="H75" s="70"/>
      <c r="I75" s="70"/>
    </row>
    <row r="76" customFormat="false" ht="9.75" hidden="false" customHeight="true" outlineLevel="0" collapsed="false"/>
    <row r="77" customFormat="false" ht="21.75" hidden="false" customHeight="true" outlineLevel="0" collapsed="false">
      <c r="A77" s="66" t="str">
        <f aca="false">IF($P$77="","",$D$4)</f>
        <v/>
      </c>
      <c r="B77" s="66"/>
      <c r="C77" s="66"/>
      <c r="D77" s="66"/>
      <c r="F77" s="66" t="str">
        <f aca="false">IF($Q$77="","",$D$4)</f>
        <v/>
      </c>
      <c r="G77" s="66"/>
      <c r="H77" s="66"/>
      <c r="I77" s="66"/>
      <c r="P77" s="1" t="str">
        <f aca="false">IFERROR(INDEX(Students!$A$5:$A$304,MATCH($C$4&amp;"|"&amp;$C$5&amp;"|"&amp;29,Students!$O$5:$O$304,0)),"")</f>
        <v/>
      </c>
      <c r="Q77" s="1" t="str">
        <f aca="false">IFERROR(INDEX(Students!$A$5:$A$304,MATCH($C$4&amp;"|"&amp;$C$5&amp;"|"&amp;30,Students!$O$5:$O$304,0)),"")</f>
        <v/>
      </c>
    </row>
    <row r="78" customFormat="false" ht="25.5" hidden="false" customHeight="true" outlineLevel="0" collapsed="false">
      <c r="A78" s="67" t="str">
        <f aca="false">IF($P$77="","","PHOTO")</f>
        <v/>
      </c>
      <c r="B78" s="68" t="str">
        <f aca="false">IF($P$77="","",INDEX(Students!$B$5:$B$304,MATCH($P$77,Students!$A$5:$A$304,0)))</f>
        <v/>
      </c>
      <c r="C78" s="68"/>
      <c r="D78" s="68"/>
      <c r="F78" s="67" t="str">
        <f aca="false">IF($Q$77="","","PHOTO")</f>
        <v/>
      </c>
      <c r="G78" s="68" t="str">
        <f aca="false">IF($Q$77="","",INDEX(Students!$B$5:$B$304,MATCH($Q$77,Students!$A$5:$A$304,0)))</f>
        <v/>
      </c>
      <c r="H78" s="68"/>
      <c r="I78" s="68"/>
    </row>
    <row r="79" customFormat="false" ht="19.5" hidden="false" customHeight="true" outlineLevel="0" collapsed="false">
      <c r="A79" s="67"/>
      <c r="B79" s="69" t="str">
        <f aca="false">IF($P$77="","","ID: "&amp;$P$77)</f>
        <v/>
      </c>
      <c r="C79" s="69"/>
      <c r="D79" s="69"/>
      <c r="F79" s="67"/>
      <c r="G79" s="69" t="str">
        <f aca="false">IF($Q$77="","","ID: "&amp;$Q$77)</f>
        <v/>
      </c>
      <c r="H79" s="69"/>
      <c r="I79" s="69"/>
    </row>
    <row r="80" customFormat="false" ht="19.5" hidden="false" customHeight="true" outlineLevel="0" collapsed="false">
      <c r="A80" s="67"/>
      <c r="B80" s="70" t="str">
        <f aca="false">IF($P$77="","",INDEX(Students!$F$5:$F$304,MATCH($P$77,Students!$A$5:$A$304,0))&amp;"  |  "&amp;Settings!$B$5)</f>
        <v/>
      </c>
      <c r="C80" s="70"/>
      <c r="D80" s="70"/>
      <c r="F80" s="67"/>
      <c r="G80" s="70" t="str">
        <f aca="false">IF($Q$77="","",INDEX(Students!$F$5:$F$304,MATCH($Q$77,Students!$A$5:$A$304,0))&amp;"  |  "&amp;Settings!$B$5)</f>
        <v/>
      </c>
      <c r="H80" s="70"/>
      <c r="I80" s="70"/>
    </row>
    <row r="81" customFormat="false" ht="9.75" hidden="false" customHeight="true" outlineLevel="0" collapsed="false"/>
    <row r="82" customFormat="false" ht="21.75" hidden="false" customHeight="true" outlineLevel="0" collapsed="false">
      <c r="A82" s="66" t="str">
        <f aca="false">IF($P$82="","",$D$4)</f>
        <v/>
      </c>
      <c r="B82" s="66"/>
      <c r="C82" s="66"/>
      <c r="D82" s="66"/>
      <c r="F82" s="66" t="str">
        <f aca="false">IF($Q$82="","",$D$4)</f>
        <v/>
      </c>
      <c r="G82" s="66"/>
      <c r="H82" s="66"/>
      <c r="I82" s="66"/>
      <c r="P82" s="1" t="str">
        <f aca="false">IFERROR(INDEX(Students!$A$5:$A$304,MATCH($C$4&amp;"|"&amp;$C$5&amp;"|"&amp;31,Students!$O$5:$O$304,0)),"")</f>
        <v/>
      </c>
      <c r="Q82" s="1" t="str">
        <f aca="false">IFERROR(INDEX(Students!$A$5:$A$304,MATCH($C$4&amp;"|"&amp;$C$5&amp;"|"&amp;32,Students!$O$5:$O$304,0)),"")</f>
        <v/>
      </c>
    </row>
    <row r="83" customFormat="false" ht="25.5" hidden="false" customHeight="true" outlineLevel="0" collapsed="false">
      <c r="A83" s="67" t="str">
        <f aca="false">IF($P$82="","","PHOTO")</f>
        <v/>
      </c>
      <c r="B83" s="68" t="str">
        <f aca="false">IF($P$82="","",INDEX(Students!$B$5:$B$304,MATCH($P$82,Students!$A$5:$A$304,0)))</f>
        <v/>
      </c>
      <c r="C83" s="68"/>
      <c r="D83" s="68"/>
      <c r="F83" s="67" t="str">
        <f aca="false">IF($Q$82="","","PHOTO")</f>
        <v/>
      </c>
      <c r="G83" s="68" t="str">
        <f aca="false">IF($Q$82="","",INDEX(Students!$B$5:$B$304,MATCH($Q$82,Students!$A$5:$A$304,0)))</f>
        <v/>
      </c>
      <c r="H83" s="68"/>
      <c r="I83" s="68"/>
    </row>
    <row r="84" customFormat="false" ht="19.5" hidden="false" customHeight="true" outlineLevel="0" collapsed="false">
      <c r="A84" s="67"/>
      <c r="B84" s="69" t="str">
        <f aca="false">IF($P$82="","","ID: "&amp;$P$82)</f>
        <v/>
      </c>
      <c r="C84" s="69"/>
      <c r="D84" s="69"/>
      <c r="F84" s="67"/>
      <c r="G84" s="69" t="str">
        <f aca="false">IF($Q$82="","","ID: "&amp;$Q$82)</f>
        <v/>
      </c>
      <c r="H84" s="69"/>
      <c r="I84" s="69"/>
    </row>
    <row r="85" customFormat="false" ht="19.5" hidden="false" customHeight="true" outlineLevel="0" collapsed="false">
      <c r="A85" s="67"/>
      <c r="B85" s="70" t="str">
        <f aca="false">IF($P$82="","",INDEX(Students!$F$5:$F$304,MATCH($P$82,Students!$A$5:$A$304,0))&amp;"  |  "&amp;Settings!$B$5)</f>
        <v/>
      </c>
      <c r="C85" s="70"/>
      <c r="D85" s="70"/>
      <c r="F85" s="67"/>
      <c r="G85" s="70" t="str">
        <f aca="false">IF($Q$82="","",INDEX(Students!$F$5:$F$304,MATCH($Q$82,Students!$A$5:$A$304,0))&amp;"  |  "&amp;Settings!$B$5)</f>
        <v/>
      </c>
      <c r="H85" s="70"/>
      <c r="I85" s="70"/>
    </row>
    <row r="86" customFormat="false" ht="9.75" hidden="false" customHeight="true" outlineLevel="0" collapsed="false"/>
    <row r="87" customFormat="false" ht="21.75" hidden="false" customHeight="true" outlineLevel="0" collapsed="false">
      <c r="A87" s="66" t="str">
        <f aca="false">IF($P$87="","",$D$4)</f>
        <v/>
      </c>
      <c r="B87" s="66"/>
      <c r="C87" s="66"/>
      <c r="D87" s="66"/>
      <c r="F87" s="66" t="str">
        <f aca="false">IF($Q$87="","",$D$4)</f>
        <v/>
      </c>
      <c r="G87" s="66"/>
      <c r="H87" s="66"/>
      <c r="I87" s="66"/>
      <c r="P87" s="1" t="str">
        <f aca="false">IFERROR(INDEX(Students!$A$5:$A$304,MATCH($C$4&amp;"|"&amp;$C$5&amp;"|"&amp;33,Students!$O$5:$O$304,0)),"")</f>
        <v/>
      </c>
      <c r="Q87" s="1" t="str">
        <f aca="false">IFERROR(INDEX(Students!$A$5:$A$304,MATCH($C$4&amp;"|"&amp;$C$5&amp;"|"&amp;34,Students!$O$5:$O$304,0)),"")</f>
        <v/>
      </c>
    </row>
    <row r="88" customFormat="false" ht="25.5" hidden="false" customHeight="true" outlineLevel="0" collapsed="false">
      <c r="A88" s="67" t="str">
        <f aca="false">IF($P$87="","","PHOTO")</f>
        <v/>
      </c>
      <c r="B88" s="68" t="str">
        <f aca="false">IF($P$87="","",INDEX(Students!$B$5:$B$304,MATCH($P$87,Students!$A$5:$A$304,0)))</f>
        <v/>
      </c>
      <c r="C88" s="68"/>
      <c r="D88" s="68"/>
      <c r="F88" s="67" t="str">
        <f aca="false">IF($Q$87="","","PHOTO")</f>
        <v/>
      </c>
      <c r="G88" s="68" t="str">
        <f aca="false">IF($Q$87="","",INDEX(Students!$B$5:$B$304,MATCH($Q$87,Students!$A$5:$A$304,0)))</f>
        <v/>
      </c>
      <c r="H88" s="68"/>
      <c r="I88" s="68"/>
    </row>
    <row r="89" customFormat="false" ht="19.5" hidden="false" customHeight="true" outlineLevel="0" collapsed="false">
      <c r="A89" s="67"/>
      <c r="B89" s="69" t="str">
        <f aca="false">IF($P$87="","","ID: "&amp;$P$87)</f>
        <v/>
      </c>
      <c r="C89" s="69"/>
      <c r="D89" s="69"/>
      <c r="F89" s="67"/>
      <c r="G89" s="69" t="str">
        <f aca="false">IF($Q$87="","","ID: "&amp;$Q$87)</f>
        <v/>
      </c>
      <c r="H89" s="69"/>
      <c r="I89" s="69"/>
    </row>
    <row r="90" customFormat="false" ht="19.5" hidden="false" customHeight="true" outlineLevel="0" collapsed="false">
      <c r="A90" s="67"/>
      <c r="B90" s="70" t="str">
        <f aca="false">IF($P$87="","",INDEX(Students!$F$5:$F$304,MATCH($P$87,Students!$A$5:$A$304,0))&amp;"  |  "&amp;Settings!$B$5)</f>
        <v/>
      </c>
      <c r="C90" s="70"/>
      <c r="D90" s="70"/>
      <c r="F90" s="67"/>
      <c r="G90" s="70" t="str">
        <f aca="false">IF($Q$87="","",INDEX(Students!$F$5:$F$304,MATCH($Q$87,Students!$A$5:$A$304,0))&amp;"  |  "&amp;Settings!$B$5)</f>
        <v/>
      </c>
      <c r="H90" s="70"/>
      <c r="I90" s="70"/>
    </row>
    <row r="91" customFormat="false" ht="9.75" hidden="false" customHeight="true" outlineLevel="0" collapsed="false"/>
    <row r="92" customFormat="false" ht="21.75" hidden="false" customHeight="true" outlineLevel="0" collapsed="false">
      <c r="A92" s="66" t="str">
        <f aca="false">IF($P$92="","",$D$4)</f>
        <v/>
      </c>
      <c r="B92" s="66"/>
      <c r="C92" s="66"/>
      <c r="D92" s="66"/>
      <c r="F92" s="66" t="str">
        <f aca="false">IF($Q$92="","",$D$4)</f>
        <v/>
      </c>
      <c r="G92" s="66"/>
      <c r="H92" s="66"/>
      <c r="I92" s="66"/>
      <c r="P92" s="1" t="str">
        <f aca="false">IFERROR(INDEX(Students!$A$5:$A$304,MATCH($C$4&amp;"|"&amp;$C$5&amp;"|"&amp;35,Students!$O$5:$O$304,0)),"")</f>
        <v/>
      </c>
      <c r="Q92" s="1" t="str">
        <f aca="false">IFERROR(INDEX(Students!$A$5:$A$304,MATCH($C$4&amp;"|"&amp;$C$5&amp;"|"&amp;36,Students!$O$5:$O$304,0)),"")</f>
        <v/>
      </c>
    </row>
    <row r="93" customFormat="false" ht="25.5" hidden="false" customHeight="true" outlineLevel="0" collapsed="false">
      <c r="A93" s="67" t="str">
        <f aca="false">IF($P$92="","","PHOTO")</f>
        <v/>
      </c>
      <c r="B93" s="68" t="str">
        <f aca="false">IF($P$92="","",INDEX(Students!$B$5:$B$304,MATCH($P$92,Students!$A$5:$A$304,0)))</f>
        <v/>
      </c>
      <c r="C93" s="68"/>
      <c r="D93" s="68"/>
      <c r="F93" s="67" t="str">
        <f aca="false">IF($Q$92="","","PHOTO")</f>
        <v/>
      </c>
      <c r="G93" s="68" t="str">
        <f aca="false">IF($Q$92="","",INDEX(Students!$B$5:$B$304,MATCH($Q$92,Students!$A$5:$A$304,0)))</f>
        <v/>
      </c>
      <c r="H93" s="68"/>
      <c r="I93" s="68"/>
    </row>
    <row r="94" customFormat="false" ht="19.5" hidden="false" customHeight="true" outlineLevel="0" collapsed="false">
      <c r="A94" s="67"/>
      <c r="B94" s="69" t="str">
        <f aca="false">IF($P$92="","","ID: "&amp;$P$92)</f>
        <v/>
      </c>
      <c r="C94" s="69"/>
      <c r="D94" s="69"/>
      <c r="F94" s="67"/>
      <c r="G94" s="69" t="str">
        <f aca="false">IF($Q$92="","","ID: "&amp;$Q$92)</f>
        <v/>
      </c>
      <c r="H94" s="69"/>
      <c r="I94" s="69"/>
    </row>
    <row r="95" customFormat="false" ht="19.5" hidden="false" customHeight="true" outlineLevel="0" collapsed="false">
      <c r="A95" s="67"/>
      <c r="B95" s="70" t="str">
        <f aca="false">IF($P$92="","",INDEX(Students!$F$5:$F$304,MATCH($P$92,Students!$A$5:$A$304,0))&amp;"  |  "&amp;Settings!$B$5)</f>
        <v/>
      </c>
      <c r="C95" s="70"/>
      <c r="D95" s="70"/>
      <c r="F95" s="67"/>
      <c r="G95" s="70" t="str">
        <f aca="false">IF($Q$92="","",INDEX(Students!$F$5:$F$304,MATCH($Q$92,Students!$A$5:$A$304,0))&amp;"  |  "&amp;Settings!$B$5)</f>
        <v/>
      </c>
      <c r="H95" s="70"/>
      <c r="I95" s="70"/>
    </row>
    <row r="96" customFormat="false" ht="9.75" hidden="false" customHeight="true" outlineLevel="0" collapsed="false"/>
    <row r="97" customFormat="false" ht="21.75" hidden="false" customHeight="true" outlineLevel="0" collapsed="false">
      <c r="A97" s="66" t="str">
        <f aca="false">IF($P$97="","",$D$4)</f>
        <v/>
      </c>
      <c r="B97" s="66"/>
      <c r="C97" s="66"/>
      <c r="D97" s="66"/>
      <c r="F97" s="66" t="str">
        <f aca="false">IF($Q$97="","",$D$4)</f>
        <v/>
      </c>
      <c r="G97" s="66"/>
      <c r="H97" s="66"/>
      <c r="I97" s="66"/>
      <c r="P97" s="1" t="str">
        <f aca="false">IFERROR(INDEX(Students!$A$5:$A$304,MATCH($C$4&amp;"|"&amp;$C$5&amp;"|"&amp;37,Students!$O$5:$O$304,0)),"")</f>
        <v/>
      </c>
      <c r="Q97" s="1" t="str">
        <f aca="false">IFERROR(INDEX(Students!$A$5:$A$304,MATCH($C$4&amp;"|"&amp;$C$5&amp;"|"&amp;38,Students!$O$5:$O$304,0)),"")</f>
        <v/>
      </c>
    </row>
    <row r="98" customFormat="false" ht="25.5" hidden="false" customHeight="true" outlineLevel="0" collapsed="false">
      <c r="A98" s="67" t="str">
        <f aca="false">IF($P$97="","","PHOTO")</f>
        <v/>
      </c>
      <c r="B98" s="68" t="str">
        <f aca="false">IF($P$97="","",INDEX(Students!$B$5:$B$304,MATCH($P$97,Students!$A$5:$A$304,0)))</f>
        <v/>
      </c>
      <c r="C98" s="68"/>
      <c r="D98" s="68"/>
      <c r="F98" s="67" t="str">
        <f aca="false">IF($Q$97="","","PHOTO")</f>
        <v/>
      </c>
      <c r="G98" s="68" t="str">
        <f aca="false">IF($Q$97="","",INDEX(Students!$B$5:$B$304,MATCH($Q$97,Students!$A$5:$A$304,0)))</f>
        <v/>
      </c>
      <c r="H98" s="68"/>
      <c r="I98" s="68"/>
    </row>
    <row r="99" customFormat="false" ht="19.5" hidden="false" customHeight="true" outlineLevel="0" collapsed="false">
      <c r="A99" s="67"/>
      <c r="B99" s="69" t="str">
        <f aca="false">IF($P$97="","","ID: "&amp;$P$97)</f>
        <v/>
      </c>
      <c r="C99" s="69"/>
      <c r="D99" s="69"/>
      <c r="F99" s="67"/>
      <c r="G99" s="69" t="str">
        <f aca="false">IF($Q$97="","","ID: "&amp;$Q$97)</f>
        <v/>
      </c>
      <c r="H99" s="69"/>
      <c r="I99" s="69"/>
    </row>
    <row r="100" customFormat="false" ht="19.5" hidden="false" customHeight="true" outlineLevel="0" collapsed="false">
      <c r="A100" s="67"/>
      <c r="B100" s="70" t="str">
        <f aca="false">IF($P$97="","",INDEX(Students!$F$5:$F$304,MATCH($P$97,Students!$A$5:$A$304,0))&amp;"  |  "&amp;Settings!$B$5)</f>
        <v/>
      </c>
      <c r="C100" s="70"/>
      <c r="D100" s="70"/>
      <c r="F100" s="67"/>
      <c r="G100" s="70" t="str">
        <f aca="false">IF($Q$97="","",INDEX(Students!$F$5:$F$304,MATCH($Q$97,Students!$A$5:$A$304,0))&amp;"  |  "&amp;Settings!$B$5)</f>
        <v/>
      </c>
      <c r="H100" s="70"/>
      <c r="I100" s="70"/>
    </row>
    <row r="101" customFormat="false" ht="9.75" hidden="false" customHeight="true" outlineLevel="0" collapsed="false"/>
    <row r="102" customFormat="false" ht="21.75" hidden="false" customHeight="true" outlineLevel="0" collapsed="false">
      <c r="A102" s="66" t="str">
        <f aca="false">IF($P$102="","",$D$4)</f>
        <v/>
      </c>
      <c r="B102" s="66"/>
      <c r="C102" s="66"/>
      <c r="D102" s="66"/>
      <c r="F102" s="66" t="str">
        <f aca="false">IF($Q$102="","",$D$4)</f>
        <v/>
      </c>
      <c r="G102" s="66"/>
      <c r="H102" s="66"/>
      <c r="I102" s="66"/>
      <c r="P102" s="1" t="str">
        <f aca="false">IFERROR(INDEX(Students!$A$5:$A$304,MATCH($C$4&amp;"|"&amp;$C$5&amp;"|"&amp;39,Students!$O$5:$O$304,0)),"")</f>
        <v/>
      </c>
      <c r="Q102" s="1" t="str">
        <f aca="false">IFERROR(INDEX(Students!$A$5:$A$304,MATCH($C$4&amp;"|"&amp;$C$5&amp;"|"&amp;40,Students!$O$5:$O$304,0)),"")</f>
        <v/>
      </c>
    </row>
    <row r="103" customFormat="false" ht="25.5" hidden="false" customHeight="true" outlineLevel="0" collapsed="false">
      <c r="A103" s="67" t="str">
        <f aca="false">IF($P$102="","","PHOTO")</f>
        <v/>
      </c>
      <c r="B103" s="68" t="str">
        <f aca="false">IF($P$102="","",INDEX(Students!$B$5:$B$304,MATCH($P$102,Students!$A$5:$A$304,0)))</f>
        <v/>
      </c>
      <c r="C103" s="68"/>
      <c r="D103" s="68"/>
      <c r="F103" s="67" t="str">
        <f aca="false">IF($Q$102="","","PHOTO")</f>
        <v/>
      </c>
      <c r="G103" s="68" t="str">
        <f aca="false">IF($Q$102="","",INDEX(Students!$B$5:$B$304,MATCH($Q$102,Students!$A$5:$A$304,0)))</f>
        <v/>
      </c>
      <c r="H103" s="68"/>
      <c r="I103" s="68"/>
    </row>
    <row r="104" customFormat="false" ht="19.5" hidden="false" customHeight="true" outlineLevel="0" collapsed="false">
      <c r="A104" s="67"/>
      <c r="B104" s="69" t="str">
        <f aca="false">IF($P$102="","","ID: "&amp;$P$102)</f>
        <v/>
      </c>
      <c r="C104" s="69"/>
      <c r="D104" s="69"/>
      <c r="F104" s="67"/>
      <c r="G104" s="69" t="str">
        <f aca="false">IF($Q$102="","","ID: "&amp;$Q$102)</f>
        <v/>
      </c>
      <c r="H104" s="69"/>
      <c r="I104" s="69"/>
    </row>
    <row r="105" customFormat="false" ht="19.5" hidden="false" customHeight="true" outlineLevel="0" collapsed="false">
      <c r="A105" s="67"/>
      <c r="B105" s="70" t="str">
        <f aca="false">IF($P$102="","",INDEX(Students!$F$5:$F$304,MATCH($P$102,Students!$A$5:$A$304,0))&amp;"  |  "&amp;Settings!$B$5)</f>
        <v/>
      </c>
      <c r="C105" s="70"/>
      <c r="D105" s="70"/>
      <c r="F105" s="67"/>
      <c r="G105" s="70" t="str">
        <f aca="false">IF($Q$102="","",INDEX(Students!$F$5:$F$304,MATCH($Q$102,Students!$A$5:$A$304,0))&amp;"  |  "&amp;Settings!$B$5)</f>
        <v/>
      </c>
      <c r="H105" s="70"/>
      <c r="I105" s="70"/>
    </row>
    <row r="106" customFormat="false" ht="9.75" hidden="false" customHeight="true" outlineLevel="0" collapsed="false"/>
  </sheetData>
  <mergeCells count="206">
    <mergeCell ref="A1:I1"/>
    <mergeCell ref="A2:I2"/>
    <mergeCell ref="A3:I3"/>
    <mergeCell ref="A4:B4"/>
    <mergeCell ref="D4:I4"/>
    <mergeCell ref="A5:B5"/>
    <mergeCell ref="A7:D7"/>
    <mergeCell ref="F7:I7"/>
    <mergeCell ref="A8:A10"/>
    <mergeCell ref="B8:D8"/>
    <mergeCell ref="F8:F10"/>
    <mergeCell ref="G8:I8"/>
    <mergeCell ref="B9:D9"/>
    <mergeCell ref="G9:I9"/>
    <mergeCell ref="B10:D10"/>
    <mergeCell ref="G10:I10"/>
    <mergeCell ref="A12:D12"/>
    <mergeCell ref="F12:I12"/>
    <mergeCell ref="A13:A15"/>
    <mergeCell ref="B13:D13"/>
    <mergeCell ref="F13:F15"/>
    <mergeCell ref="G13:I13"/>
    <mergeCell ref="B14:D14"/>
    <mergeCell ref="G14:I14"/>
    <mergeCell ref="B15:D15"/>
    <mergeCell ref="G15:I15"/>
    <mergeCell ref="A17:D17"/>
    <mergeCell ref="F17:I17"/>
    <mergeCell ref="A18:A20"/>
    <mergeCell ref="B18:D18"/>
    <mergeCell ref="F18:F20"/>
    <mergeCell ref="G18:I18"/>
    <mergeCell ref="B19:D19"/>
    <mergeCell ref="G19:I19"/>
    <mergeCell ref="B20:D20"/>
    <mergeCell ref="G20:I20"/>
    <mergeCell ref="A22:D22"/>
    <mergeCell ref="F22:I22"/>
    <mergeCell ref="A23:A25"/>
    <mergeCell ref="B23:D23"/>
    <mergeCell ref="F23:F25"/>
    <mergeCell ref="G23:I23"/>
    <mergeCell ref="B24:D24"/>
    <mergeCell ref="G24:I24"/>
    <mergeCell ref="B25:D25"/>
    <mergeCell ref="G25:I25"/>
    <mergeCell ref="A27:D27"/>
    <mergeCell ref="F27:I27"/>
    <mergeCell ref="A28:A30"/>
    <mergeCell ref="B28:D28"/>
    <mergeCell ref="F28:F30"/>
    <mergeCell ref="G28:I28"/>
    <mergeCell ref="B29:D29"/>
    <mergeCell ref="G29:I29"/>
    <mergeCell ref="B30:D30"/>
    <mergeCell ref="G30:I30"/>
    <mergeCell ref="A32:D32"/>
    <mergeCell ref="F32:I32"/>
    <mergeCell ref="A33:A35"/>
    <mergeCell ref="B33:D33"/>
    <mergeCell ref="F33:F35"/>
    <mergeCell ref="G33:I33"/>
    <mergeCell ref="B34:D34"/>
    <mergeCell ref="G34:I34"/>
    <mergeCell ref="B35:D35"/>
    <mergeCell ref="G35:I35"/>
    <mergeCell ref="A37:D37"/>
    <mergeCell ref="F37:I37"/>
    <mergeCell ref="A38:A40"/>
    <mergeCell ref="B38:D38"/>
    <mergeCell ref="F38:F40"/>
    <mergeCell ref="G38:I38"/>
    <mergeCell ref="B39:D39"/>
    <mergeCell ref="G39:I39"/>
    <mergeCell ref="B40:D40"/>
    <mergeCell ref="G40:I40"/>
    <mergeCell ref="A42:D42"/>
    <mergeCell ref="F42:I42"/>
    <mergeCell ref="A43:A45"/>
    <mergeCell ref="B43:D43"/>
    <mergeCell ref="F43:F45"/>
    <mergeCell ref="G43:I43"/>
    <mergeCell ref="B44:D44"/>
    <mergeCell ref="G44:I44"/>
    <mergeCell ref="B45:D45"/>
    <mergeCell ref="G45:I45"/>
    <mergeCell ref="A47:D47"/>
    <mergeCell ref="F47:I47"/>
    <mergeCell ref="A48:A50"/>
    <mergeCell ref="B48:D48"/>
    <mergeCell ref="F48:F50"/>
    <mergeCell ref="G48:I48"/>
    <mergeCell ref="B49:D49"/>
    <mergeCell ref="G49:I49"/>
    <mergeCell ref="B50:D50"/>
    <mergeCell ref="G50:I50"/>
    <mergeCell ref="A52:D52"/>
    <mergeCell ref="F52:I52"/>
    <mergeCell ref="A53:A55"/>
    <mergeCell ref="B53:D53"/>
    <mergeCell ref="F53:F55"/>
    <mergeCell ref="G53:I53"/>
    <mergeCell ref="B54:D54"/>
    <mergeCell ref="G54:I54"/>
    <mergeCell ref="B55:D55"/>
    <mergeCell ref="G55:I55"/>
    <mergeCell ref="A57:D57"/>
    <mergeCell ref="F57:I57"/>
    <mergeCell ref="A58:A60"/>
    <mergeCell ref="B58:D58"/>
    <mergeCell ref="F58:F60"/>
    <mergeCell ref="G58:I58"/>
    <mergeCell ref="B59:D59"/>
    <mergeCell ref="G59:I59"/>
    <mergeCell ref="B60:D60"/>
    <mergeCell ref="G60:I60"/>
    <mergeCell ref="A62:D62"/>
    <mergeCell ref="F62:I62"/>
    <mergeCell ref="A63:A65"/>
    <mergeCell ref="B63:D63"/>
    <mergeCell ref="F63:F65"/>
    <mergeCell ref="G63:I63"/>
    <mergeCell ref="B64:D64"/>
    <mergeCell ref="G64:I64"/>
    <mergeCell ref="B65:D65"/>
    <mergeCell ref="G65:I65"/>
    <mergeCell ref="A67:D67"/>
    <mergeCell ref="F67:I67"/>
    <mergeCell ref="A68:A70"/>
    <mergeCell ref="B68:D68"/>
    <mergeCell ref="F68:F70"/>
    <mergeCell ref="G68:I68"/>
    <mergeCell ref="B69:D69"/>
    <mergeCell ref="G69:I69"/>
    <mergeCell ref="B70:D70"/>
    <mergeCell ref="G70:I70"/>
    <mergeCell ref="A72:D72"/>
    <mergeCell ref="F72:I72"/>
    <mergeCell ref="A73:A75"/>
    <mergeCell ref="B73:D73"/>
    <mergeCell ref="F73:F75"/>
    <mergeCell ref="G73:I73"/>
    <mergeCell ref="B74:D74"/>
    <mergeCell ref="G74:I74"/>
    <mergeCell ref="B75:D75"/>
    <mergeCell ref="G75:I75"/>
    <mergeCell ref="A77:D77"/>
    <mergeCell ref="F77:I77"/>
    <mergeCell ref="A78:A80"/>
    <mergeCell ref="B78:D78"/>
    <mergeCell ref="F78:F80"/>
    <mergeCell ref="G78:I78"/>
    <mergeCell ref="B79:D79"/>
    <mergeCell ref="G79:I79"/>
    <mergeCell ref="B80:D80"/>
    <mergeCell ref="G80:I80"/>
    <mergeCell ref="A82:D82"/>
    <mergeCell ref="F82:I82"/>
    <mergeCell ref="A83:A85"/>
    <mergeCell ref="B83:D83"/>
    <mergeCell ref="F83:F85"/>
    <mergeCell ref="G83:I83"/>
    <mergeCell ref="B84:D84"/>
    <mergeCell ref="G84:I84"/>
    <mergeCell ref="B85:D85"/>
    <mergeCell ref="G85:I85"/>
    <mergeCell ref="A87:D87"/>
    <mergeCell ref="F87:I87"/>
    <mergeCell ref="A88:A90"/>
    <mergeCell ref="B88:D88"/>
    <mergeCell ref="F88:F90"/>
    <mergeCell ref="G88:I88"/>
    <mergeCell ref="B89:D89"/>
    <mergeCell ref="G89:I89"/>
    <mergeCell ref="B90:D90"/>
    <mergeCell ref="G90:I90"/>
    <mergeCell ref="A92:D92"/>
    <mergeCell ref="F92:I92"/>
    <mergeCell ref="A93:A95"/>
    <mergeCell ref="B93:D93"/>
    <mergeCell ref="F93:F95"/>
    <mergeCell ref="G93:I93"/>
    <mergeCell ref="B94:D94"/>
    <mergeCell ref="G94:I94"/>
    <mergeCell ref="B95:D95"/>
    <mergeCell ref="G95:I95"/>
    <mergeCell ref="A97:D97"/>
    <mergeCell ref="F97:I97"/>
    <mergeCell ref="A98:A100"/>
    <mergeCell ref="B98:D98"/>
    <mergeCell ref="F98:F100"/>
    <mergeCell ref="G98:I98"/>
    <mergeCell ref="B99:D99"/>
    <mergeCell ref="G99:I99"/>
    <mergeCell ref="B100:D100"/>
    <mergeCell ref="G100:I100"/>
    <mergeCell ref="A102:D102"/>
    <mergeCell ref="F102:I102"/>
    <mergeCell ref="A103:A105"/>
    <mergeCell ref="B103:D103"/>
    <mergeCell ref="F103:F105"/>
    <mergeCell ref="G103:I103"/>
    <mergeCell ref="B104:D104"/>
    <mergeCell ref="G104:I104"/>
    <mergeCell ref="B105:D105"/>
    <mergeCell ref="G105:I105"/>
  </mergeCells>
  <conditionalFormatting sqref="A7:D7">
    <cfRule type="expression" priority="2" aboveAverage="0" equalAverage="0" bottom="0" percent="0" rank="0" text="" dxfId="15">
      <formula>$P$7&lt;&gt;""</formula>
    </cfRule>
  </conditionalFormatting>
  <conditionalFormatting sqref="A8:D10">
    <cfRule type="expression" priority="3" aboveAverage="0" equalAverage="0" bottom="0" percent="0" rank="0" text="" dxfId="16">
      <formula>$P$7&lt;&gt;""</formula>
    </cfRule>
  </conditionalFormatting>
  <conditionalFormatting sqref="F7:I7">
    <cfRule type="expression" priority="4" aboveAverage="0" equalAverage="0" bottom="0" percent="0" rank="0" text="" dxfId="15">
      <formula>$Q$7&lt;&gt;""</formula>
    </cfRule>
  </conditionalFormatting>
  <conditionalFormatting sqref="F8:I10">
    <cfRule type="expression" priority="5" aboveAverage="0" equalAverage="0" bottom="0" percent="0" rank="0" text="" dxfId="16">
      <formula>$Q$7&lt;&gt;""</formula>
    </cfRule>
  </conditionalFormatting>
  <conditionalFormatting sqref="A12:D12">
    <cfRule type="expression" priority="6" aboveAverage="0" equalAverage="0" bottom="0" percent="0" rank="0" text="" dxfId="15">
      <formula>$P$12&lt;&gt;""</formula>
    </cfRule>
  </conditionalFormatting>
  <conditionalFormatting sqref="A13:D15">
    <cfRule type="expression" priority="7" aboveAverage="0" equalAverage="0" bottom="0" percent="0" rank="0" text="" dxfId="16">
      <formula>$P$12&lt;&gt;""</formula>
    </cfRule>
  </conditionalFormatting>
  <conditionalFormatting sqref="F12:I12">
    <cfRule type="expression" priority="8" aboveAverage="0" equalAverage="0" bottom="0" percent="0" rank="0" text="" dxfId="15">
      <formula>$Q$12&lt;&gt;""</formula>
    </cfRule>
  </conditionalFormatting>
  <conditionalFormatting sqref="F13:I15">
    <cfRule type="expression" priority="9" aboveAverage="0" equalAverage="0" bottom="0" percent="0" rank="0" text="" dxfId="16">
      <formula>$Q$12&lt;&gt;""</formula>
    </cfRule>
  </conditionalFormatting>
  <conditionalFormatting sqref="A17:D17">
    <cfRule type="expression" priority="10" aboveAverage="0" equalAverage="0" bottom="0" percent="0" rank="0" text="" dxfId="15">
      <formula>$P$17&lt;&gt;""</formula>
    </cfRule>
  </conditionalFormatting>
  <conditionalFormatting sqref="A18:D20">
    <cfRule type="expression" priority="11" aboveAverage="0" equalAverage="0" bottom="0" percent="0" rank="0" text="" dxfId="16">
      <formula>$P$17&lt;&gt;""</formula>
    </cfRule>
  </conditionalFormatting>
  <conditionalFormatting sqref="F17:I17">
    <cfRule type="expression" priority="12" aboveAverage="0" equalAverage="0" bottom="0" percent="0" rank="0" text="" dxfId="15">
      <formula>$Q$17&lt;&gt;""</formula>
    </cfRule>
  </conditionalFormatting>
  <conditionalFormatting sqref="F18:I20">
    <cfRule type="expression" priority="13" aboveAverage="0" equalAverage="0" bottom="0" percent="0" rank="0" text="" dxfId="16">
      <formula>$Q$17&lt;&gt;""</formula>
    </cfRule>
  </conditionalFormatting>
  <conditionalFormatting sqref="A22:D22">
    <cfRule type="expression" priority="14" aboveAverage="0" equalAverage="0" bottom="0" percent="0" rank="0" text="" dxfId="15">
      <formula>$P$22&lt;&gt;""</formula>
    </cfRule>
  </conditionalFormatting>
  <conditionalFormatting sqref="A23:D25">
    <cfRule type="expression" priority="15" aboveAverage="0" equalAverage="0" bottom="0" percent="0" rank="0" text="" dxfId="16">
      <formula>$P$22&lt;&gt;""</formula>
    </cfRule>
  </conditionalFormatting>
  <conditionalFormatting sqref="F22:I22">
    <cfRule type="expression" priority="16" aboveAverage="0" equalAverage="0" bottom="0" percent="0" rank="0" text="" dxfId="15">
      <formula>$Q$22&lt;&gt;""</formula>
    </cfRule>
  </conditionalFormatting>
  <conditionalFormatting sqref="F23:I25">
    <cfRule type="expression" priority="17" aboveAverage="0" equalAverage="0" bottom="0" percent="0" rank="0" text="" dxfId="16">
      <formula>$Q$22&lt;&gt;""</formula>
    </cfRule>
  </conditionalFormatting>
  <conditionalFormatting sqref="A27:D27">
    <cfRule type="expression" priority="18" aboveAverage="0" equalAverage="0" bottom="0" percent="0" rank="0" text="" dxfId="15">
      <formula>$P$27&lt;&gt;""</formula>
    </cfRule>
  </conditionalFormatting>
  <conditionalFormatting sqref="A28:D30">
    <cfRule type="expression" priority="19" aboveAverage="0" equalAverage="0" bottom="0" percent="0" rank="0" text="" dxfId="16">
      <formula>$P$27&lt;&gt;""</formula>
    </cfRule>
  </conditionalFormatting>
  <conditionalFormatting sqref="F27:I27">
    <cfRule type="expression" priority="20" aboveAverage="0" equalAverage="0" bottom="0" percent="0" rank="0" text="" dxfId="15">
      <formula>$Q$27&lt;&gt;""</formula>
    </cfRule>
  </conditionalFormatting>
  <conditionalFormatting sqref="F28:I30">
    <cfRule type="expression" priority="21" aboveAverage="0" equalAverage="0" bottom="0" percent="0" rank="0" text="" dxfId="16">
      <formula>$Q$27&lt;&gt;""</formula>
    </cfRule>
  </conditionalFormatting>
  <conditionalFormatting sqref="A32:D32">
    <cfRule type="expression" priority="22" aboveAverage="0" equalAverage="0" bottom="0" percent="0" rank="0" text="" dxfId="15">
      <formula>$P$32&lt;&gt;""</formula>
    </cfRule>
  </conditionalFormatting>
  <conditionalFormatting sqref="A33:D35">
    <cfRule type="expression" priority="23" aboveAverage="0" equalAverage="0" bottom="0" percent="0" rank="0" text="" dxfId="16">
      <formula>$P$32&lt;&gt;""</formula>
    </cfRule>
  </conditionalFormatting>
  <conditionalFormatting sqref="F32:I32">
    <cfRule type="expression" priority="24" aboveAverage="0" equalAverage="0" bottom="0" percent="0" rank="0" text="" dxfId="15">
      <formula>$Q$32&lt;&gt;""</formula>
    </cfRule>
  </conditionalFormatting>
  <conditionalFormatting sqref="F33:I35">
    <cfRule type="expression" priority="25" aboveAverage="0" equalAverage="0" bottom="0" percent="0" rank="0" text="" dxfId="16">
      <formula>$Q$32&lt;&gt;""</formula>
    </cfRule>
  </conditionalFormatting>
  <conditionalFormatting sqref="A37:D37">
    <cfRule type="expression" priority="26" aboveAverage="0" equalAverage="0" bottom="0" percent="0" rank="0" text="" dxfId="15">
      <formula>$P$37&lt;&gt;""</formula>
    </cfRule>
  </conditionalFormatting>
  <conditionalFormatting sqref="A38:D40">
    <cfRule type="expression" priority="27" aboveAverage="0" equalAverage="0" bottom="0" percent="0" rank="0" text="" dxfId="16">
      <formula>$P$37&lt;&gt;""</formula>
    </cfRule>
  </conditionalFormatting>
  <conditionalFormatting sqref="F37:I37">
    <cfRule type="expression" priority="28" aboveAverage="0" equalAverage="0" bottom="0" percent="0" rank="0" text="" dxfId="15">
      <formula>$Q$37&lt;&gt;""</formula>
    </cfRule>
  </conditionalFormatting>
  <conditionalFormatting sqref="F38:I40">
    <cfRule type="expression" priority="29" aboveAverage="0" equalAverage="0" bottom="0" percent="0" rank="0" text="" dxfId="16">
      <formula>$Q$37&lt;&gt;""</formula>
    </cfRule>
  </conditionalFormatting>
  <conditionalFormatting sqref="A42:D42">
    <cfRule type="expression" priority="30" aboveAverage="0" equalAverage="0" bottom="0" percent="0" rank="0" text="" dxfId="15">
      <formula>$P$42&lt;&gt;""</formula>
    </cfRule>
  </conditionalFormatting>
  <conditionalFormatting sqref="A43:D45">
    <cfRule type="expression" priority="31" aboveAverage="0" equalAverage="0" bottom="0" percent="0" rank="0" text="" dxfId="16">
      <formula>$P$42&lt;&gt;""</formula>
    </cfRule>
  </conditionalFormatting>
  <conditionalFormatting sqref="F42:I42">
    <cfRule type="expression" priority="32" aboveAverage="0" equalAverage="0" bottom="0" percent="0" rank="0" text="" dxfId="15">
      <formula>$Q$42&lt;&gt;""</formula>
    </cfRule>
  </conditionalFormatting>
  <conditionalFormatting sqref="F43:I45">
    <cfRule type="expression" priority="33" aboveAverage="0" equalAverage="0" bottom="0" percent="0" rank="0" text="" dxfId="16">
      <formula>$Q$42&lt;&gt;""</formula>
    </cfRule>
  </conditionalFormatting>
  <conditionalFormatting sqref="A47:D47">
    <cfRule type="expression" priority="34" aboveAverage="0" equalAverage="0" bottom="0" percent="0" rank="0" text="" dxfId="15">
      <formula>$P$47&lt;&gt;""</formula>
    </cfRule>
  </conditionalFormatting>
  <conditionalFormatting sqref="A48:D50">
    <cfRule type="expression" priority="35" aboveAverage="0" equalAverage="0" bottom="0" percent="0" rank="0" text="" dxfId="16">
      <formula>$P$47&lt;&gt;""</formula>
    </cfRule>
  </conditionalFormatting>
  <conditionalFormatting sqref="F47:I47">
    <cfRule type="expression" priority="36" aboveAverage="0" equalAverage="0" bottom="0" percent="0" rank="0" text="" dxfId="15">
      <formula>$Q$47&lt;&gt;""</formula>
    </cfRule>
  </conditionalFormatting>
  <conditionalFormatting sqref="F48:I50">
    <cfRule type="expression" priority="37" aboveAverage="0" equalAverage="0" bottom="0" percent="0" rank="0" text="" dxfId="16">
      <formula>$Q$47&lt;&gt;""</formula>
    </cfRule>
  </conditionalFormatting>
  <conditionalFormatting sqref="A52:D52">
    <cfRule type="expression" priority="38" aboveAverage="0" equalAverage="0" bottom="0" percent="0" rank="0" text="" dxfId="15">
      <formula>$P$52&lt;&gt;""</formula>
    </cfRule>
  </conditionalFormatting>
  <conditionalFormatting sqref="A53:D55">
    <cfRule type="expression" priority="39" aboveAverage="0" equalAverage="0" bottom="0" percent="0" rank="0" text="" dxfId="16">
      <formula>$P$52&lt;&gt;""</formula>
    </cfRule>
  </conditionalFormatting>
  <conditionalFormatting sqref="F52:I52">
    <cfRule type="expression" priority="40" aboveAverage="0" equalAverage="0" bottom="0" percent="0" rank="0" text="" dxfId="15">
      <formula>$Q$52&lt;&gt;""</formula>
    </cfRule>
  </conditionalFormatting>
  <conditionalFormatting sqref="F53:I55">
    <cfRule type="expression" priority="41" aboveAverage="0" equalAverage="0" bottom="0" percent="0" rank="0" text="" dxfId="16">
      <formula>$Q$52&lt;&gt;""</formula>
    </cfRule>
  </conditionalFormatting>
  <conditionalFormatting sqref="A57:D57">
    <cfRule type="expression" priority="42" aboveAverage="0" equalAverage="0" bottom="0" percent="0" rank="0" text="" dxfId="15">
      <formula>$P$57&lt;&gt;""</formula>
    </cfRule>
  </conditionalFormatting>
  <conditionalFormatting sqref="A58:D60">
    <cfRule type="expression" priority="43" aboveAverage="0" equalAverage="0" bottom="0" percent="0" rank="0" text="" dxfId="16">
      <formula>$P$57&lt;&gt;""</formula>
    </cfRule>
  </conditionalFormatting>
  <conditionalFormatting sqref="F57:I57">
    <cfRule type="expression" priority="44" aboveAverage="0" equalAverage="0" bottom="0" percent="0" rank="0" text="" dxfId="15">
      <formula>$Q$57&lt;&gt;""</formula>
    </cfRule>
  </conditionalFormatting>
  <conditionalFormatting sqref="F58:I60">
    <cfRule type="expression" priority="45" aboveAverage="0" equalAverage="0" bottom="0" percent="0" rank="0" text="" dxfId="16">
      <formula>$Q$57&lt;&gt;""</formula>
    </cfRule>
  </conditionalFormatting>
  <conditionalFormatting sqref="A62:D62">
    <cfRule type="expression" priority="46" aboveAverage="0" equalAverage="0" bottom="0" percent="0" rank="0" text="" dxfId="15">
      <formula>$P$62&lt;&gt;""</formula>
    </cfRule>
  </conditionalFormatting>
  <conditionalFormatting sqref="A63:D65">
    <cfRule type="expression" priority="47" aboveAverage="0" equalAverage="0" bottom="0" percent="0" rank="0" text="" dxfId="16">
      <formula>$P$62&lt;&gt;""</formula>
    </cfRule>
  </conditionalFormatting>
  <conditionalFormatting sqref="F62:I62">
    <cfRule type="expression" priority="48" aboveAverage="0" equalAverage="0" bottom="0" percent="0" rank="0" text="" dxfId="15">
      <formula>$Q$62&lt;&gt;""</formula>
    </cfRule>
  </conditionalFormatting>
  <conditionalFormatting sqref="F63:I65">
    <cfRule type="expression" priority="49" aboveAverage="0" equalAverage="0" bottom="0" percent="0" rank="0" text="" dxfId="16">
      <formula>$Q$62&lt;&gt;""</formula>
    </cfRule>
  </conditionalFormatting>
  <conditionalFormatting sqref="A67:D67">
    <cfRule type="expression" priority="50" aboveAverage="0" equalAverage="0" bottom="0" percent="0" rank="0" text="" dxfId="15">
      <formula>$P$67&lt;&gt;""</formula>
    </cfRule>
  </conditionalFormatting>
  <conditionalFormatting sqref="A68:D70">
    <cfRule type="expression" priority="51" aboveAverage="0" equalAverage="0" bottom="0" percent="0" rank="0" text="" dxfId="16">
      <formula>$P$67&lt;&gt;""</formula>
    </cfRule>
  </conditionalFormatting>
  <conditionalFormatting sqref="F67:I67">
    <cfRule type="expression" priority="52" aboveAverage="0" equalAverage="0" bottom="0" percent="0" rank="0" text="" dxfId="15">
      <formula>$Q$67&lt;&gt;""</formula>
    </cfRule>
  </conditionalFormatting>
  <conditionalFormatting sqref="F68:I70">
    <cfRule type="expression" priority="53" aboveAverage="0" equalAverage="0" bottom="0" percent="0" rank="0" text="" dxfId="16">
      <formula>$Q$67&lt;&gt;""</formula>
    </cfRule>
  </conditionalFormatting>
  <conditionalFormatting sqref="A72:D72">
    <cfRule type="expression" priority="54" aboveAverage="0" equalAverage="0" bottom="0" percent="0" rank="0" text="" dxfId="15">
      <formula>$P$72&lt;&gt;""</formula>
    </cfRule>
  </conditionalFormatting>
  <conditionalFormatting sqref="A73:D75">
    <cfRule type="expression" priority="55" aboveAverage="0" equalAverage="0" bottom="0" percent="0" rank="0" text="" dxfId="16">
      <formula>$P$72&lt;&gt;""</formula>
    </cfRule>
  </conditionalFormatting>
  <conditionalFormatting sqref="F72:I72">
    <cfRule type="expression" priority="56" aboveAverage="0" equalAverage="0" bottom="0" percent="0" rank="0" text="" dxfId="15">
      <formula>$Q$72&lt;&gt;""</formula>
    </cfRule>
  </conditionalFormatting>
  <conditionalFormatting sqref="F73:I75">
    <cfRule type="expression" priority="57" aboveAverage="0" equalAverage="0" bottom="0" percent="0" rank="0" text="" dxfId="16">
      <formula>$Q$72&lt;&gt;""</formula>
    </cfRule>
  </conditionalFormatting>
  <conditionalFormatting sqref="A77:D77">
    <cfRule type="expression" priority="58" aboveAverage="0" equalAverage="0" bottom="0" percent="0" rank="0" text="" dxfId="15">
      <formula>$P$77&lt;&gt;""</formula>
    </cfRule>
  </conditionalFormatting>
  <conditionalFormatting sqref="A78:D80">
    <cfRule type="expression" priority="59" aboveAverage="0" equalAverage="0" bottom="0" percent="0" rank="0" text="" dxfId="16">
      <formula>$P$77&lt;&gt;""</formula>
    </cfRule>
  </conditionalFormatting>
  <conditionalFormatting sqref="F77:I77">
    <cfRule type="expression" priority="60" aboveAverage="0" equalAverage="0" bottom="0" percent="0" rank="0" text="" dxfId="15">
      <formula>$Q$77&lt;&gt;""</formula>
    </cfRule>
  </conditionalFormatting>
  <conditionalFormatting sqref="F78:I80">
    <cfRule type="expression" priority="61" aboveAverage="0" equalAverage="0" bottom="0" percent="0" rank="0" text="" dxfId="16">
      <formula>$Q$77&lt;&gt;""</formula>
    </cfRule>
  </conditionalFormatting>
  <conditionalFormatting sqref="A82:D82">
    <cfRule type="expression" priority="62" aboveAverage="0" equalAverage="0" bottom="0" percent="0" rank="0" text="" dxfId="15">
      <formula>$P$82&lt;&gt;""</formula>
    </cfRule>
  </conditionalFormatting>
  <conditionalFormatting sqref="A83:D85">
    <cfRule type="expression" priority="63" aboveAverage="0" equalAverage="0" bottom="0" percent="0" rank="0" text="" dxfId="16">
      <formula>$P$82&lt;&gt;""</formula>
    </cfRule>
  </conditionalFormatting>
  <conditionalFormatting sqref="F82:I82">
    <cfRule type="expression" priority="64" aboveAverage="0" equalAverage="0" bottom="0" percent="0" rank="0" text="" dxfId="15">
      <formula>$Q$82&lt;&gt;""</formula>
    </cfRule>
  </conditionalFormatting>
  <conditionalFormatting sqref="F83:I85">
    <cfRule type="expression" priority="65" aboveAverage="0" equalAverage="0" bottom="0" percent="0" rank="0" text="" dxfId="16">
      <formula>$Q$82&lt;&gt;""</formula>
    </cfRule>
  </conditionalFormatting>
  <conditionalFormatting sqref="A87:D87">
    <cfRule type="expression" priority="66" aboveAverage="0" equalAverage="0" bottom="0" percent="0" rank="0" text="" dxfId="15">
      <formula>$P$87&lt;&gt;""</formula>
    </cfRule>
  </conditionalFormatting>
  <conditionalFormatting sqref="A88:D90">
    <cfRule type="expression" priority="67" aboveAverage="0" equalAverage="0" bottom="0" percent="0" rank="0" text="" dxfId="16">
      <formula>$P$87&lt;&gt;""</formula>
    </cfRule>
  </conditionalFormatting>
  <conditionalFormatting sqref="F87:I87">
    <cfRule type="expression" priority="68" aboveAverage="0" equalAverage="0" bottom="0" percent="0" rank="0" text="" dxfId="15">
      <formula>$Q$87&lt;&gt;""</formula>
    </cfRule>
  </conditionalFormatting>
  <conditionalFormatting sqref="F88:I90">
    <cfRule type="expression" priority="69" aboveAverage="0" equalAverage="0" bottom="0" percent="0" rank="0" text="" dxfId="16">
      <formula>$Q$87&lt;&gt;""</formula>
    </cfRule>
  </conditionalFormatting>
  <conditionalFormatting sqref="A92:D92">
    <cfRule type="expression" priority="70" aboveAverage="0" equalAverage="0" bottom="0" percent="0" rank="0" text="" dxfId="15">
      <formula>$P$92&lt;&gt;""</formula>
    </cfRule>
  </conditionalFormatting>
  <conditionalFormatting sqref="A93:D95">
    <cfRule type="expression" priority="71" aboveAverage="0" equalAverage="0" bottom="0" percent="0" rank="0" text="" dxfId="16">
      <formula>$P$92&lt;&gt;""</formula>
    </cfRule>
  </conditionalFormatting>
  <conditionalFormatting sqref="F92:I92">
    <cfRule type="expression" priority="72" aboveAverage="0" equalAverage="0" bottom="0" percent="0" rank="0" text="" dxfId="15">
      <formula>$Q$92&lt;&gt;""</formula>
    </cfRule>
  </conditionalFormatting>
  <conditionalFormatting sqref="F93:I95">
    <cfRule type="expression" priority="73" aboveAverage="0" equalAverage="0" bottom="0" percent="0" rank="0" text="" dxfId="16">
      <formula>$Q$92&lt;&gt;""</formula>
    </cfRule>
  </conditionalFormatting>
  <conditionalFormatting sqref="A97:D97">
    <cfRule type="expression" priority="74" aboveAverage="0" equalAverage="0" bottom="0" percent="0" rank="0" text="" dxfId="15">
      <formula>$P$97&lt;&gt;""</formula>
    </cfRule>
  </conditionalFormatting>
  <conditionalFormatting sqref="A98:D100">
    <cfRule type="expression" priority="75" aboveAverage="0" equalAverage="0" bottom="0" percent="0" rank="0" text="" dxfId="16">
      <formula>$P$97&lt;&gt;""</formula>
    </cfRule>
  </conditionalFormatting>
  <conditionalFormatting sqref="F97:I97">
    <cfRule type="expression" priority="76" aboveAverage="0" equalAverage="0" bottom="0" percent="0" rank="0" text="" dxfId="15">
      <formula>$Q$97&lt;&gt;""</formula>
    </cfRule>
  </conditionalFormatting>
  <conditionalFormatting sqref="F98:I100">
    <cfRule type="expression" priority="77" aboveAverage="0" equalAverage="0" bottom="0" percent="0" rank="0" text="" dxfId="16">
      <formula>$Q$97&lt;&gt;""</formula>
    </cfRule>
  </conditionalFormatting>
  <conditionalFormatting sqref="A102:D102">
    <cfRule type="expression" priority="78" aboveAverage="0" equalAverage="0" bottom="0" percent="0" rank="0" text="" dxfId="15">
      <formula>$P$102&lt;&gt;""</formula>
    </cfRule>
  </conditionalFormatting>
  <conditionalFormatting sqref="A103:D105">
    <cfRule type="expression" priority="79" aboveAverage="0" equalAverage="0" bottom="0" percent="0" rank="0" text="" dxfId="16">
      <formula>$P$102&lt;&gt;""</formula>
    </cfRule>
  </conditionalFormatting>
  <conditionalFormatting sqref="F102:I102">
    <cfRule type="expression" priority="80" aboveAverage="0" equalAverage="0" bottom="0" percent="0" rank="0" text="" dxfId="15">
      <formula>$Q$102&lt;&gt;""</formula>
    </cfRule>
  </conditionalFormatting>
  <conditionalFormatting sqref="F103:I105">
    <cfRule type="expression" priority="81" aboveAverage="0" equalAverage="0" bottom="0" percent="0" rank="0" text="" dxfId="16">
      <formula>$Q$102&lt;&gt;""</formula>
    </cfRule>
  </conditionalFormatting>
  <dataValidations count="2">
    <dataValidation allowBlank="true" error="Choose from the list." errorStyle="stop" errorTitle="Invalid" operator="between" showDropDown="false" showErrorMessage="true" showInputMessage="false" sqref="C4" type="list">
      <formula1>Schools!$A$5:$A$304</formula1>
      <formula2>0</formula2>
    </dataValidation>
    <dataValidation allowBlank="true" error="Choose from the list." errorStyle="stop" errorTitle="Invalid" operator="between" showDropDown="false" showErrorMessage="true" showInputMessage="false" sqref="C5" type="list">
      <formula1>Settings!$B$11:$B$30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98B"/>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7" min="3" style="1" width="22"/>
    <col collapsed="false" customWidth="true" hidden="false" outlineLevel="0" max="8" min="8" style="1" width="3"/>
    <col collapsed="false" customWidth="true" hidden="false" outlineLevel="0" max="9" min="9" style="1" width="30"/>
  </cols>
  <sheetData>
    <row r="1" customFormat="false" ht="42" hidden="false" customHeight="true" outlineLevel="0" collapsed="false">
      <c r="A1" s="2" t="s">
        <v>189</v>
      </c>
      <c r="B1" s="2"/>
      <c r="C1" s="2"/>
      <c r="D1" s="2"/>
      <c r="E1" s="2"/>
      <c r="F1" s="2"/>
      <c r="G1" s="2"/>
    </row>
    <row r="2" customFormat="false" ht="19.5" hidden="false" customHeight="true" outlineLevel="0" collapsed="false">
      <c r="A2" s="3" t="s">
        <v>190</v>
      </c>
      <c r="B2" s="3"/>
      <c r="C2" s="3"/>
      <c r="D2" s="3"/>
      <c r="E2" s="3"/>
      <c r="F2" s="3"/>
      <c r="G2" s="3"/>
    </row>
    <row r="3" customFormat="false" ht="3.75" hidden="false" customHeight="true" outlineLevel="0" collapsed="false">
      <c r="A3" s="4"/>
      <c r="B3" s="4"/>
      <c r="C3" s="4"/>
      <c r="D3" s="4"/>
      <c r="E3" s="4"/>
      <c r="F3" s="4"/>
      <c r="G3" s="4"/>
    </row>
    <row r="4" customFormat="false" ht="21.75" hidden="false" customHeight="true" outlineLevel="0" collapsed="false">
      <c r="A4" s="24" t="s">
        <v>142</v>
      </c>
      <c r="B4" s="24"/>
      <c r="C4" s="42" t="s">
        <v>143</v>
      </c>
      <c r="D4" s="43" t="str">
        <f aca="false">IF($C$4="","",IFERROR(INDEX(Schools!$B$5:$B$304,MATCH($C$4,Schools!$A$5:$A$304,0)),"School not found"))</f>
        <v>Example Primary School</v>
      </c>
      <c r="E4" s="43"/>
      <c r="F4" s="43"/>
      <c r="G4" s="43"/>
    </row>
    <row r="5" customFormat="false" ht="21.75" hidden="false" customHeight="true" outlineLevel="0" collapsed="false">
      <c r="A5" s="24" t="s">
        <v>121</v>
      </c>
      <c r="B5" s="24"/>
      <c r="C5" s="42" t="s">
        <v>145</v>
      </c>
      <c r="D5" s="45" t="str">
        <f aca="false">IF($C$5="","",$C$5&amp;"  |  "&amp;Settings!B5)</f>
        <v>Class 4  |  2026/2027</v>
      </c>
      <c r="E5" s="45"/>
      <c r="F5" s="45"/>
      <c r="G5" s="45"/>
    </row>
    <row r="7" customFormat="false" ht="7.5" hidden="false" customHeight="true" outlineLevel="0" collapsed="false"/>
    <row r="8" customFormat="false" ht="25.5" hidden="false" customHeight="true" outlineLevel="0" collapsed="false">
      <c r="A8" s="34" t="s">
        <v>191</v>
      </c>
      <c r="B8" s="34" t="s">
        <v>192</v>
      </c>
      <c r="C8" s="34" t="s">
        <v>193</v>
      </c>
      <c r="D8" s="34" t="s">
        <v>194</v>
      </c>
      <c r="E8" s="34" t="s">
        <v>195</v>
      </c>
      <c r="F8" s="34" t="s">
        <v>196</v>
      </c>
      <c r="G8" s="34" t="s">
        <v>197</v>
      </c>
    </row>
    <row r="9" customFormat="false" ht="45.75" hidden="false" customHeight="true" outlineLevel="0" collapsed="false">
      <c r="A9" s="71" t="n">
        <f aca="false">Settings!N14</f>
        <v>1</v>
      </c>
      <c r="B9" s="71" t="str">
        <f aca="false">Settings!O14</f>
        <v>08:00-08:40</v>
      </c>
      <c r="C9" s="72" t="str">
        <f aca="false">IF(OR($C$4="",$C$5=""),"",IFERROR(INDEX(Timetable!$E$5:$E$304,MATCH($C$4&amp;"|"&amp;$C$5&amp;"|"&amp;C$8&amp;"|"&amp;$A9,Timetable!$I$5:$I$304,0))&amp;CHAR(10)&amp;INDEX(Timetable!$G$5:$G$304,MATCH($C$4&amp;"|"&amp;$C$5&amp;"|"&amp;C$8&amp;"|"&amp;$A9,Timetable!$I$5:$I$304,0)),""))</f>
        <v>Mathematics
John Sesay</v>
      </c>
      <c r="D9" s="72" t="str">
        <f aca="false">IF(OR($C$4="",$C$5=""),"",IFERROR(INDEX(Timetable!$E$5:$E$304,MATCH($C$4&amp;"|"&amp;$C$5&amp;"|"&amp;D$8&amp;"|"&amp;$A9,Timetable!$I$5:$I$304,0))&amp;CHAR(10)&amp;INDEX(Timetable!$G$5:$G$304,MATCH($C$4&amp;"|"&amp;$C$5&amp;"|"&amp;D$8&amp;"|"&amp;$A9,Timetable!$I$5:$I$304,0)),""))</f>
        <v/>
      </c>
      <c r="E9" s="72" t="str">
        <f aca="false">IF(OR($C$4="",$C$5=""),"",IFERROR(INDEX(Timetable!$E$5:$E$304,MATCH($C$4&amp;"|"&amp;$C$5&amp;"|"&amp;E$8&amp;"|"&amp;$A9,Timetable!$I$5:$I$304,0))&amp;CHAR(10)&amp;INDEX(Timetable!$G$5:$G$304,MATCH($C$4&amp;"|"&amp;$C$5&amp;"|"&amp;E$8&amp;"|"&amp;$A9,Timetable!$I$5:$I$304,0)),""))</f>
        <v/>
      </c>
      <c r="F9" s="72" t="str">
        <f aca="false">IF(OR($C$4="",$C$5=""),"",IFERROR(INDEX(Timetable!$E$5:$E$304,MATCH($C$4&amp;"|"&amp;$C$5&amp;"|"&amp;F$8&amp;"|"&amp;$A9,Timetable!$I$5:$I$304,0))&amp;CHAR(10)&amp;INDEX(Timetable!$G$5:$G$304,MATCH($C$4&amp;"|"&amp;$C$5&amp;"|"&amp;F$8&amp;"|"&amp;$A9,Timetable!$I$5:$I$304,0)),""))</f>
        <v/>
      </c>
      <c r="G9" s="72" t="str">
        <f aca="false">IF(OR($C$4="",$C$5=""),"",IFERROR(INDEX(Timetable!$E$5:$E$304,MATCH($C$4&amp;"|"&amp;$C$5&amp;"|"&amp;G$8&amp;"|"&amp;$A9,Timetable!$I$5:$I$304,0))&amp;CHAR(10)&amp;INDEX(Timetable!$G$5:$G$304,MATCH($C$4&amp;"|"&amp;$C$5&amp;"|"&amp;G$8&amp;"|"&amp;$A9,Timetable!$I$5:$I$304,0)),""))</f>
        <v/>
      </c>
    </row>
    <row r="10" customFormat="false" ht="45.75" hidden="false" customHeight="true" outlineLevel="0" collapsed="false">
      <c r="A10" s="71" t="n">
        <f aca="false">Settings!N15</f>
        <v>2</v>
      </c>
      <c r="B10" s="71" t="str">
        <f aca="false">Settings!O15</f>
        <v>08:40-09:20</v>
      </c>
      <c r="C10" s="72" t="str">
        <f aca="false">IF(OR($C$4="",$C$5=""),"",IFERROR(INDEX(Timetable!$E$5:$E$304,MATCH($C$4&amp;"|"&amp;$C$5&amp;"|"&amp;C$8&amp;"|"&amp;$A10,Timetable!$I$5:$I$304,0))&amp;CHAR(10)&amp;INDEX(Timetable!$G$5:$G$304,MATCH($C$4&amp;"|"&amp;$C$5&amp;"|"&amp;C$8&amp;"|"&amp;$A10,Timetable!$I$5:$I$304,0)),""))</f>
        <v/>
      </c>
      <c r="D10" s="72" t="str">
        <f aca="false">IF(OR($C$4="",$C$5=""),"",IFERROR(INDEX(Timetable!$E$5:$E$304,MATCH($C$4&amp;"|"&amp;$C$5&amp;"|"&amp;D$8&amp;"|"&amp;$A10,Timetable!$I$5:$I$304,0))&amp;CHAR(10)&amp;INDEX(Timetable!$G$5:$G$304,MATCH($C$4&amp;"|"&amp;$C$5&amp;"|"&amp;D$8&amp;"|"&amp;$A10,Timetable!$I$5:$I$304,0)),""))</f>
        <v/>
      </c>
      <c r="E10" s="72" t="str">
        <f aca="false">IF(OR($C$4="",$C$5=""),"",IFERROR(INDEX(Timetable!$E$5:$E$304,MATCH($C$4&amp;"|"&amp;$C$5&amp;"|"&amp;E$8&amp;"|"&amp;$A10,Timetable!$I$5:$I$304,0))&amp;CHAR(10)&amp;INDEX(Timetable!$G$5:$G$304,MATCH($C$4&amp;"|"&amp;$C$5&amp;"|"&amp;E$8&amp;"|"&amp;$A10,Timetable!$I$5:$I$304,0)),""))</f>
        <v/>
      </c>
      <c r="F10" s="72" t="str">
        <f aca="false">IF(OR($C$4="",$C$5=""),"",IFERROR(INDEX(Timetable!$E$5:$E$304,MATCH($C$4&amp;"|"&amp;$C$5&amp;"|"&amp;F$8&amp;"|"&amp;$A10,Timetable!$I$5:$I$304,0))&amp;CHAR(10)&amp;INDEX(Timetable!$G$5:$G$304,MATCH($C$4&amp;"|"&amp;$C$5&amp;"|"&amp;F$8&amp;"|"&amp;$A10,Timetable!$I$5:$I$304,0)),""))</f>
        <v/>
      </c>
      <c r="G10" s="72" t="str">
        <f aca="false">IF(OR($C$4="",$C$5=""),"",IFERROR(INDEX(Timetable!$E$5:$E$304,MATCH($C$4&amp;"|"&amp;$C$5&amp;"|"&amp;G$8&amp;"|"&amp;$A10,Timetable!$I$5:$I$304,0))&amp;CHAR(10)&amp;INDEX(Timetable!$G$5:$G$304,MATCH($C$4&amp;"|"&amp;$C$5&amp;"|"&amp;G$8&amp;"|"&amp;$A10,Timetable!$I$5:$I$304,0)),""))</f>
        <v/>
      </c>
    </row>
    <row r="11" customFormat="false" ht="45.75" hidden="false" customHeight="true" outlineLevel="0" collapsed="false">
      <c r="A11" s="71" t="n">
        <f aca="false">Settings!N16</f>
        <v>3</v>
      </c>
      <c r="B11" s="71" t="str">
        <f aca="false">Settings!O16</f>
        <v>09:20-10:00</v>
      </c>
      <c r="C11" s="72" t="str">
        <f aca="false">IF(OR($C$4="",$C$5=""),"",IFERROR(INDEX(Timetable!$E$5:$E$304,MATCH($C$4&amp;"|"&amp;$C$5&amp;"|"&amp;C$8&amp;"|"&amp;$A11,Timetable!$I$5:$I$304,0))&amp;CHAR(10)&amp;INDEX(Timetable!$G$5:$G$304,MATCH($C$4&amp;"|"&amp;$C$5&amp;"|"&amp;C$8&amp;"|"&amp;$A11,Timetable!$I$5:$I$304,0)),""))</f>
        <v/>
      </c>
      <c r="D11" s="72" t="str">
        <f aca="false">IF(OR($C$4="",$C$5=""),"",IFERROR(INDEX(Timetable!$E$5:$E$304,MATCH($C$4&amp;"|"&amp;$C$5&amp;"|"&amp;D$8&amp;"|"&amp;$A11,Timetable!$I$5:$I$304,0))&amp;CHAR(10)&amp;INDEX(Timetable!$G$5:$G$304,MATCH($C$4&amp;"|"&amp;$C$5&amp;"|"&amp;D$8&amp;"|"&amp;$A11,Timetable!$I$5:$I$304,0)),""))</f>
        <v/>
      </c>
      <c r="E11" s="72" t="str">
        <f aca="false">IF(OR($C$4="",$C$5=""),"",IFERROR(INDEX(Timetable!$E$5:$E$304,MATCH($C$4&amp;"|"&amp;$C$5&amp;"|"&amp;E$8&amp;"|"&amp;$A11,Timetable!$I$5:$I$304,0))&amp;CHAR(10)&amp;INDEX(Timetable!$G$5:$G$304,MATCH($C$4&amp;"|"&amp;$C$5&amp;"|"&amp;E$8&amp;"|"&amp;$A11,Timetable!$I$5:$I$304,0)),""))</f>
        <v/>
      </c>
      <c r="F11" s="72" t="str">
        <f aca="false">IF(OR($C$4="",$C$5=""),"",IFERROR(INDEX(Timetable!$E$5:$E$304,MATCH($C$4&amp;"|"&amp;$C$5&amp;"|"&amp;F$8&amp;"|"&amp;$A11,Timetable!$I$5:$I$304,0))&amp;CHAR(10)&amp;INDEX(Timetable!$G$5:$G$304,MATCH($C$4&amp;"|"&amp;$C$5&amp;"|"&amp;F$8&amp;"|"&amp;$A11,Timetable!$I$5:$I$304,0)),""))</f>
        <v/>
      </c>
      <c r="G11" s="72" t="str">
        <f aca="false">IF(OR($C$4="",$C$5=""),"",IFERROR(INDEX(Timetable!$E$5:$E$304,MATCH($C$4&amp;"|"&amp;$C$5&amp;"|"&amp;G$8&amp;"|"&amp;$A11,Timetable!$I$5:$I$304,0))&amp;CHAR(10)&amp;INDEX(Timetable!$G$5:$G$304,MATCH($C$4&amp;"|"&amp;$C$5&amp;"|"&amp;G$8&amp;"|"&amp;$A11,Timetable!$I$5:$I$304,0)),""))</f>
        <v/>
      </c>
    </row>
    <row r="12" customFormat="false" ht="45.75" hidden="false" customHeight="true" outlineLevel="0" collapsed="false">
      <c r="A12" s="71" t="n">
        <f aca="false">Settings!N17</f>
        <v>4</v>
      </c>
      <c r="B12" s="71" t="str">
        <f aca="false">Settings!O17</f>
        <v>10:20-11:00</v>
      </c>
      <c r="C12" s="72" t="str">
        <f aca="false">IF(OR($C$4="",$C$5=""),"",IFERROR(INDEX(Timetable!$E$5:$E$304,MATCH($C$4&amp;"|"&amp;$C$5&amp;"|"&amp;C$8&amp;"|"&amp;$A12,Timetable!$I$5:$I$304,0))&amp;CHAR(10)&amp;INDEX(Timetable!$G$5:$G$304,MATCH($C$4&amp;"|"&amp;$C$5&amp;"|"&amp;C$8&amp;"|"&amp;$A12,Timetable!$I$5:$I$304,0)),""))</f>
        <v/>
      </c>
      <c r="D12" s="72" t="str">
        <f aca="false">IF(OR($C$4="",$C$5=""),"",IFERROR(INDEX(Timetable!$E$5:$E$304,MATCH($C$4&amp;"|"&amp;$C$5&amp;"|"&amp;D$8&amp;"|"&amp;$A12,Timetable!$I$5:$I$304,0))&amp;CHAR(10)&amp;INDEX(Timetable!$G$5:$G$304,MATCH($C$4&amp;"|"&amp;$C$5&amp;"|"&amp;D$8&amp;"|"&amp;$A12,Timetable!$I$5:$I$304,0)),""))</f>
        <v/>
      </c>
      <c r="E12" s="72" t="str">
        <f aca="false">IF(OR($C$4="",$C$5=""),"",IFERROR(INDEX(Timetable!$E$5:$E$304,MATCH($C$4&amp;"|"&amp;$C$5&amp;"|"&amp;E$8&amp;"|"&amp;$A12,Timetable!$I$5:$I$304,0))&amp;CHAR(10)&amp;INDEX(Timetable!$G$5:$G$304,MATCH($C$4&amp;"|"&amp;$C$5&amp;"|"&amp;E$8&amp;"|"&amp;$A12,Timetable!$I$5:$I$304,0)),""))</f>
        <v/>
      </c>
      <c r="F12" s="72" t="str">
        <f aca="false">IF(OR($C$4="",$C$5=""),"",IFERROR(INDEX(Timetable!$E$5:$E$304,MATCH($C$4&amp;"|"&amp;$C$5&amp;"|"&amp;F$8&amp;"|"&amp;$A12,Timetable!$I$5:$I$304,0))&amp;CHAR(10)&amp;INDEX(Timetable!$G$5:$G$304,MATCH($C$4&amp;"|"&amp;$C$5&amp;"|"&amp;F$8&amp;"|"&amp;$A12,Timetable!$I$5:$I$304,0)),""))</f>
        <v/>
      </c>
      <c r="G12" s="72" t="str">
        <f aca="false">IF(OR($C$4="",$C$5=""),"",IFERROR(INDEX(Timetable!$E$5:$E$304,MATCH($C$4&amp;"|"&amp;$C$5&amp;"|"&amp;G$8&amp;"|"&amp;$A12,Timetable!$I$5:$I$304,0))&amp;CHAR(10)&amp;INDEX(Timetable!$G$5:$G$304,MATCH($C$4&amp;"|"&amp;$C$5&amp;"|"&amp;G$8&amp;"|"&amp;$A12,Timetable!$I$5:$I$304,0)),""))</f>
        <v/>
      </c>
    </row>
    <row r="13" customFormat="false" ht="45.75" hidden="false" customHeight="true" outlineLevel="0" collapsed="false">
      <c r="A13" s="71" t="n">
        <f aca="false">Settings!N18</f>
        <v>5</v>
      </c>
      <c r="B13" s="71" t="str">
        <f aca="false">Settings!O18</f>
        <v>11:00-11:40</v>
      </c>
      <c r="C13" s="72" t="str">
        <f aca="false">IF(OR($C$4="",$C$5=""),"",IFERROR(INDEX(Timetable!$E$5:$E$304,MATCH($C$4&amp;"|"&amp;$C$5&amp;"|"&amp;C$8&amp;"|"&amp;$A13,Timetable!$I$5:$I$304,0))&amp;CHAR(10)&amp;INDEX(Timetable!$G$5:$G$304,MATCH($C$4&amp;"|"&amp;$C$5&amp;"|"&amp;C$8&amp;"|"&amp;$A13,Timetable!$I$5:$I$304,0)),""))</f>
        <v/>
      </c>
      <c r="D13" s="72" t="str">
        <f aca="false">IF(OR($C$4="",$C$5=""),"",IFERROR(INDEX(Timetable!$E$5:$E$304,MATCH($C$4&amp;"|"&amp;$C$5&amp;"|"&amp;D$8&amp;"|"&amp;$A13,Timetable!$I$5:$I$304,0))&amp;CHAR(10)&amp;INDEX(Timetable!$G$5:$G$304,MATCH($C$4&amp;"|"&amp;$C$5&amp;"|"&amp;D$8&amp;"|"&amp;$A13,Timetable!$I$5:$I$304,0)),""))</f>
        <v/>
      </c>
      <c r="E13" s="72" t="str">
        <f aca="false">IF(OR($C$4="",$C$5=""),"",IFERROR(INDEX(Timetable!$E$5:$E$304,MATCH($C$4&amp;"|"&amp;$C$5&amp;"|"&amp;E$8&amp;"|"&amp;$A13,Timetable!$I$5:$I$304,0))&amp;CHAR(10)&amp;INDEX(Timetable!$G$5:$G$304,MATCH($C$4&amp;"|"&amp;$C$5&amp;"|"&amp;E$8&amp;"|"&amp;$A13,Timetable!$I$5:$I$304,0)),""))</f>
        <v/>
      </c>
      <c r="F13" s="72" t="str">
        <f aca="false">IF(OR($C$4="",$C$5=""),"",IFERROR(INDEX(Timetable!$E$5:$E$304,MATCH($C$4&amp;"|"&amp;$C$5&amp;"|"&amp;F$8&amp;"|"&amp;$A13,Timetable!$I$5:$I$304,0))&amp;CHAR(10)&amp;INDEX(Timetable!$G$5:$G$304,MATCH($C$4&amp;"|"&amp;$C$5&amp;"|"&amp;F$8&amp;"|"&amp;$A13,Timetable!$I$5:$I$304,0)),""))</f>
        <v/>
      </c>
      <c r="G13" s="72" t="str">
        <f aca="false">IF(OR($C$4="",$C$5=""),"",IFERROR(INDEX(Timetable!$E$5:$E$304,MATCH($C$4&amp;"|"&amp;$C$5&amp;"|"&amp;G$8&amp;"|"&amp;$A13,Timetable!$I$5:$I$304,0))&amp;CHAR(10)&amp;INDEX(Timetable!$G$5:$G$304,MATCH($C$4&amp;"|"&amp;$C$5&amp;"|"&amp;G$8&amp;"|"&amp;$A13,Timetable!$I$5:$I$304,0)),""))</f>
        <v/>
      </c>
    </row>
    <row r="14" customFormat="false" ht="45.75" hidden="false" customHeight="true" outlineLevel="0" collapsed="false">
      <c r="A14" s="71" t="n">
        <f aca="false">Settings!N19</f>
        <v>6</v>
      </c>
      <c r="B14" s="71" t="str">
        <f aca="false">Settings!O19</f>
        <v>11:40-12:20</v>
      </c>
      <c r="C14" s="72" t="str">
        <f aca="false">IF(OR($C$4="",$C$5=""),"",IFERROR(INDEX(Timetable!$E$5:$E$304,MATCH($C$4&amp;"|"&amp;$C$5&amp;"|"&amp;C$8&amp;"|"&amp;$A14,Timetable!$I$5:$I$304,0))&amp;CHAR(10)&amp;INDEX(Timetable!$G$5:$G$304,MATCH($C$4&amp;"|"&amp;$C$5&amp;"|"&amp;C$8&amp;"|"&amp;$A14,Timetable!$I$5:$I$304,0)),""))</f>
        <v/>
      </c>
      <c r="D14" s="72" t="str">
        <f aca="false">IF(OR($C$4="",$C$5=""),"",IFERROR(INDEX(Timetable!$E$5:$E$304,MATCH($C$4&amp;"|"&amp;$C$5&amp;"|"&amp;D$8&amp;"|"&amp;$A14,Timetable!$I$5:$I$304,0))&amp;CHAR(10)&amp;INDEX(Timetable!$G$5:$G$304,MATCH($C$4&amp;"|"&amp;$C$5&amp;"|"&amp;D$8&amp;"|"&amp;$A14,Timetable!$I$5:$I$304,0)),""))</f>
        <v/>
      </c>
      <c r="E14" s="72" t="str">
        <f aca="false">IF(OR($C$4="",$C$5=""),"",IFERROR(INDEX(Timetable!$E$5:$E$304,MATCH($C$4&amp;"|"&amp;$C$5&amp;"|"&amp;E$8&amp;"|"&amp;$A14,Timetable!$I$5:$I$304,0))&amp;CHAR(10)&amp;INDEX(Timetable!$G$5:$G$304,MATCH($C$4&amp;"|"&amp;$C$5&amp;"|"&amp;E$8&amp;"|"&amp;$A14,Timetable!$I$5:$I$304,0)),""))</f>
        <v/>
      </c>
      <c r="F14" s="72" t="str">
        <f aca="false">IF(OR($C$4="",$C$5=""),"",IFERROR(INDEX(Timetable!$E$5:$E$304,MATCH($C$4&amp;"|"&amp;$C$5&amp;"|"&amp;F$8&amp;"|"&amp;$A14,Timetable!$I$5:$I$304,0))&amp;CHAR(10)&amp;INDEX(Timetable!$G$5:$G$304,MATCH($C$4&amp;"|"&amp;$C$5&amp;"|"&amp;F$8&amp;"|"&amp;$A14,Timetable!$I$5:$I$304,0)),""))</f>
        <v/>
      </c>
      <c r="G14" s="72" t="str">
        <f aca="false">IF(OR($C$4="",$C$5=""),"",IFERROR(INDEX(Timetable!$E$5:$E$304,MATCH($C$4&amp;"|"&amp;$C$5&amp;"|"&amp;G$8&amp;"|"&amp;$A14,Timetable!$I$5:$I$304,0))&amp;CHAR(10)&amp;INDEX(Timetable!$G$5:$G$304,MATCH($C$4&amp;"|"&amp;$C$5&amp;"|"&amp;G$8&amp;"|"&amp;$A14,Timetable!$I$5:$I$304,0)),""))</f>
        <v/>
      </c>
    </row>
    <row r="15" customFormat="false" ht="45.75" hidden="false" customHeight="true" outlineLevel="0" collapsed="false">
      <c r="A15" s="71" t="n">
        <f aca="false">Settings!N20</f>
        <v>7</v>
      </c>
      <c r="B15" s="71" t="str">
        <f aca="false">Settings!O20</f>
        <v>13:00-13:40</v>
      </c>
      <c r="C15" s="72" t="str">
        <f aca="false">IF(OR($C$4="",$C$5=""),"",IFERROR(INDEX(Timetable!$E$5:$E$304,MATCH($C$4&amp;"|"&amp;$C$5&amp;"|"&amp;C$8&amp;"|"&amp;$A15,Timetable!$I$5:$I$304,0))&amp;CHAR(10)&amp;INDEX(Timetable!$G$5:$G$304,MATCH($C$4&amp;"|"&amp;$C$5&amp;"|"&amp;C$8&amp;"|"&amp;$A15,Timetable!$I$5:$I$304,0)),""))</f>
        <v/>
      </c>
      <c r="D15" s="72" t="str">
        <f aca="false">IF(OR($C$4="",$C$5=""),"",IFERROR(INDEX(Timetable!$E$5:$E$304,MATCH($C$4&amp;"|"&amp;$C$5&amp;"|"&amp;D$8&amp;"|"&amp;$A15,Timetable!$I$5:$I$304,0))&amp;CHAR(10)&amp;INDEX(Timetable!$G$5:$G$304,MATCH($C$4&amp;"|"&amp;$C$5&amp;"|"&amp;D$8&amp;"|"&amp;$A15,Timetable!$I$5:$I$304,0)),""))</f>
        <v/>
      </c>
      <c r="E15" s="72" t="str">
        <f aca="false">IF(OR($C$4="",$C$5=""),"",IFERROR(INDEX(Timetable!$E$5:$E$304,MATCH($C$4&amp;"|"&amp;$C$5&amp;"|"&amp;E$8&amp;"|"&amp;$A15,Timetable!$I$5:$I$304,0))&amp;CHAR(10)&amp;INDEX(Timetable!$G$5:$G$304,MATCH($C$4&amp;"|"&amp;$C$5&amp;"|"&amp;E$8&amp;"|"&amp;$A15,Timetable!$I$5:$I$304,0)),""))</f>
        <v/>
      </c>
      <c r="F15" s="72" t="str">
        <f aca="false">IF(OR($C$4="",$C$5=""),"",IFERROR(INDEX(Timetable!$E$5:$E$304,MATCH($C$4&amp;"|"&amp;$C$5&amp;"|"&amp;F$8&amp;"|"&amp;$A15,Timetable!$I$5:$I$304,0))&amp;CHAR(10)&amp;INDEX(Timetable!$G$5:$G$304,MATCH($C$4&amp;"|"&amp;$C$5&amp;"|"&amp;F$8&amp;"|"&amp;$A15,Timetable!$I$5:$I$304,0)),""))</f>
        <v/>
      </c>
      <c r="G15" s="72" t="str">
        <f aca="false">IF(OR($C$4="",$C$5=""),"",IFERROR(INDEX(Timetable!$E$5:$E$304,MATCH($C$4&amp;"|"&amp;$C$5&amp;"|"&amp;G$8&amp;"|"&amp;$A15,Timetable!$I$5:$I$304,0))&amp;CHAR(10)&amp;INDEX(Timetable!$G$5:$G$304,MATCH($C$4&amp;"|"&amp;$C$5&amp;"|"&amp;G$8&amp;"|"&amp;$A15,Timetable!$I$5:$I$304,0)),""))</f>
        <v/>
      </c>
    </row>
    <row r="16" customFormat="false" ht="45.75" hidden="false" customHeight="true" outlineLevel="0" collapsed="false">
      <c r="A16" s="71" t="n">
        <f aca="false">Settings!N21</f>
        <v>8</v>
      </c>
      <c r="B16" s="71" t="str">
        <f aca="false">Settings!O21</f>
        <v>13:40-14:20</v>
      </c>
      <c r="C16" s="72" t="str">
        <f aca="false">IF(OR($C$4="",$C$5=""),"",IFERROR(INDEX(Timetable!$E$5:$E$304,MATCH($C$4&amp;"|"&amp;$C$5&amp;"|"&amp;C$8&amp;"|"&amp;$A16,Timetable!$I$5:$I$304,0))&amp;CHAR(10)&amp;INDEX(Timetable!$G$5:$G$304,MATCH($C$4&amp;"|"&amp;$C$5&amp;"|"&amp;C$8&amp;"|"&amp;$A16,Timetable!$I$5:$I$304,0)),""))</f>
        <v/>
      </c>
      <c r="D16" s="72" t="str">
        <f aca="false">IF(OR($C$4="",$C$5=""),"",IFERROR(INDEX(Timetable!$E$5:$E$304,MATCH($C$4&amp;"|"&amp;$C$5&amp;"|"&amp;D$8&amp;"|"&amp;$A16,Timetable!$I$5:$I$304,0))&amp;CHAR(10)&amp;INDEX(Timetable!$G$5:$G$304,MATCH($C$4&amp;"|"&amp;$C$5&amp;"|"&amp;D$8&amp;"|"&amp;$A16,Timetable!$I$5:$I$304,0)),""))</f>
        <v/>
      </c>
      <c r="E16" s="72" t="str">
        <f aca="false">IF(OR($C$4="",$C$5=""),"",IFERROR(INDEX(Timetable!$E$5:$E$304,MATCH($C$4&amp;"|"&amp;$C$5&amp;"|"&amp;E$8&amp;"|"&amp;$A16,Timetable!$I$5:$I$304,0))&amp;CHAR(10)&amp;INDEX(Timetable!$G$5:$G$304,MATCH($C$4&amp;"|"&amp;$C$5&amp;"|"&amp;E$8&amp;"|"&amp;$A16,Timetable!$I$5:$I$304,0)),""))</f>
        <v/>
      </c>
      <c r="F16" s="72" t="str">
        <f aca="false">IF(OR($C$4="",$C$5=""),"",IFERROR(INDEX(Timetable!$E$5:$E$304,MATCH($C$4&amp;"|"&amp;$C$5&amp;"|"&amp;F$8&amp;"|"&amp;$A16,Timetable!$I$5:$I$304,0))&amp;CHAR(10)&amp;INDEX(Timetable!$G$5:$G$304,MATCH($C$4&amp;"|"&amp;$C$5&amp;"|"&amp;F$8&amp;"|"&amp;$A16,Timetable!$I$5:$I$304,0)),""))</f>
        <v/>
      </c>
      <c r="G16" s="72" t="str">
        <f aca="false">IF(OR($C$4="",$C$5=""),"",IFERROR(INDEX(Timetable!$E$5:$E$304,MATCH($C$4&amp;"|"&amp;$C$5&amp;"|"&amp;G$8&amp;"|"&amp;$A16,Timetable!$I$5:$I$304,0))&amp;CHAR(10)&amp;INDEX(Timetable!$G$5:$G$304,MATCH($C$4&amp;"|"&amp;$C$5&amp;"|"&amp;G$8&amp;"|"&amp;$A16,Timetable!$I$5:$I$304,0)),""))</f>
        <v/>
      </c>
    </row>
  </sheetData>
  <mergeCells count="7">
    <mergeCell ref="A1:G1"/>
    <mergeCell ref="A2:G2"/>
    <mergeCell ref="A3:G3"/>
    <mergeCell ref="A4:B4"/>
    <mergeCell ref="D4:G4"/>
    <mergeCell ref="A5:B5"/>
    <mergeCell ref="D5:G5"/>
  </mergeCells>
  <conditionalFormatting sqref="C9:G16">
    <cfRule type="expression" priority="2" aboveAverage="0" equalAverage="0" bottom="0" percent="0" rank="0" text="" dxfId="17">
      <formula>C9&lt;&gt;""</formula>
    </cfRule>
  </conditionalFormatting>
  <dataValidations count="2">
    <dataValidation allowBlank="true" error="Choose from the list." errorStyle="stop" errorTitle="Invalid" operator="between" showDropDown="false" showErrorMessage="true" showInputMessage="false" sqref="C4" type="list">
      <formula1>Schools!$A$5:$A$304</formula1>
      <formula2>0</formula2>
    </dataValidation>
    <dataValidation allowBlank="true" error="Choose from the list." errorStyle="stop" errorTitle="Invalid" operator="between" showDropDown="false" showErrorMessage="true" showInputMessage="false" sqref="C5" type="list">
      <formula1>Settings!$B$11:$B$30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9A"/>
    <pageSetUpPr fitToPage="false"/>
  </sheetPr>
  <dimension ref="A1:O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34"/>
    <col collapsed="false" customWidth="true" hidden="false" outlineLevel="0" max="4" min="4" style="1" width="3"/>
    <col collapsed="false" customWidth="true" hidden="false" outlineLevel="0" max="5" min="5" style="1" width="12"/>
    <col collapsed="false" customWidth="true" hidden="false" outlineLevel="0" max="6" min="6" style="1" width="10"/>
    <col collapsed="false" customWidth="true" hidden="false" outlineLevel="0" max="7" min="7" style="1" width="16"/>
    <col collapsed="false" customWidth="true" hidden="false" outlineLevel="0" max="8" min="8" style="1" width="3"/>
    <col collapsed="false" customWidth="true" hidden="false" outlineLevel="0" max="9" min="9" style="1" width="30"/>
    <col collapsed="false" customWidth="true" hidden="false" outlineLevel="0" max="10" min="10" style="1" width="34"/>
    <col collapsed="false" customWidth="true" hidden="false" outlineLevel="0" max="12" min="11" style="1" width="18"/>
    <col collapsed="false" customWidth="true" hidden="false" outlineLevel="0" max="13" min="13" style="1" width="3"/>
    <col collapsed="false" customWidth="true" hidden="false" outlineLevel="0" max="14" min="14" style="1" width="30"/>
    <col collapsed="false" customWidth="true" hidden="false" outlineLevel="0" max="15" min="15" style="1" width="28"/>
  </cols>
  <sheetData>
    <row r="1" customFormat="false" ht="42" hidden="false" customHeight="true" outlineLevel="0" collapsed="false">
      <c r="A1" s="2" t="s">
        <v>198</v>
      </c>
      <c r="B1" s="2"/>
      <c r="C1" s="2"/>
      <c r="D1" s="2"/>
      <c r="E1" s="2"/>
      <c r="F1" s="2"/>
      <c r="G1" s="2"/>
      <c r="H1" s="2"/>
      <c r="I1" s="2"/>
      <c r="J1" s="2"/>
      <c r="K1" s="2"/>
      <c r="L1" s="2"/>
      <c r="M1" s="2"/>
      <c r="N1" s="2"/>
      <c r="O1" s="2"/>
    </row>
    <row r="2" customFormat="false" ht="19.5" hidden="false" customHeight="true" outlineLevel="0" collapsed="false">
      <c r="A2" s="3" t="s">
        <v>199</v>
      </c>
      <c r="B2" s="3"/>
      <c r="C2" s="3"/>
      <c r="D2" s="3"/>
      <c r="E2" s="3"/>
      <c r="F2" s="3"/>
      <c r="G2" s="3"/>
      <c r="H2" s="3"/>
      <c r="I2" s="3"/>
      <c r="J2" s="3"/>
      <c r="K2" s="3"/>
      <c r="L2" s="3"/>
      <c r="M2" s="3"/>
      <c r="N2" s="3"/>
      <c r="O2" s="3"/>
    </row>
    <row r="3" customFormat="false" ht="3.75" hidden="false" customHeight="true" outlineLevel="0" collapsed="false">
      <c r="A3" s="4"/>
      <c r="B3" s="4"/>
      <c r="C3" s="4"/>
      <c r="D3" s="4"/>
      <c r="E3" s="4"/>
      <c r="F3" s="4"/>
      <c r="G3" s="4"/>
      <c r="H3" s="4"/>
      <c r="I3" s="4"/>
      <c r="J3" s="4"/>
      <c r="K3" s="4"/>
      <c r="L3" s="4"/>
      <c r="M3" s="4"/>
      <c r="N3" s="4"/>
      <c r="O3" s="4"/>
    </row>
    <row r="4" customFormat="false" ht="15" hidden="false" customHeight="true" outlineLevel="0" collapsed="false">
      <c r="A4" s="5" t="s">
        <v>200</v>
      </c>
      <c r="I4" s="5" t="s">
        <v>201</v>
      </c>
      <c r="N4" s="5" t="s">
        <v>202</v>
      </c>
    </row>
    <row r="5" customFormat="false" ht="15" hidden="false" customHeight="true" outlineLevel="0" collapsed="false">
      <c r="A5" s="73" t="s">
        <v>203</v>
      </c>
      <c r="B5" s="74" t="s">
        <v>204</v>
      </c>
      <c r="I5" s="73" t="s">
        <v>205</v>
      </c>
      <c r="J5" s="74" t="s">
        <v>27</v>
      </c>
      <c r="N5" s="73" t="s">
        <v>206</v>
      </c>
      <c r="O5" s="74" t="n">
        <v>22</v>
      </c>
    </row>
    <row r="6" customFormat="false" ht="15" hidden="false" customHeight="true" outlineLevel="0" collapsed="false">
      <c r="A6" s="73" t="s">
        <v>207</v>
      </c>
      <c r="B6" s="74" t="s">
        <v>208</v>
      </c>
      <c r="I6" s="73" t="s">
        <v>209</v>
      </c>
      <c r="J6" s="74" t="s">
        <v>210</v>
      </c>
      <c r="N6" s="73" t="s">
        <v>211</v>
      </c>
      <c r="O6" s="74" t="n">
        <v>14</v>
      </c>
    </row>
    <row r="7" customFormat="false" ht="15" hidden="false" customHeight="true" outlineLevel="0" collapsed="false">
      <c r="A7" s="73" t="s">
        <v>212</v>
      </c>
      <c r="B7" s="74" t="n">
        <v>40</v>
      </c>
      <c r="I7" s="73" t="s">
        <v>213</v>
      </c>
      <c r="J7" s="74"/>
    </row>
    <row r="8" customFormat="false" ht="15" hidden="false" customHeight="true" outlineLevel="0" collapsed="false">
      <c r="A8" s="73" t="s">
        <v>214</v>
      </c>
      <c r="B8" s="75" t="n">
        <v>0.3</v>
      </c>
      <c r="C8" s="21" t="s">
        <v>215</v>
      </c>
      <c r="I8" s="73" t="s">
        <v>216</v>
      </c>
      <c r="J8" s="74" t="s">
        <v>27</v>
      </c>
      <c r="N8" s="5" t="s">
        <v>217</v>
      </c>
    </row>
    <row r="9" customFormat="false" ht="15" hidden="false" customHeight="true" outlineLevel="0" collapsed="false">
      <c r="A9" s="5" t="s">
        <v>218</v>
      </c>
      <c r="I9" s="5" t="s">
        <v>219</v>
      </c>
      <c r="N9" s="73" t="s">
        <v>220</v>
      </c>
      <c r="O9" s="74"/>
    </row>
    <row r="10" customFormat="false" ht="15" hidden="false" customHeight="true" outlineLevel="0" collapsed="false">
      <c r="A10" s="76" t="s">
        <v>221</v>
      </c>
      <c r="B10" s="76" t="s">
        <v>28</v>
      </c>
      <c r="C10" s="76" t="s">
        <v>222</v>
      </c>
      <c r="E10" s="76" t="s">
        <v>223</v>
      </c>
      <c r="F10" s="76" t="s">
        <v>133</v>
      </c>
      <c r="G10" s="76" t="s">
        <v>134</v>
      </c>
      <c r="I10" s="73" t="s">
        <v>132</v>
      </c>
      <c r="J10" s="74" t="s">
        <v>224</v>
      </c>
      <c r="K10" s="74"/>
      <c r="L10" s="74"/>
      <c r="N10" s="73" t="s">
        <v>225</v>
      </c>
      <c r="O10" s="74"/>
    </row>
    <row r="11" customFormat="false" ht="15" hidden="false" customHeight="true" outlineLevel="0" collapsed="false">
      <c r="A11" s="77" t="s">
        <v>130</v>
      </c>
      <c r="B11" s="77" t="s">
        <v>226</v>
      </c>
      <c r="C11" s="77" t="s">
        <v>227</v>
      </c>
      <c r="E11" s="78" t="n">
        <v>80</v>
      </c>
      <c r="F11" s="78" t="s">
        <v>228</v>
      </c>
      <c r="G11" s="78" t="s">
        <v>229</v>
      </c>
      <c r="I11" s="79" t="s">
        <v>230</v>
      </c>
      <c r="J11" s="80" t="s">
        <v>231</v>
      </c>
      <c r="K11" s="80"/>
      <c r="L11" s="80"/>
    </row>
    <row r="12" customFormat="false" ht="15" hidden="false" customHeight="true" outlineLevel="0" collapsed="false">
      <c r="A12" s="77" t="s">
        <v>232</v>
      </c>
      <c r="B12" s="77" t="s">
        <v>233</v>
      </c>
      <c r="C12" s="77" t="s">
        <v>181</v>
      </c>
      <c r="E12" s="78" t="n">
        <v>70</v>
      </c>
      <c r="F12" s="78" t="s">
        <v>234</v>
      </c>
      <c r="G12" s="78" t="s">
        <v>235</v>
      </c>
      <c r="J12" s="80"/>
      <c r="K12" s="80"/>
      <c r="L12" s="80"/>
      <c r="N12" s="5" t="s">
        <v>236</v>
      </c>
    </row>
    <row r="13" customFormat="false" ht="15" hidden="false" customHeight="true" outlineLevel="0" collapsed="false">
      <c r="A13" s="77" t="s">
        <v>237</v>
      </c>
      <c r="B13" s="77" t="s">
        <v>238</v>
      </c>
      <c r="C13" s="77" t="s">
        <v>239</v>
      </c>
      <c r="E13" s="78" t="n">
        <v>60</v>
      </c>
      <c r="F13" s="78" t="s">
        <v>240</v>
      </c>
      <c r="G13" s="78" t="s">
        <v>241</v>
      </c>
      <c r="J13" s="80"/>
      <c r="K13" s="80"/>
      <c r="L13" s="80"/>
      <c r="N13" s="76" t="s">
        <v>191</v>
      </c>
      <c r="O13" s="76" t="s">
        <v>192</v>
      </c>
    </row>
    <row r="14" customFormat="false" ht="15" hidden="false" customHeight="true" outlineLevel="0" collapsed="false">
      <c r="A14" s="77"/>
      <c r="B14" s="77" t="s">
        <v>242</v>
      </c>
      <c r="C14" s="77" t="s">
        <v>243</v>
      </c>
      <c r="E14" s="78" t="n">
        <v>50</v>
      </c>
      <c r="F14" s="78" t="s">
        <v>244</v>
      </c>
      <c r="G14" s="78" t="s">
        <v>245</v>
      </c>
      <c r="J14" s="80"/>
      <c r="K14" s="80"/>
      <c r="L14" s="80"/>
      <c r="N14" s="78" t="n">
        <v>1</v>
      </c>
      <c r="O14" s="78" t="s">
        <v>246</v>
      </c>
    </row>
    <row r="15" customFormat="false" ht="15" hidden="false" customHeight="true" outlineLevel="0" collapsed="false">
      <c r="A15" s="77"/>
      <c r="B15" s="77" t="s">
        <v>145</v>
      </c>
      <c r="C15" s="77" t="s">
        <v>247</v>
      </c>
      <c r="E15" s="78" t="n">
        <v>0</v>
      </c>
      <c r="F15" s="78" t="s">
        <v>248</v>
      </c>
      <c r="G15" s="78" t="s">
        <v>249</v>
      </c>
      <c r="J15" s="80"/>
      <c r="K15" s="80"/>
      <c r="L15" s="80"/>
      <c r="N15" s="78" t="n">
        <v>2</v>
      </c>
      <c r="O15" s="78" t="s">
        <v>250</v>
      </c>
    </row>
    <row r="16" customFormat="false" ht="15" hidden="false" customHeight="true" outlineLevel="0" collapsed="false">
      <c r="A16" s="77"/>
      <c r="B16" s="77" t="s">
        <v>251</v>
      </c>
      <c r="C16" s="77" t="s">
        <v>252</v>
      </c>
      <c r="E16" s="77"/>
      <c r="F16" s="77"/>
      <c r="G16" s="77"/>
      <c r="J16" s="80"/>
      <c r="K16" s="80"/>
      <c r="L16" s="80"/>
      <c r="N16" s="78" t="n">
        <v>3</v>
      </c>
      <c r="O16" s="78" t="s">
        <v>253</v>
      </c>
    </row>
    <row r="17" customFormat="false" ht="15" hidden="false" customHeight="true" outlineLevel="0" collapsed="false">
      <c r="A17" s="77"/>
      <c r="B17" s="77" t="s">
        <v>254</v>
      </c>
      <c r="C17" s="77" t="s">
        <v>255</v>
      </c>
      <c r="E17" s="77"/>
      <c r="F17" s="77"/>
      <c r="G17" s="77"/>
      <c r="J17" s="80"/>
      <c r="K17" s="80"/>
      <c r="L17" s="80"/>
      <c r="N17" s="78" t="n">
        <v>4</v>
      </c>
      <c r="O17" s="78" t="s">
        <v>256</v>
      </c>
    </row>
    <row r="18" customFormat="false" ht="15" hidden="false" customHeight="true" outlineLevel="0" collapsed="false">
      <c r="A18" s="77"/>
      <c r="B18" s="77" t="s">
        <v>257</v>
      </c>
      <c r="C18" s="77" t="s">
        <v>258</v>
      </c>
      <c r="E18" s="77"/>
      <c r="F18" s="77"/>
      <c r="G18" s="77"/>
      <c r="J18" s="80"/>
      <c r="K18" s="80"/>
      <c r="L18" s="80"/>
      <c r="N18" s="78" t="n">
        <v>5</v>
      </c>
      <c r="O18" s="78" t="s">
        <v>259</v>
      </c>
    </row>
    <row r="19" customFormat="false" ht="15" hidden="false" customHeight="true" outlineLevel="0" collapsed="false">
      <c r="A19" s="77"/>
      <c r="B19" s="77" t="s">
        <v>260</v>
      </c>
      <c r="C19" s="77" t="s">
        <v>261</v>
      </c>
      <c r="E19" s="77"/>
      <c r="F19" s="77"/>
      <c r="G19" s="77"/>
      <c r="J19" s="80"/>
      <c r="K19" s="80"/>
      <c r="L19" s="80"/>
      <c r="N19" s="78" t="n">
        <v>6</v>
      </c>
      <c r="O19" s="78" t="s">
        <v>262</v>
      </c>
    </row>
    <row r="20" customFormat="false" ht="15" hidden="false" customHeight="true" outlineLevel="0" collapsed="false">
      <c r="A20" s="77"/>
      <c r="B20" s="77" t="s">
        <v>263</v>
      </c>
      <c r="C20" s="77" t="s">
        <v>264</v>
      </c>
      <c r="E20" s="77"/>
      <c r="F20" s="77"/>
      <c r="G20" s="77"/>
      <c r="J20" s="80"/>
      <c r="K20" s="80"/>
      <c r="L20" s="80"/>
      <c r="N20" s="78" t="n">
        <v>7</v>
      </c>
      <c r="O20" s="78" t="s">
        <v>265</v>
      </c>
    </row>
    <row r="21" customFormat="false" ht="15" hidden="false" customHeight="true" outlineLevel="0" collapsed="false">
      <c r="A21" s="77"/>
      <c r="B21" s="77" t="s">
        <v>266</v>
      </c>
      <c r="C21" s="77"/>
      <c r="E21" s="77"/>
      <c r="F21" s="77"/>
      <c r="G21" s="77"/>
      <c r="I21" s="21" t="s">
        <v>267</v>
      </c>
      <c r="N21" s="78" t="n">
        <v>8</v>
      </c>
      <c r="O21" s="78" t="s">
        <v>268</v>
      </c>
    </row>
    <row r="22" customFormat="false" ht="15" hidden="false" customHeight="true" outlineLevel="0" collapsed="false">
      <c r="A22" s="77"/>
      <c r="B22" s="77" t="s">
        <v>269</v>
      </c>
      <c r="C22" s="77"/>
      <c r="E22" s="77"/>
      <c r="F22" s="77"/>
      <c r="G22" s="77"/>
    </row>
    <row r="23" customFormat="false" ht="15" hidden="false" customHeight="true" outlineLevel="0" collapsed="false">
      <c r="A23" s="77"/>
      <c r="B23" s="77" t="s">
        <v>270</v>
      </c>
      <c r="C23" s="77"/>
      <c r="E23" s="77"/>
      <c r="F23" s="77"/>
      <c r="G23" s="77"/>
      <c r="I23" s="5" t="s">
        <v>271</v>
      </c>
    </row>
    <row r="24" customFormat="false" ht="15" hidden="false" customHeight="true" outlineLevel="0" collapsed="false">
      <c r="A24" s="77"/>
      <c r="B24" s="77"/>
      <c r="C24" s="77"/>
      <c r="E24" s="77"/>
      <c r="F24" s="77"/>
      <c r="G24" s="77"/>
      <c r="I24" s="73" t="s">
        <v>132</v>
      </c>
      <c r="J24" s="74" t="s">
        <v>272</v>
      </c>
      <c r="K24" s="74"/>
      <c r="L24" s="74"/>
    </row>
    <row r="25" customFormat="false" ht="15" hidden="false" customHeight="true" outlineLevel="0" collapsed="false">
      <c r="A25" s="77"/>
      <c r="B25" s="77"/>
      <c r="C25" s="77"/>
      <c r="E25" s="77"/>
      <c r="F25" s="77"/>
      <c r="G25" s="77"/>
      <c r="I25" s="79" t="s">
        <v>230</v>
      </c>
      <c r="J25" s="80" t="s">
        <v>273</v>
      </c>
      <c r="K25" s="80"/>
      <c r="L25" s="80"/>
    </row>
    <row r="26" customFormat="false" ht="15" hidden="false" customHeight="true" outlineLevel="0" collapsed="false">
      <c r="A26" s="77"/>
      <c r="B26" s="77"/>
      <c r="C26" s="77"/>
      <c r="E26" s="77"/>
      <c r="F26" s="77"/>
      <c r="G26" s="77"/>
      <c r="J26" s="80"/>
      <c r="K26" s="80"/>
      <c r="L26" s="80"/>
    </row>
    <row r="27" customFormat="false" ht="15" hidden="false" customHeight="true" outlineLevel="0" collapsed="false">
      <c r="A27" s="77"/>
      <c r="B27" s="77"/>
      <c r="C27" s="77"/>
      <c r="E27" s="77"/>
      <c r="F27" s="77"/>
      <c r="G27" s="77"/>
      <c r="J27" s="80"/>
      <c r="K27" s="80"/>
      <c r="L27" s="80"/>
    </row>
    <row r="28" customFormat="false" ht="15" hidden="false" customHeight="true" outlineLevel="0" collapsed="false">
      <c r="A28" s="77"/>
      <c r="B28" s="77"/>
      <c r="C28" s="77"/>
      <c r="E28" s="77"/>
      <c r="F28" s="77"/>
      <c r="G28" s="77"/>
      <c r="J28" s="80"/>
      <c r="K28" s="80"/>
      <c r="L28" s="80"/>
    </row>
    <row r="29" customFormat="false" ht="15" hidden="false" customHeight="true" outlineLevel="0" collapsed="false">
      <c r="A29" s="77"/>
      <c r="B29" s="77"/>
      <c r="C29" s="77"/>
      <c r="E29" s="77"/>
      <c r="F29" s="77"/>
      <c r="G29" s="77"/>
      <c r="J29" s="80"/>
      <c r="K29" s="80"/>
      <c r="L29" s="80"/>
    </row>
    <row r="30" customFormat="false" ht="15" hidden="false" customHeight="true" outlineLevel="0" collapsed="false">
      <c r="A30" s="77"/>
      <c r="B30" s="77"/>
      <c r="C30" s="77"/>
      <c r="E30" s="77"/>
      <c r="F30" s="77"/>
      <c r="G30" s="77"/>
      <c r="J30" s="80"/>
      <c r="K30" s="80"/>
      <c r="L30" s="80"/>
    </row>
    <row r="31" customFormat="false" ht="15" hidden="false" customHeight="true" outlineLevel="0" collapsed="false">
      <c r="I31" s="21" t="s">
        <v>274</v>
      </c>
      <c r="J31" s="80"/>
      <c r="K31" s="80"/>
      <c r="L31" s="80"/>
    </row>
    <row r="32" customFormat="false" ht="15" hidden="false" customHeight="true" outlineLevel="0" collapsed="false">
      <c r="A32" s="21" t="s">
        <v>275</v>
      </c>
    </row>
    <row r="34" customFormat="false" ht="15" hidden="false" customHeight="true" outlineLevel="0" collapsed="false">
      <c r="A34" s="5" t="s">
        <v>276</v>
      </c>
      <c r="I34" s="5" t="s">
        <v>277</v>
      </c>
    </row>
    <row r="35" customFormat="false" ht="15" hidden="false" customHeight="true" outlineLevel="0" collapsed="false">
      <c r="A35" s="76" t="s">
        <v>278</v>
      </c>
      <c r="B35" s="76" t="s">
        <v>279</v>
      </c>
      <c r="C35" s="76" t="s">
        <v>280</v>
      </c>
      <c r="I35" s="73" t="s">
        <v>132</v>
      </c>
      <c r="J35" s="74" t="s">
        <v>281</v>
      </c>
      <c r="K35" s="74"/>
      <c r="L35" s="74"/>
    </row>
    <row r="36" customFormat="false" ht="15" hidden="false" customHeight="true" outlineLevel="0" collapsed="false">
      <c r="A36" s="81" t="str">
        <f aca="false">A11</f>
        <v>Term 1</v>
      </c>
      <c r="B36" s="82"/>
      <c r="C36" s="82"/>
      <c r="I36" s="79" t="s">
        <v>230</v>
      </c>
      <c r="J36" s="80" t="s">
        <v>282</v>
      </c>
      <c r="K36" s="80"/>
      <c r="L36" s="80"/>
    </row>
    <row r="37" customFormat="false" ht="15" hidden="false" customHeight="true" outlineLevel="0" collapsed="false">
      <c r="A37" s="81" t="str">
        <f aca="false">A12</f>
        <v>Term 2</v>
      </c>
      <c r="B37" s="82"/>
      <c r="C37" s="82"/>
      <c r="J37" s="80"/>
      <c r="K37" s="80"/>
      <c r="L37" s="80"/>
    </row>
    <row r="38" customFormat="false" ht="15" hidden="false" customHeight="true" outlineLevel="0" collapsed="false">
      <c r="A38" s="81" t="str">
        <f aca="false">A13</f>
        <v>Term 3</v>
      </c>
      <c r="B38" s="82"/>
      <c r="C38" s="82"/>
      <c r="J38" s="80"/>
      <c r="K38" s="80"/>
      <c r="L38" s="80"/>
    </row>
    <row r="39" customFormat="false" ht="15" hidden="false" customHeight="true" outlineLevel="0" collapsed="false">
      <c r="A39" s="81" t="s">
        <v>283</v>
      </c>
      <c r="J39" s="80"/>
      <c r="K39" s="80"/>
      <c r="L39" s="80"/>
    </row>
    <row r="40" customFormat="false" ht="15" hidden="false" customHeight="true" outlineLevel="0" collapsed="false">
      <c r="A40" s="21" t="s">
        <v>284</v>
      </c>
      <c r="J40" s="80"/>
      <c r="K40" s="80"/>
      <c r="L40" s="80"/>
    </row>
    <row r="41" customFormat="false" ht="15" hidden="false" customHeight="true" outlineLevel="0" collapsed="false">
      <c r="A41" s="21" t="s">
        <v>285</v>
      </c>
      <c r="J41" s="80"/>
      <c r="K41" s="80"/>
      <c r="L41" s="80"/>
    </row>
    <row r="42" customFormat="false" ht="15" hidden="false" customHeight="true" outlineLevel="0" collapsed="false">
      <c r="J42" s="80"/>
      <c r="K42" s="80"/>
      <c r="L42" s="80"/>
    </row>
    <row r="43" customFormat="false" ht="15" hidden="false" customHeight="true" outlineLevel="0" collapsed="false">
      <c r="I43" s="21" t="s">
        <v>286</v>
      </c>
      <c r="J43" s="80"/>
      <c r="K43" s="80"/>
      <c r="L43" s="80"/>
    </row>
    <row r="46" customFormat="false" ht="15" hidden="false" customHeight="true" outlineLevel="0" collapsed="false">
      <c r="I46" s="5" t="s">
        <v>287</v>
      </c>
    </row>
    <row r="47" customFormat="false" ht="15" hidden="false" customHeight="true" outlineLevel="0" collapsed="false">
      <c r="I47" s="73" t="s">
        <v>132</v>
      </c>
      <c r="J47" s="74" t="s">
        <v>288</v>
      </c>
      <c r="K47" s="74"/>
      <c r="L47" s="74"/>
    </row>
    <row r="48" customFormat="false" ht="15" hidden="false" customHeight="true" outlineLevel="0" collapsed="false">
      <c r="I48" s="79" t="s">
        <v>230</v>
      </c>
      <c r="J48" s="80" t="s">
        <v>289</v>
      </c>
      <c r="K48" s="80"/>
      <c r="L48" s="80"/>
    </row>
    <row r="49" customFormat="false" ht="15" hidden="false" customHeight="true" outlineLevel="0" collapsed="false">
      <c r="J49" s="80"/>
      <c r="K49" s="80"/>
      <c r="L49" s="80"/>
    </row>
    <row r="50" customFormat="false" ht="15" hidden="false" customHeight="true" outlineLevel="0" collapsed="false">
      <c r="J50" s="80"/>
      <c r="K50" s="80"/>
      <c r="L50" s="80"/>
    </row>
    <row r="51" customFormat="false" ht="15" hidden="false" customHeight="true" outlineLevel="0" collapsed="false">
      <c r="J51" s="80"/>
      <c r="K51" s="80"/>
      <c r="L51" s="80"/>
    </row>
    <row r="52" customFormat="false" ht="15" hidden="false" customHeight="true" outlineLevel="0" collapsed="false">
      <c r="J52" s="80"/>
      <c r="K52" s="80"/>
      <c r="L52" s="80"/>
    </row>
    <row r="53" customFormat="false" ht="15" hidden="false" customHeight="true" outlineLevel="0" collapsed="false">
      <c r="I53" s="21" t="s">
        <v>290</v>
      </c>
      <c r="J53" s="80"/>
      <c r="K53" s="80"/>
      <c r="L53" s="80"/>
    </row>
    <row r="55" customFormat="false" ht="15" hidden="false" customHeight="false" outlineLevel="0" collapsed="false">
      <c r="I55" s="5" t="s">
        <v>291</v>
      </c>
    </row>
    <row r="56" customFormat="false" ht="15" hidden="false" customHeight="false" outlineLevel="0" collapsed="false">
      <c r="I56" s="73" t="s">
        <v>132</v>
      </c>
      <c r="J56" s="74" t="s">
        <v>292</v>
      </c>
      <c r="K56" s="74"/>
      <c r="L56" s="74"/>
    </row>
    <row r="57" customFormat="false" ht="15" hidden="false" customHeight="true" outlineLevel="0" collapsed="false">
      <c r="I57" s="79" t="s">
        <v>230</v>
      </c>
      <c r="J57" s="80" t="s">
        <v>293</v>
      </c>
      <c r="K57" s="80"/>
      <c r="L57" s="80"/>
    </row>
    <row r="58" customFormat="false" ht="15" hidden="false" customHeight="false" outlineLevel="0" collapsed="false">
      <c r="J58" s="80"/>
      <c r="K58" s="80"/>
      <c r="L58" s="80"/>
    </row>
    <row r="59" customFormat="false" ht="15" hidden="false" customHeight="false" outlineLevel="0" collapsed="false">
      <c r="J59" s="80"/>
      <c r="K59" s="80"/>
      <c r="L59" s="80"/>
    </row>
    <row r="60" customFormat="false" ht="15" hidden="false" customHeight="false" outlineLevel="0" collapsed="false">
      <c r="J60" s="80"/>
      <c r="K60" s="80"/>
      <c r="L60" s="80"/>
    </row>
    <row r="61" customFormat="false" ht="15" hidden="false" customHeight="false" outlineLevel="0" collapsed="false">
      <c r="J61" s="80"/>
      <c r="K61" s="80"/>
      <c r="L61" s="80"/>
    </row>
    <row r="62" customFormat="false" ht="15" hidden="false" customHeight="false" outlineLevel="0" collapsed="false">
      <c r="J62" s="80"/>
      <c r="K62" s="80"/>
      <c r="L62" s="80"/>
    </row>
    <row r="63" customFormat="false" ht="15" hidden="false" customHeight="false" outlineLevel="0" collapsed="false">
      <c r="I63" s="21" t="s">
        <v>294</v>
      </c>
    </row>
    <row r="65" customFormat="false" ht="15" hidden="false" customHeight="false" outlineLevel="0" collapsed="false">
      <c r="I65" s="5" t="s">
        <v>295</v>
      </c>
    </row>
    <row r="66" customFormat="false" ht="15" hidden="false" customHeight="false" outlineLevel="0" collapsed="false">
      <c r="I66" s="73" t="s">
        <v>296</v>
      </c>
      <c r="J66" s="74" t="s">
        <v>27</v>
      </c>
    </row>
    <row r="67" customFormat="false" ht="15" hidden="false" customHeight="false" outlineLevel="0" collapsed="false">
      <c r="I67" s="73" t="s">
        <v>297</v>
      </c>
      <c r="J67" s="74" t="s">
        <v>298</v>
      </c>
    </row>
  </sheetData>
  <mergeCells count="13">
    <mergeCell ref="A1:O1"/>
    <mergeCell ref="A2:O2"/>
    <mergeCell ref="A3:O3"/>
    <mergeCell ref="J10:L10"/>
    <mergeCell ref="J11:L20"/>
    <mergeCell ref="J24:L24"/>
    <mergeCell ref="J25:L31"/>
    <mergeCell ref="J35:L35"/>
    <mergeCell ref="J36:L43"/>
    <mergeCell ref="J47:L47"/>
    <mergeCell ref="J48:L53"/>
    <mergeCell ref="J56:L56"/>
    <mergeCell ref="J57:L62"/>
  </mergeCells>
  <dataValidations count="2">
    <dataValidation allowBlank="false" errorStyle="stop" operator="between" showDropDown="false" showErrorMessage="false" showInputMessage="false" sqref="J5 J8" type="list">
      <formula1>"Yes,No"</formula1>
      <formula2>0</formula2>
    </dataValidation>
    <dataValidation allowBlank="true" errorStyle="stop" operator="between" showDropDown="false" showErrorMessage="false" showInputMessage="false" sqref="J6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355B"/>
    <pageSetUpPr fitToPage="true"/>
  </sheetPr>
  <dimension ref="A1:J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4" min="3" style="1" width="22"/>
    <col collapsed="false" customWidth="true" hidden="false" outlineLevel="0" max="5" min="5" style="1" width="16"/>
    <col collapsed="false" customWidth="true" hidden="false" outlineLevel="0" max="6" min="6" style="1" width="26"/>
    <col collapsed="false" customWidth="true" hidden="false" outlineLevel="0" max="8" min="7" style="1" width="12"/>
    <col collapsed="false" customWidth="true" hidden="false" outlineLevel="0" max="9" min="9" style="1" width="10"/>
    <col collapsed="false" customWidth="true" hidden="false" outlineLevel="0" max="10" min="10" style="1" width="20"/>
  </cols>
  <sheetData>
    <row r="1" customFormat="false" ht="42" hidden="false" customHeight="true" outlineLevel="0" collapsed="false">
      <c r="A1" s="2" t="s">
        <v>299</v>
      </c>
      <c r="B1" s="2"/>
      <c r="C1" s="2"/>
      <c r="D1" s="2"/>
      <c r="E1" s="2"/>
      <c r="F1" s="2"/>
      <c r="G1" s="2"/>
      <c r="H1" s="2"/>
      <c r="I1" s="2"/>
      <c r="J1" s="2"/>
    </row>
    <row r="2" customFormat="false" ht="19.5" hidden="false" customHeight="true" outlineLevel="0" collapsed="false">
      <c r="A2" s="3" t="s">
        <v>300</v>
      </c>
      <c r="B2" s="3"/>
      <c r="C2" s="3"/>
      <c r="D2" s="3"/>
      <c r="E2" s="3"/>
      <c r="F2" s="3"/>
      <c r="G2" s="3"/>
      <c r="H2" s="3"/>
      <c r="I2" s="3"/>
      <c r="J2" s="3"/>
    </row>
    <row r="3" customFormat="false" ht="3.75" hidden="false" customHeight="true" outlineLevel="0" collapsed="false">
      <c r="A3" s="4"/>
      <c r="B3" s="4"/>
      <c r="C3" s="4"/>
      <c r="D3" s="4"/>
      <c r="E3" s="4"/>
      <c r="F3" s="4"/>
      <c r="G3" s="4"/>
      <c r="H3" s="4"/>
      <c r="I3" s="4"/>
      <c r="J3" s="4"/>
    </row>
    <row r="4" customFormat="false" ht="33.75" hidden="false" customHeight="true" outlineLevel="0" collapsed="false">
      <c r="A4" s="15" t="s">
        <v>301</v>
      </c>
      <c r="B4" s="15" t="s">
        <v>100</v>
      </c>
      <c r="C4" s="15" t="s">
        <v>302</v>
      </c>
      <c r="D4" s="15" t="s">
        <v>303</v>
      </c>
      <c r="E4" s="15" t="s">
        <v>304</v>
      </c>
      <c r="F4" s="15" t="s">
        <v>305</v>
      </c>
      <c r="G4" s="15" t="s">
        <v>306</v>
      </c>
      <c r="H4" s="15" t="s">
        <v>307</v>
      </c>
      <c r="I4" s="15" t="s">
        <v>28</v>
      </c>
      <c r="J4" s="15" t="s">
        <v>308</v>
      </c>
    </row>
    <row r="5" customFormat="false" ht="19.5" hidden="false" customHeight="true" outlineLevel="0" collapsed="false">
      <c r="A5" s="83" t="str">
        <f aca="false">IF(B5="","","SCH"&amp;TEXT(ROW()-4,"00"))</f>
        <v>SCH01</v>
      </c>
      <c r="B5" s="84" t="s">
        <v>309</v>
      </c>
      <c r="C5" s="84" t="s">
        <v>310</v>
      </c>
      <c r="D5" s="84" t="s">
        <v>311</v>
      </c>
      <c r="E5" s="84" t="s">
        <v>312</v>
      </c>
      <c r="F5" s="84" t="s">
        <v>313</v>
      </c>
      <c r="G5" s="83" t="n">
        <f aca="false">IF($A5="","",COUNTIFS(Students!$E$5:$E$304,$A5,Students!$K$5:$K$304,"Active"))</f>
        <v>1</v>
      </c>
      <c r="H5" s="83" t="n">
        <f aca="false">IF($A5="","",COUNTIFS(Teachers!$E$5:$E$304,$A5,Teachers!$I$5:$I$304,"Active"))</f>
        <v>1</v>
      </c>
      <c r="I5" s="83" t="n">
        <f aca="false">IF($A5="","",COUNTIF(Classes!$B$5:$B$304,$A5))</f>
        <v>1</v>
      </c>
      <c r="J5" s="83" t="s">
        <v>314</v>
      </c>
    </row>
    <row r="6" customFormat="false" ht="19.5" hidden="false" customHeight="true" outlineLevel="0" collapsed="false">
      <c r="A6" s="85" t="str">
        <f aca="false">IF(B6="","","SCH"&amp;TEXT(ROW()-4,"00"))</f>
        <v/>
      </c>
      <c r="B6" s="86"/>
      <c r="C6" s="86"/>
      <c r="D6" s="86"/>
      <c r="E6" s="86"/>
      <c r="F6" s="86"/>
      <c r="G6" s="85" t="str">
        <f aca="false">IF($A6="","",COUNTIFS(Students!$E$5:$E$304,$A6,Students!$K$5:$K$304,"Active"))</f>
        <v/>
      </c>
      <c r="H6" s="85" t="str">
        <f aca="false">IF($A6="","",COUNTIFS(Teachers!$E$5:$E$304,$A6,Teachers!$I$5:$I$304,"Active"))</f>
        <v/>
      </c>
      <c r="I6" s="85" t="str">
        <f aca="false">IF($A6="","",COUNTIF(Classes!$B$5:$B$304,$A6))</f>
        <v/>
      </c>
      <c r="J6" s="85"/>
    </row>
    <row r="7" customFormat="false" ht="19.5" hidden="false" customHeight="true" outlineLevel="0" collapsed="false">
      <c r="A7" s="85" t="str">
        <f aca="false">IF(B7="","","SCH"&amp;TEXT(ROW()-4,"00"))</f>
        <v/>
      </c>
      <c r="B7" s="86"/>
      <c r="C7" s="86"/>
      <c r="D7" s="86"/>
      <c r="E7" s="86"/>
      <c r="F7" s="86"/>
      <c r="G7" s="85" t="str">
        <f aca="false">IF($A7="","",COUNTIFS(Students!$E$5:$E$304,$A7,Students!$K$5:$K$304,"Active"))</f>
        <v/>
      </c>
      <c r="H7" s="85" t="str">
        <f aca="false">IF($A7="","",COUNTIFS(Teachers!$E$5:$E$304,$A7,Teachers!$I$5:$I$304,"Active"))</f>
        <v/>
      </c>
      <c r="I7" s="85" t="str">
        <f aca="false">IF($A7="","",COUNTIF(Classes!$B$5:$B$304,$A7))</f>
        <v/>
      </c>
      <c r="J7" s="85"/>
    </row>
    <row r="8" customFormat="false" ht="19.5" hidden="false" customHeight="true" outlineLevel="0" collapsed="false">
      <c r="A8" s="85" t="str">
        <f aca="false">IF(B8="","","SCH"&amp;TEXT(ROW()-4,"00"))</f>
        <v/>
      </c>
      <c r="B8" s="86"/>
      <c r="C8" s="86"/>
      <c r="D8" s="86"/>
      <c r="E8" s="86"/>
      <c r="F8" s="86"/>
      <c r="G8" s="85" t="str">
        <f aca="false">IF($A8="","",COUNTIFS(Students!$E$5:$E$304,$A8,Students!$K$5:$K$304,"Active"))</f>
        <v/>
      </c>
      <c r="H8" s="85" t="str">
        <f aca="false">IF($A8="","",COUNTIFS(Teachers!$E$5:$E$304,$A8,Teachers!$I$5:$I$304,"Active"))</f>
        <v/>
      </c>
      <c r="I8" s="85" t="str">
        <f aca="false">IF($A8="","",COUNTIF(Classes!$B$5:$B$304,$A8))</f>
        <v/>
      </c>
      <c r="J8" s="85"/>
    </row>
    <row r="9" customFormat="false" ht="19.5" hidden="false" customHeight="true" outlineLevel="0" collapsed="false">
      <c r="A9" s="85" t="str">
        <f aca="false">IF(B9="","","SCH"&amp;TEXT(ROW()-4,"00"))</f>
        <v/>
      </c>
      <c r="B9" s="86"/>
      <c r="C9" s="86"/>
      <c r="D9" s="86"/>
      <c r="E9" s="86"/>
      <c r="F9" s="86"/>
      <c r="G9" s="85" t="str">
        <f aca="false">IF($A9="","",COUNTIFS(Students!$E$5:$E$304,$A9,Students!$K$5:$K$304,"Active"))</f>
        <v/>
      </c>
      <c r="H9" s="85" t="str">
        <f aca="false">IF($A9="","",COUNTIFS(Teachers!$E$5:$E$304,$A9,Teachers!$I$5:$I$304,"Active"))</f>
        <v/>
      </c>
      <c r="I9" s="85" t="str">
        <f aca="false">IF($A9="","",COUNTIF(Classes!$B$5:$B$304,$A9))</f>
        <v/>
      </c>
      <c r="J9" s="85"/>
    </row>
    <row r="10" customFormat="false" ht="19.5" hidden="false" customHeight="true" outlineLevel="0" collapsed="false">
      <c r="A10" s="85" t="str">
        <f aca="false">IF(B10="","","SCH"&amp;TEXT(ROW()-4,"00"))</f>
        <v/>
      </c>
      <c r="B10" s="86"/>
      <c r="C10" s="86"/>
      <c r="D10" s="86"/>
      <c r="E10" s="86"/>
      <c r="F10" s="86"/>
      <c r="G10" s="85" t="str">
        <f aca="false">IF($A10="","",COUNTIFS(Students!$E$5:$E$304,$A10,Students!$K$5:$K$304,"Active"))</f>
        <v/>
      </c>
      <c r="H10" s="85" t="str">
        <f aca="false">IF($A10="","",COUNTIFS(Teachers!$E$5:$E$304,$A10,Teachers!$I$5:$I$304,"Active"))</f>
        <v/>
      </c>
      <c r="I10" s="85" t="str">
        <f aca="false">IF($A10="","",COUNTIF(Classes!$B$5:$B$304,$A10))</f>
        <v/>
      </c>
      <c r="J10" s="85"/>
    </row>
    <row r="11" customFormat="false" ht="19.5" hidden="false" customHeight="true" outlineLevel="0" collapsed="false">
      <c r="A11" s="85" t="str">
        <f aca="false">IF(B11="","","SCH"&amp;TEXT(ROW()-4,"00"))</f>
        <v/>
      </c>
      <c r="B11" s="86"/>
      <c r="C11" s="86"/>
      <c r="D11" s="86"/>
      <c r="E11" s="86"/>
      <c r="F11" s="86"/>
      <c r="G11" s="85" t="str">
        <f aca="false">IF($A11="","",COUNTIFS(Students!$E$5:$E$304,$A11,Students!$K$5:$K$304,"Active"))</f>
        <v/>
      </c>
      <c r="H11" s="85" t="str">
        <f aca="false">IF($A11="","",COUNTIFS(Teachers!$E$5:$E$304,$A11,Teachers!$I$5:$I$304,"Active"))</f>
        <v/>
      </c>
      <c r="I11" s="85" t="str">
        <f aca="false">IF($A11="","",COUNTIF(Classes!$B$5:$B$304,$A11))</f>
        <v/>
      </c>
      <c r="J11" s="85"/>
    </row>
    <row r="12" customFormat="false" ht="19.5" hidden="false" customHeight="true" outlineLevel="0" collapsed="false">
      <c r="A12" s="85" t="str">
        <f aca="false">IF(B12="","","SCH"&amp;TEXT(ROW()-4,"00"))</f>
        <v/>
      </c>
      <c r="B12" s="86"/>
      <c r="C12" s="86"/>
      <c r="D12" s="86"/>
      <c r="E12" s="86"/>
      <c r="F12" s="86"/>
      <c r="G12" s="85" t="str">
        <f aca="false">IF($A12="","",COUNTIFS(Students!$E$5:$E$304,$A12,Students!$K$5:$K$304,"Active"))</f>
        <v/>
      </c>
      <c r="H12" s="85" t="str">
        <f aca="false">IF($A12="","",COUNTIFS(Teachers!$E$5:$E$304,$A12,Teachers!$I$5:$I$304,"Active"))</f>
        <v/>
      </c>
      <c r="I12" s="85" t="str">
        <f aca="false">IF($A12="","",COUNTIF(Classes!$B$5:$B$304,$A12))</f>
        <v/>
      </c>
      <c r="J12" s="85"/>
    </row>
    <row r="13" customFormat="false" ht="19.5" hidden="false" customHeight="true" outlineLevel="0" collapsed="false">
      <c r="A13" s="85" t="str">
        <f aca="false">IF(B13="","","SCH"&amp;TEXT(ROW()-4,"00"))</f>
        <v/>
      </c>
      <c r="B13" s="86"/>
      <c r="C13" s="86"/>
      <c r="D13" s="86"/>
      <c r="E13" s="86"/>
      <c r="F13" s="86"/>
      <c r="G13" s="85" t="str">
        <f aca="false">IF($A13="","",COUNTIFS(Students!$E$5:$E$304,$A13,Students!$K$5:$K$304,"Active"))</f>
        <v/>
      </c>
      <c r="H13" s="85" t="str">
        <f aca="false">IF($A13="","",COUNTIFS(Teachers!$E$5:$E$304,$A13,Teachers!$I$5:$I$304,"Active"))</f>
        <v/>
      </c>
      <c r="I13" s="85" t="str">
        <f aca="false">IF($A13="","",COUNTIF(Classes!$B$5:$B$304,$A13))</f>
        <v/>
      </c>
      <c r="J13" s="85"/>
    </row>
    <row r="14" customFormat="false" ht="19.5" hidden="false" customHeight="true" outlineLevel="0" collapsed="false">
      <c r="A14" s="85" t="str">
        <f aca="false">IF(B14="","","SCH"&amp;TEXT(ROW()-4,"00"))</f>
        <v/>
      </c>
      <c r="B14" s="86"/>
      <c r="C14" s="86"/>
      <c r="D14" s="86"/>
      <c r="E14" s="86"/>
      <c r="F14" s="86"/>
      <c r="G14" s="85" t="str">
        <f aca="false">IF($A14="","",COUNTIFS(Students!$E$5:$E$304,$A14,Students!$K$5:$K$304,"Active"))</f>
        <v/>
      </c>
      <c r="H14" s="85" t="str">
        <f aca="false">IF($A14="","",COUNTIFS(Teachers!$E$5:$E$304,$A14,Teachers!$I$5:$I$304,"Active"))</f>
        <v/>
      </c>
      <c r="I14" s="85" t="str">
        <f aca="false">IF($A14="","",COUNTIF(Classes!$B$5:$B$304,$A14))</f>
        <v/>
      </c>
      <c r="J14" s="85"/>
    </row>
    <row r="15" customFormat="false" ht="19.5" hidden="false" customHeight="true" outlineLevel="0" collapsed="false">
      <c r="A15" s="85" t="str">
        <f aca="false">IF(B15="","","SCH"&amp;TEXT(ROW()-4,"00"))</f>
        <v/>
      </c>
      <c r="B15" s="86"/>
      <c r="C15" s="86"/>
      <c r="D15" s="86"/>
      <c r="E15" s="86"/>
      <c r="F15" s="86"/>
      <c r="G15" s="85" t="str">
        <f aca="false">IF($A15="","",COUNTIFS(Students!$E$5:$E$304,$A15,Students!$K$5:$K$304,"Active"))</f>
        <v/>
      </c>
      <c r="H15" s="85" t="str">
        <f aca="false">IF($A15="","",COUNTIFS(Teachers!$E$5:$E$304,$A15,Teachers!$I$5:$I$304,"Active"))</f>
        <v/>
      </c>
      <c r="I15" s="85" t="str">
        <f aca="false">IF($A15="","",COUNTIF(Classes!$B$5:$B$304,$A15))</f>
        <v/>
      </c>
      <c r="J15" s="85"/>
    </row>
    <row r="16" customFormat="false" ht="19.5" hidden="false" customHeight="true" outlineLevel="0" collapsed="false">
      <c r="A16" s="85" t="str">
        <f aca="false">IF(B16="","","SCH"&amp;TEXT(ROW()-4,"00"))</f>
        <v/>
      </c>
      <c r="B16" s="86"/>
      <c r="C16" s="86"/>
      <c r="D16" s="86"/>
      <c r="E16" s="86"/>
      <c r="F16" s="86"/>
      <c r="G16" s="85" t="str">
        <f aca="false">IF($A16="","",COUNTIFS(Students!$E$5:$E$304,$A16,Students!$K$5:$K$304,"Active"))</f>
        <v/>
      </c>
      <c r="H16" s="85" t="str">
        <f aca="false">IF($A16="","",COUNTIFS(Teachers!$E$5:$E$304,$A16,Teachers!$I$5:$I$304,"Active"))</f>
        <v/>
      </c>
      <c r="I16" s="85" t="str">
        <f aca="false">IF($A16="","",COUNTIF(Classes!$B$5:$B$304,$A16))</f>
        <v/>
      </c>
      <c r="J16" s="85"/>
    </row>
    <row r="17" customFormat="false" ht="19.5" hidden="false" customHeight="true" outlineLevel="0" collapsed="false">
      <c r="A17" s="85" t="str">
        <f aca="false">IF(B17="","","SCH"&amp;TEXT(ROW()-4,"00"))</f>
        <v/>
      </c>
      <c r="B17" s="86"/>
      <c r="C17" s="86"/>
      <c r="D17" s="86"/>
      <c r="E17" s="86"/>
      <c r="F17" s="86"/>
      <c r="G17" s="85" t="str">
        <f aca="false">IF($A17="","",COUNTIFS(Students!$E$5:$E$304,$A17,Students!$K$5:$K$304,"Active"))</f>
        <v/>
      </c>
      <c r="H17" s="85" t="str">
        <f aca="false">IF($A17="","",COUNTIFS(Teachers!$E$5:$E$304,$A17,Teachers!$I$5:$I$304,"Active"))</f>
        <v/>
      </c>
      <c r="I17" s="85" t="str">
        <f aca="false">IF($A17="","",COUNTIF(Classes!$B$5:$B$304,$A17))</f>
        <v/>
      </c>
      <c r="J17" s="85"/>
    </row>
    <row r="18" customFormat="false" ht="19.5" hidden="false" customHeight="true" outlineLevel="0" collapsed="false">
      <c r="A18" s="85" t="str">
        <f aca="false">IF(B18="","","SCH"&amp;TEXT(ROW()-4,"00"))</f>
        <v/>
      </c>
      <c r="B18" s="86"/>
      <c r="C18" s="86"/>
      <c r="D18" s="86"/>
      <c r="E18" s="86"/>
      <c r="F18" s="86"/>
      <c r="G18" s="85" t="str">
        <f aca="false">IF($A18="","",COUNTIFS(Students!$E$5:$E$304,$A18,Students!$K$5:$K$304,"Active"))</f>
        <v/>
      </c>
      <c r="H18" s="85" t="str">
        <f aca="false">IF($A18="","",COUNTIFS(Teachers!$E$5:$E$304,$A18,Teachers!$I$5:$I$304,"Active"))</f>
        <v/>
      </c>
      <c r="I18" s="85" t="str">
        <f aca="false">IF($A18="","",COUNTIF(Classes!$B$5:$B$304,$A18))</f>
        <v/>
      </c>
      <c r="J18" s="85"/>
    </row>
    <row r="19" customFormat="false" ht="19.5" hidden="false" customHeight="true" outlineLevel="0" collapsed="false">
      <c r="A19" s="85" t="str">
        <f aca="false">IF(B19="","","SCH"&amp;TEXT(ROW()-4,"00"))</f>
        <v/>
      </c>
      <c r="B19" s="86"/>
      <c r="C19" s="86"/>
      <c r="D19" s="86"/>
      <c r="E19" s="86"/>
      <c r="F19" s="86"/>
      <c r="G19" s="85" t="str">
        <f aca="false">IF($A19="","",COUNTIFS(Students!$E$5:$E$304,$A19,Students!$K$5:$K$304,"Active"))</f>
        <v/>
      </c>
      <c r="H19" s="85" t="str">
        <f aca="false">IF($A19="","",COUNTIFS(Teachers!$E$5:$E$304,$A19,Teachers!$I$5:$I$304,"Active"))</f>
        <v/>
      </c>
      <c r="I19" s="85" t="str">
        <f aca="false">IF($A19="","",COUNTIF(Classes!$B$5:$B$304,$A19))</f>
        <v/>
      </c>
      <c r="J19" s="85"/>
    </row>
    <row r="20" customFormat="false" ht="19.5" hidden="false" customHeight="true" outlineLevel="0" collapsed="false">
      <c r="A20" s="85" t="str">
        <f aca="false">IF(B20="","","SCH"&amp;TEXT(ROW()-4,"00"))</f>
        <v/>
      </c>
      <c r="B20" s="86"/>
      <c r="C20" s="86"/>
      <c r="D20" s="86"/>
      <c r="E20" s="86"/>
      <c r="F20" s="86"/>
      <c r="G20" s="85" t="str">
        <f aca="false">IF($A20="","",COUNTIFS(Students!$E$5:$E$304,$A20,Students!$K$5:$K$304,"Active"))</f>
        <v/>
      </c>
      <c r="H20" s="85" t="str">
        <f aca="false">IF($A20="","",COUNTIFS(Teachers!$E$5:$E$304,$A20,Teachers!$I$5:$I$304,"Active"))</f>
        <v/>
      </c>
      <c r="I20" s="85" t="str">
        <f aca="false">IF($A20="","",COUNTIF(Classes!$B$5:$B$304,$A20))</f>
        <v/>
      </c>
      <c r="J20" s="85"/>
    </row>
    <row r="21" customFormat="false" ht="19.5" hidden="false" customHeight="true" outlineLevel="0" collapsed="false">
      <c r="A21" s="85" t="str">
        <f aca="false">IF(B21="","","SCH"&amp;TEXT(ROW()-4,"00"))</f>
        <v/>
      </c>
      <c r="B21" s="86"/>
      <c r="C21" s="86"/>
      <c r="D21" s="86"/>
      <c r="E21" s="86"/>
      <c r="F21" s="86"/>
      <c r="G21" s="85" t="str">
        <f aca="false">IF($A21="","",COUNTIFS(Students!$E$5:$E$304,$A21,Students!$K$5:$K$304,"Active"))</f>
        <v/>
      </c>
      <c r="H21" s="85" t="str">
        <f aca="false">IF($A21="","",COUNTIFS(Teachers!$E$5:$E$304,$A21,Teachers!$I$5:$I$304,"Active"))</f>
        <v/>
      </c>
      <c r="I21" s="85" t="str">
        <f aca="false">IF($A21="","",COUNTIF(Classes!$B$5:$B$304,$A21))</f>
        <v/>
      </c>
      <c r="J21" s="85"/>
    </row>
    <row r="22" customFormat="false" ht="19.5" hidden="false" customHeight="true" outlineLevel="0" collapsed="false">
      <c r="A22" s="85" t="str">
        <f aca="false">IF(B22="","","SCH"&amp;TEXT(ROW()-4,"00"))</f>
        <v/>
      </c>
      <c r="B22" s="86"/>
      <c r="C22" s="86"/>
      <c r="D22" s="86"/>
      <c r="E22" s="86"/>
      <c r="F22" s="86"/>
      <c r="G22" s="85" t="str">
        <f aca="false">IF($A22="","",COUNTIFS(Students!$E$5:$E$304,$A22,Students!$K$5:$K$304,"Active"))</f>
        <v/>
      </c>
      <c r="H22" s="85" t="str">
        <f aca="false">IF($A22="","",COUNTIFS(Teachers!$E$5:$E$304,$A22,Teachers!$I$5:$I$304,"Active"))</f>
        <v/>
      </c>
      <c r="I22" s="85" t="str">
        <f aca="false">IF($A22="","",COUNTIF(Classes!$B$5:$B$304,$A22))</f>
        <v/>
      </c>
      <c r="J22" s="85"/>
    </row>
    <row r="23" customFormat="false" ht="19.5" hidden="false" customHeight="true" outlineLevel="0" collapsed="false">
      <c r="A23" s="85" t="str">
        <f aca="false">IF(B23="","","SCH"&amp;TEXT(ROW()-4,"00"))</f>
        <v/>
      </c>
      <c r="B23" s="86"/>
      <c r="C23" s="86"/>
      <c r="D23" s="86"/>
      <c r="E23" s="86"/>
      <c r="F23" s="86"/>
      <c r="G23" s="85" t="str">
        <f aca="false">IF($A23="","",COUNTIFS(Students!$E$5:$E$304,$A23,Students!$K$5:$K$304,"Active"))</f>
        <v/>
      </c>
      <c r="H23" s="85" t="str">
        <f aca="false">IF($A23="","",COUNTIFS(Teachers!$E$5:$E$304,$A23,Teachers!$I$5:$I$304,"Active"))</f>
        <v/>
      </c>
      <c r="I23" s="85" t="str">
        <f aca="false">IF($A23="","",COUNTIF(Classes!$B$5:$B$304,$A23))</f>
        <v/>
      </c>
      <c r="J23" s="85"/>
    </row>
    <row r="24" customFormat="false" ht="19.5" hidden="false" customHeight="true" outlineLevel="0" collapsed="false">
      <c r="A24" s="85" t="str">
        <f aca="false">IF(B24="","","SCH"&amp;TEXT(ROW()-4,"00"))</f>
        <v/>
      </c>
      <c r="B24" s="86"/>
      <c r="C24" s="86"/>
      <c r="D24" s="86"/>
      <c r="E24" s="86"/>
      <c r="F24" s="86"/>
      <c r="G24" s="85" t="str">
        <f aca="false">IF($A24="","",COUNTIFS(Students!$E$5:$E$304,$A24,Students!$K$5:$K$304,"Active"))</f>
        <v/>
      </c>
      <c r="H24" s="85" t="str">
        <f aca="false">IF($A24="","",COUNTIFS(Teachers!$E$5:$E$304,$A24,Teachers!$I$5:$I$304,"Active"))</f>
        <v/>
      </c>
      <c r="I24" s="85" t="str">
        <f aca="false">IF($A24="","",COUNTIF(Classes!$B$5:$B$304,$A24))</f>
        <v/>
      </c>
      <c r="J24" s="85"/>
    </row>
    <row r="25" customFormat="false" ht="19.5" hidden="false" customHeight="true" outlineLevel="0" collapsed="false">
      <c r="A25" s="85" t="str">
        <f aca="false">IF(B25="","","SCH"&amp;TEXT(ROW()-4,"00"))</f>
        <v/>
      </c>
      <c r="B25" s="86"/>
      <c r="C25" s="86"/>
      <c r="D25" s="86"/>
      <c r="E25" s="86"/>
      <c r="F25" s="86"/>
      <c r="G25" s="85" t="str">
        <f aca="false">IF($A25="","",COUNTIFS(Students!$E$5:$E$304,$A25,Students!$K$5:$K$304,"Active"))</f>
        <v/>
      </c>
      <c r="H25" s="85" t="str">
        <f aca="false">IF($A25="","",COUNTIFS(Teachers!$E$5:$E$304,$A25,Teachers!$I$5:$I$304,"Active"))</f>
        <v/>
      </c>
      <c r="I25" s="85" t="str">
        <f aca="false">IF($A25="","",COUNTIF(Classes!$B$5:$B$304,$A25))</f>
        <v/>
      </c>
      <c r="J25" s="85"/>
    </row>
    <row r="26" customFormat="false" ht="19.5" hidden="false" customHeight="true" outlineLevel="0" collapsed="false">
      <c r="A26" s="85" t="str">
        <f aca="false">IF(B26="","","SCH"&amp;TEXT(ROW()-4,"00"))</f>
        <v/>
      </c>
      <c r="B26" s="86"/>
      <c r="C26" s="86"/>
      <c r="D26" s="86"/>
      <c r="E26" s="86"/>
      <c r="F26" s="86"/>
      <c r="G26" s="85" t="str">
        <f aca="false">IF($A26="","",COUNTIFS(Students!$E$5:$E$304,$A26,Students!$K$5:$K$304,"Active"))</f>
        <v/>
      </c>
      <c r="H26" s="85" t="str">
        <f aca="false">IF($A26="","",COUNTIFS(Teachers!$E$5:$E$304,$A26,Teachers!$I$5:$I$304,"Active"))</f>
        <v/>
      </c>
      <c r="I26" s="85" t="str">
        <f aca="false">IF($A26="","",COUNTIF(Classes!$B$5:$B$304,$A26))</f>
        <v/>
      </c>
      <c r="J26" s="85"/>
    </row>
    <row r="27" customFormat="false" ht="19.5" hidden="false" customHeight="true" outlineLevel="0" collapsed="false">
      <c r="A27" s="85" t="str">
        <f aca="false">IF(B27="","","SCH"&amp;TEXT(ROW()-4,"00"))</f>
        <v/>
      </c>
      <c r="B27" s="86"/>
      <c r="C27" s="86"/>
      <c r="D27" s="86"/>
      <c r="E27" s="86"/>
      <c r="F27" s="86"/>
      <c r="G27" s="85" t="str">
        <f aca="false">IF($A27="","",COUNTIFS(Students!$E$5:$E$304,$A27,Students!$K$5:$K$304,"Active"))</f>
        <v/>
      </c>
      <c r="H27" s="85" t="str">
        <f aca="false">IF($A27="","",COUNTIFS(Teachers!$E$5:$E$304,$A27,Teachers!$I$5:$I$304,"Active"))</f>
        <v/>
      </c>
      <c r="I27" s="85" t="str">
        <f aca="false">IF($A27="","",COUNTIF(Classes!$B$5:$B$304,$A27))</f>
        <v/>
      </c>
      <c r="J27" s="85"/>
    </row>
    <row r="28" customFormat="false" ht="19.5" hidden="false" customHeight="true" outlineLevel="0" collapsed="false">
      <c r="A28" s="85" t="str">
        <f aca="false">IF(B28="","","SCH"&amp;TEXT(ROW()-4,"00"))</f>
        <v/>
      </c>
      <c r="B28" s="86"/>
      <c r="C28" s="86"/>
      <c r="D28" s="86"/>
      <c r="E28" s="86"/>
      <c r="F28" s="86"/>
      <c r="G28" s="85" t="str">
        <f aca="false">IF($A28="","",COUNTIFS(Students!$E$5:$E$304,$A28,Students!$K$5:$K$304,"Active"))</f>
        <v/>
      </c>
      <c r="H28" s="85" t="str">
        <f aca="false">IF($A28="","",COUNTIFS(Teachers!$E$5:$E$304,$A28,Teachers!$I$5:$I$304,"Active"))</f>
        <v/>
      </c>
      <c r="I28" s="85" t="str">
        <f aca="false">IF($A28="","",COUNTIF(Classes!$B$5:$B$304,$A28))</f>
        <v/>
      </c>
      <c r="J28" s="85"/>
    </row>
    <row r="29" customFormat="false" ht="19.5" hidden="false" customHeight="true" outlineLevel="0" collapsed="false">
      <c r="A29" s="85" t="str">
        <f aca="false">IF(B29="","","SCH"&amp;TEXT(ROW()-4,"00"))</f>
        <v/>
      </c>
      <c r="B29" s="86"/>
      <c r="C29" s="86"/>
      <c r="D29" s="86"/>
      <c r="E29" s="86"/>
      <c r="F29" s="86"/>
      <c r="G29" s="85" t="str">
        <f aca="false">IF($A29="","",COUNTIFS(Students!$E$5:$E$304,$A29,Students!$K$5:$K$304,"Active"))</f>
        <v/>
      </c>
      <c r="H29" s="85" t="str">
        <f aca="false">IF($A29="","",COUNTIFS(Teachers!$E$5:$E$304,$A29,Teachers!$I$5:$I$304,"Active"))</f>
        <v/>
      </c>
      <c r="I29" s="85" t="str">
        <f aca="false">IF($A29="","",COUNTIF(Classes!$B$5:$B$304,$A29))</f>
        <v/>
      </c>
      <c r="J29" s="85"/>
    </row>
    <row r="30" customFormat="false" ht="19.5" hidden="false" customHeight="true" outlineLevel="0" collapsed="false">
      <c r="A30" s="85" t="str">
        <f aca="false">IF(B30="","","SCH"&amp;TEXT(ROW()-4,"00"))</f>
        <v/>
      </c>
      <c r="B30" s="86"/>
      <c r="C30" s="86"/>
      <c r="D30" s="86"/>
      <c r="E30" s="86"/>
      <c r="F30" s="86"/>
      <c r="G30" s="85" t="str">
        <f aca="false">IF($A30="","",COUNTIFS(Students!$E$5:$E$304,$A30,Students!$K$5:$K$304,"Active"))</f>
        <v/>
      </c>
      <c r="H30" s="85" t="str">
        <f aca="false">IF($A30="","",COUNTIFS(Teachers!$E$5:$E$304,$A30,Teachers!$I$5:$I$304,"Active"))</f>
        <v/>
      </c>
      <c r="I30" s="85" t="str">
        <f aca="false">IF($A30="","",COUNTIF(Classes!$B$5:$B$304,$A30))</f>
        <v/>
      </c>
      <c r="J30" s="85"/>
    </row>
    <row r="31" customFormat="false" ht="19.5" hidden="false" customHeight="true" outlineLevel="0" collapsed="false">
      <c r="A31" s="85" t="str">
        <f aca="false">IF(B31="","","SCH"&amp;TEXT(ROW()-4,"00"))</f>
        <v/>
      </c>
      <c r="B31" s="86"/>
      <c r="C31" s="86"/>
      <c r="D31" s="86"/>
      <c r="E31" s="86"/>
      <c r="F31" s="86"/>
      <c r="G31" s="85" t="str">
        <f aca="false">IF($A31="","",COUNTIFS(Students!$E$5:$E$304,$A31,Students!$K$5:$K$304,"Active"))</f>
        <v/>
      </c>
      <c r="H31" s="85" t="str">
        <f aca="false">IF($A31="","",COUNTIFS(Teachers!$E$5:$E$304,$A31,Teachers!$I$5:$I$304,"Active"))</f>
        <v/>
      </c>
      <c r="I31" s="85" t="str">
        <f aca="false">IF($A31="","",COUNTIF(Classes!$B$5:$B$304,$A31))</f>
        <v/>
      </c>
      <c r="J31" s="85"/>
    </row>
    <row r="32" customFormat="false" ht="19.5" hidden="false" customHeight="true" outlineLevel="0" collapsed="false">
      <c r="A32" s="85" t="str">
        <f aca="false">IF(B32="","","SCH"&amp;TEXT(ROW()-4,"00"))</f>
        <v/>
      </c>
      <c r="B32" s="86"/>
      <c r="C32" s="86"/>
      <c r="D32" s="86"/>
      <c r="E32" s="86"/>
      <c r="F32" s="86"/>
      <c r="G32" s="85" t="str">
        <f aca="false">IF($A32="","",COUNTIFS(Students!$E$5:$E$304,$A32,Students!$K$5:$K$304,"Active"))</f>
        <v/>
      </c>
      <c r="H32" s="85" t="str">
        <f aca="false">IF($A32="","",COUNTIFS(Teachers!$E$5:$E$304,$A32,Teachers!$I$5:$I$304,"Active"))</f>
        <v/>
      </c>
      <c r="I32" s="85" t="str">
        <f aca="false">IF($A32="","",COUNTIF(Classes!$B$5:$B$304,$A32))</f>
        <v/>
      </c>
      <c r="J32" s="85"/>
    </row>
    <row r="33" customFormat="false" ht="19.5" hidden="false" customHeight="true" outlineLevel="0" collapsed="false">
      <c r="A33" s="85" t="str">
        <f aca="false">IF(B33="","","SCH"&amp;TEXT(ROW()-4,"00"))</f>
        <v/>
      </c>
      <c r="B33" s="86"/>
      <c r="C33" s="86"/>
      <c r="D33" s="86"/>
      <c r="E33" s="86"/>
      <c r="F33" s="86"/>
      <c r="G33" s="85" t="str">
        <f aca="false">IF($A33="","",COUNTIFS(Students!$E$5:$E$304,$A33,Students!$K$5:$K$304,"Active"))</f>
        <v/>
      </c>
      <c r="H33" s="85" t="str">
        <f aca="false">IF($A33="","",COUNTIFS(Teachers!$E$5:$E$304,$A33,Teachers!$I$5:$I$304,"Active"))</f>
        <v/>
      </c>
      <c r="I33" s="85" t="str">
        <f aca="false">IF($A33="","",COUNTIF(Classes!$B$5:$B$304,$A33))</f>
        <v/>
      </c>
      <c r="J33" s="85"/>
    </row>
    <row r="34" customFormat="false" ht="19.5" hidden="false" customHeight="true" outlineLevel="0" collapsed="false">
      <c r="A34" s="85" t="str">
        <f aca="false">IF(B34="","","SCH"&amp;TEXT(ROW()-4,"00"))</f>
        <v/>
      </c>
      <c r="B34" s="86"/>
      <c r="C34" s="86"/>
      <c r="D34" s="86"/>
      <c r="E34" s="86"/>
      <c r="F34" s="86"/>
      <c r="G34" s="85" t="str">
        <f aca="false">IF($A34="","",COUNTIFS(Students!$E$5:$E$304,$A34,Students!$K$5:$K$304,"Active"))</f>
        <v/>
      </c>
      <c r="H34" s="85" t="str">
        <f aca="false">IF($A34="","",COUNTIFS(Teachers!$E$5:$E$304,$A34,Teachers!$I$5:$I$304,"Active"))</f>
        <v/>
      </c>
      <c r="I34" s="85" t="str">
        <f aca="false">IF($A34="","",COUNTIF(Classes!$B$5:$B$304,$A34))</f>
        <v/>
      </c>
      <c r="J34" s="85"/>
    </row>
    <row r="35" customFormat="false" ht="19.5" hidden="false" customHeight="true" outlineLevel="0" collapsed="false">
      <c r="A35" s="85" t="str">
        <f aca="false">IF(B35="","","SCH"&amp;TEXT(ROW()-4,"00"))</f>
        <v/>
      </c>
      <c r="B35" s="86"/>
      <c r="C35" s="86"/>
      <c r="D35" s="86"/>
      <c r="E35" s="86"/>
      <c r="F35" s="86"/>
      <c r="G35" s="85" t="str">
        <f aca="false">IF($A35="","",COUNTIFS(Students!$E$5:$E$304,$A35,Students!$K$5:$K$304,"Active"))</f>
        <v/>
      </c>
      <c r="H35" s="85" t="str">
        <f aca="false">IF($A35="","",COUNTIFS(Teachers!$E$5:$E$304,$A35,Teachers!$I$5:$I$304,"Active"))</f>
        <v/>
      </c>
      <c r="I35" s="85" t="str">
        <f aca="false">IF($A35="","",COUNTIF(Classes!$B$5:$B$304,$A35))</f>
        <v/>
      </c>
      <c r="J35" s="85"/>
    </row>
    <row r="36" customFormat="false" ht="19.5" hidden="false" customHeight="true" outlineLevel="0" collapsed="false">
      <c r="A36" s="85" t="str">
        <f aca="false">IF(B36="","","SCH"&amp;TEXT(ROW()-4,"00"))</f>
        <v/>
      </c>
      <c r="B36" s="86"/>
      <c r="C36" s="86"/>
      <c r="D36" s="86"/>
      <c r="E36" s="86"/>
      <c r="F36" s="86"/>
      <c r="G36" s="85" t="str">
        <f aca="false">IF($A36="","",COUNTIFS(Students!$E$5:$E$304,$A36,Students!$K$5:$K$304,"Active"))</f>
        <v/>
      </c>
      <c r="H36" s="85" t="str">
        <f aca="false">IF($A36="","",COUNTIFS(Teachers!$E$5:$E$304,$A36,Teachers!$I$5:$I$304,"Active"))</f>
        <v/>
      </c>
      <c r="I36" s="85" t="str">
        <f aca="false">IF($A36="","",COUNTIF(Classes!$B$5:$B$304,$A36))</f>
        <v/>
      </c>
      <c r="J36" s="85"/>
    </row>
    <row r="37" customFormat="false" ht="19.5" hidden="false" customHeight="true" outlineLevel="0" collapsed="false">
      <c r="A37" s="85" t="str">
        <f aca="false">IF(B37="","","SCH"&amp;TEXT(ROW()-4,"00"))</f>
        <v/>
      </c>
      <c r="B37" s="86"/>
      <c r="C37" s="86"/>
      <c r="D37" s="86"/>
      <c r="E37" s="86"/>
      <c r="F37" s="86"/>
      <c r="G37" s="85" t="str">
        <f aca="false">IF($A37="","",COUNTIFS(Students!$E$5:$E$304,$A37,Students!$K$5:$K$304,"Active"))</f>
        <v/>
      </c>
      <c r="H37" s="85" t="str">
        <f aca="false">IF($A37="","",COUNTIFS(Teachers!$E$5:$E$304,$A37,Teachers!$I$5:$I$304,"Active"))</f>
        <v/>
      </c>
      <c r="I37" s="85" t="str">
        <f aca="false">IF($A37="","",COUNTIF(Classes!$B$5:$B$304,$A37))</f>
        <v/>
      </c>
      <c r="J37" s="85"/>
    </row>
    <row r="38" customFormat="false" ht="19.5" hidden="false" customHeight="true" outlineLevel="0" collapsed="false">
      <c r="A38" s="85" t="str">
        <f aca="false">IF(B38="","","SCH"&amp;TEXT(ROW()-4,"00"))</f>
        <v/>
      </c>
      <c r="B38" s="86"/>
      <c r="C38" s="86"/>
      <c r="D38" s="86"/>
      <c r="E38" s="86"/>
      <c r="F38" s="86"/>
      <c r="G38" s="85" t="str">
        <f aca="false">IF($A38="","",COUNTIFS(Students!$E$5:$E$304,$A38,Students!$K$5:$K$304,"Active"))</f>
        <v/>
      </c>
      <c r="H38" s="85" t="str">
        <f aca="false">IF($A38="","",COUNTIFS(Teachers!$E$5:$E$304,$A38,Teachers!$I$5:$I$304,"Active"))</f>
        <v/>
      </c>
      <c r="I38" s="85" t="str">
        <f aca="false">IF($A38="","",COUNTIF(Classes!$B$5:$B$304,$A38))</f>
        <v/>
      </c>
      <c r="J38" s="85"/>
    </row>
    <row r="39" customFormat="false" ht="19.5" hidden="false" customHeight="true" outlineLevel="0" collapsed="false">
      <c r="A39" s="85" t="str">
        <f aca="false">IF(B39="","","SCH"&amp;TEXT(ROW()-4,"00"))</f>
        <v/>
      </c>
      <c r="B39" s="86"/>
      <c r="C39" s="86"/>
      <c r="D39" s="86"/>
      <c r="E39" s="86"/>
      <c r="F39" s="86"/>
      <c r="G39" s="85" t="str">
        <f aca="false">IF($A39="","",COUNTIFS(Students!$E$5:$E$304,$A39,Students!$K$5:$K$304,"Active"))</f>
        <v/>
      </c>
      <c r="H39" s="85" t="str">
        <f aca="false">IF($A39="","",COUNTIFS(Teachers!$E$5:$E$304,$A39,Teachers!$I$5:$I$304,"Active"))</f>
        <v/>
      </c>
      <c r="I39" s="85" t="str">
        <f aca="false">IF($A39="","",COUNTIF(Classes!$B$5:$B$304,$A39))</f>
        <v/>
      </c>
      <c r="J39" s="85"/>
    </row>
    <row r="40" customFormat="false" ht="19.5" hidden="false" customHeight="true" outlineLevel="0" collapsed="false">
      <c r="A40" s="85" t="str">
        <f aca="false">IF(B40="","","SCH"&amp;TEXT(ROW()-4,"00"))</f>
        <v/>
      </c>
      <c r="B40" s="86"/>
      <c r="C40" s="86"/>
      <c r="D40" s="86"/>
      <c r="E40" s="86"/>
      <c r="F40" s="86"/>
      <c r="G40" s="85" t="str">
        <f aca="false">IF($A40="","",COUNTIFS(Students!$E$5:$E$304,$A40,Students!$K$5:$K$304,"Active"))</f>
        <v/>
      </c>
      <c r="H40" s="85" t="str">
        <f aca="false">IF($A40="","",COUNTIFS(Teachers!$E$5:$E$304,$A40,Teachers!$I$5:$I$304,"Active"))</f>
        <v/>
      </c>
      <c r="I40" s="85" t="str">
        <f aca="false">IF($A40="","",COUNTIF(Classes!$B$5:$B$304,$A40))</f>
        <v/>
      </c>
      <c r="J40" s="85"/>
    </row>
    <row r="41" customFormat="false" ht="19.5" hidden="false" customHeight="true" outlineLevel="0" collapsed="false">
      <c r="A41" s="85" t="str">
        <f aca="false">IF(B41="","","SCH"&amp;TEXT(ROW()-4,"00"))</f>
        <v/>
      </c>
      <c r="B41" s="86"/>
      <c r="C41" s="86"/>
      <c r="D41" s="86"/>
      <c r="E41" s="86"/>
      <c r="F41" s="86"/>
      <c r="G41" s="85" t="str">
        <f aca="false">IF($A41="","",COUNTIFS(Students!$E$5:$E$304,$A41,Students!$K$5:$K$304,"Active"))</f>
        <v/>
      </c>
      <c r="H41" s="85" t="str">
        <f aca="false">IF($A41="","",COUNTIFS(Teachers!$E$5:$E$304,$A41,Teachers!$I$5:$I$304,"Active"))</f>
        <v/>
      </c>
      <c r="I41" s="85" t="str">
        <f aca="false">IF($A41="","",COUNTIF(Classes!$B$5:$B$304,$A41))</f>
        <v/>
      </c>
      <c r="J41" s="85"/>
    </row>
    <row r="42" customFormat="false" ht="19.5" hidden="false" customHeight="true" outlineLevel="0" collapsed="false">
      <c r="A42" s="85" t="str">
        <f aca="false">IF(B42="","","SCH"&amp;TEXT(ROW()-4,"00"))</f>
        <v/>
      </c>
      <c r="B42" s="86"/>
      <c r="C42" s="86"/>
      <c r="D42" s="86"/>
      <c r="E42" s="86"/>
      <c r="F42" s="86"/>
      <c r="G42" s="85" t="str">
        <f aca="false">IF($A42="","",COUNTIFS(Students!$E$5:$E$304,$A42,Students!$K$5:$K$304,"Active"))</f>
        <v/>
      </c>
      <c r="H42" s="85" t="str">
        <f aca="false">IF($A42="","",COUNTIFS(Teachers!$E$5:$E$304,$A42,Teachers!$I$5:$I$304,"Active"))</f>
        <v/>
      </c>
      <c r="I42" s="85" t="str">
        <f aca="false">IF($A42="","",COUNTIF(Classes!$B$5:$B$304,$A42))</f>
        <v/>
      </c>
      <c r="J42" s="85"/>
    </row>
    <row r="43" customFormat="false" ht="19.5" hidden="false" customHeight="true" outlineLevel="0" collapsed="false">
      <c r="A43" s="85" t="str">
        <f aca="false">IF(B43="","","SCH"&amp;TEXT(ROW()-4,"00"))</f>
        <v/>
      </c>
      <c r="B43" s="86"/>
      <c r="C43" s="86"/>
      <c r="D43" s="86"/>
      <c r="E43" s="86"/>
      <c r="F43" s="86"/>
      <c r="G43" s="85" t="str">
        <f aca="false">IF($A43="","",COUNTIFS(Students!$E$5:$E$304,$A43,Students!$K$5:$K$304,"Active"))</f>
        <v/>
      </c>
      <c r="H43" s="85" t="str">
        <f aca="false">IF($A43="","",COUNTIFS(Teachers!$E$5:$E$304,$A43,Teachers!$I$5:$I$304,"Active"))</f>
        <v/>
      </c>
      <c r="I43" s="85" t="str">
        <f aca="false">IF($A43="","",COUNTIF(Classes!$B$5:$B$304,$A43))</f>
        <v/>
      </c>
      <c r="J43" s="85"/>
    </row>
    <row r="44" customFormat="false" ht="19.5" hidden="false" customHeight="true" outlineLevel="0" collapsed="false">
      <c r="A44" s="85" t="str">
        <f aca="false">IF(B44="","","SCH"&amp;TEXT(ROW()-4,"00"))</f>
        <v/>
      </c>
      <c r="B44" s="86"/>
      <c r="C44" s="86"/>
      <c r="D44" s="86"/>
      <c r="E44" s="86"/>
      <c r="F44" s="86"/>
      <c r="G44" s="85" t="str">
        <f aca="false">IF($A44="","",COUNTIFS(Students!$E$5:$E$304,$A44,Students!$K$5:$K$304,"Active"))</f>
        <v/>
      </c>
      <c r="H44" s="85" t="str">
        <f aca="false">IF($A44="","",COUNTIFS(Teachers!$E$5:$E$304,$A44,Teachers!$I$5:$I$304,"Active"))</f>
        <v/>
      </c>
      <c r="I44" s="85" t="str">
        <f aca="false">IF($A44="","",COUNTIF(Classes!$B$5:$B$304,$A44))</f>
        <v/>
      </c>
      <c r="J44" s="85"/>
    </row>
    <row r="45" customFormat="false" ht="19.5" hidden="false" customHeight="true" outlineLevel="0" collapsed="false">
      <c r="A45" s="85" t="str">
        <f aca="false">IF(B45="","","SCH"&amp;TEXT(ROW()-4,"00"))</f>
        <v/>
      </c>
      <c r="B45" s="86"/>
      <c r="C45" s="86"/>
      <c r="D45" s="86"/>
      <c r="E45" s="86"/>
      <c r="F45" s="86"/>
      <c r="G45" s="85" t="str">
        <f aca="false">IF($A45="","",COUNTIFS(Students!$E$5:$E$304,$A45,Students!$K$5:$K$304,"Active"))</f>
        <v/>
      </c>
      <c r="H45" s="85" t="str">
        <f aca="false">IF($A45="","",COUNTIFS(Teachers!$E$5:$E$304,$A45,Teachers!$I$5:$I$304,"Active"))</f>
        <v/>
      </c>
      <c r="I45" s="85" t="str">
        <f aca="false">IF($A45="","",COUNTIF(Classes!$B$5:$B$304,$A45))</f>
        <v/>
      </c>
      <c r="J45" s="85"/>
    </row>
    <row r="46" customFormat="false" ht="19.5" hidden="false" customHeight="true" outlineLevel="0" collapsed="false">
      <c r="A46" s="85" t="str">
        <f aca="false">IF(B46="","","SCH"&amp;TEXT(ROW()-4,"00"))</f>
        <v/>
      </c>
      <c r="B46" s="86"/>
      <c r="C46" s="86"/>
      <c r="D46" s="86"/>
      <c r="E46" s="86"/>
      <c r="F46" s="86"/>
      <c r="G46" s="85" t="str">
        <f aca="false">IF($A46="","",COUNTIFS(Students!$E$5:$E$304,$A46,Students!$K$5:$K$304,"Active"))</f>
        <v/>
      </c>
      <c r="H46" s="85" t="str">
        <f aca="false">IF($A46="","",COUNTIFS(Teachers!$E$5:$E$304,$A46,Teachers!$I$5:$I$304,"Active"))</f>
        <v/>
      </c>
      <c r="I46" s="85" t="str">
        <f aca="false">IF($A46="","",COUNTIF(Classes!$B$5:$B$304,$A46))</f>
        <v/>
      </c>
      <c r="J46" s="85"/>
    </row>
    <row r="47" customFormat="false" ht="19.5" hidden="false" customHeight="true" outlineLevel="0" collapsed="false">
      <c r="A47" s="85" t="str">
        <f aca="false">IF(B47="","","SCH"&amp;TEXT(ROW()-4,"00"))</f>
        <v/>
      </c>
      <c r="B47" s="86"/>
      <c r="C47" s="86"/>
      <c r="D47" s="86"/>
      <c r="E47" s="86"/>
      <c r="F47" s="86"/>
      <c r="G47" s="85" t="str">
        <f aca="false">IF($A47="","",COUNTIFS(Students!$E$5:$E$304,$A47,Students!$K$5:$K$304,"Active"))</f>
        <v/>
      </c>
      <c r="H47" s="85" t="str">
        <f aca="false">IF($A47="","",COUNTIFS(Teachers!$E$5:$E$304,$A47,Teachers!$I$5:$I$304,"Active"))</f>
        <v/>
      </c>
      <c r="I47" s="85" t="str">
        <f aca="false">IF($A47="","",COUNTIF(Classes!$B$5:$B$304,$A47))</f>
        <v/>
      </c>
      <c r="J47" s="85"/>
    </row>
    <row r="48" customFormat="false" ht="19.5" hidden="false" customHeight="true" outlineLevel="0" collapsed="false">
      <c r="A48" s="85" t="str">
        <f aca="false">IF(B48="","","SCH"&amp;TEXT(ROW()-4,"00"))</f>
        <v/>
      </c>
      <c r="B48" s="86"/>
      <c r="C48" s="86"/>
      <c r="D48" s="86"/>
      <c r="E48" s="86"/>
      <c r="F48" s="86"/>
      <c r="G48" s="85" t="str">
        <f aca="false">IF($A48="","",COUNTIFS(Students!$E$5:$E$304,$A48,Students!$K$5:$K$304,"Active"))</f>
        <v/>
      </c>
      <c r="H48" s="85" t="str">
        <f aca="false">IF($A48="","",COUNTIFS(Teachers!$E$5:$E$304,$A48,Teachers!$I$5:$I$304,"Active"))</f>
        <v/>
      </c>
      <c r="I48" s="85" t="str">
        <f aca="false">IF($A48="","",COUNTIF(Classes!$B$5:$B$304,$A48))</f>
        <v/>
      </c>
      <c r="J48" s="85"/>
    </row>
    <row r="49" customFormat="false" ht="19.5" hidden="false" customHeight="true" outlineLevel="0" collapsed="false">
      <c r="A49" s="85" t="str">
        <f aca="false">IF(B49="","","SCH"&amp;TEXT(ROW()-4,"00"))</f>
        <v/>
      </c>
      <c r="B49" s="86"/>
      <c r="C49" s="86"/>
      <c r="D49" s="86"/>
      <c r="E49" s="86"/>
      <c r="F49" s="86"/>
      <c r="G49" s="85" t="str">
        <f aca="false">IF($A49="","",COUNTIFS(Students!$E$5:$E$304,$A49,Students!$K$5:$K$304,"Active"))</f>
        <v/>
      </c>
      <c r="H49" s="85" t="str">
        <f aca="false">IF($A49="","",COUNTIFS(Teachers!$E$5:$E$304,$A49,Teachers!$I$5:$I$304,"Active"))</f>
        <v/>
      </c>
      <c r="I49" s="85" t="str">
        <f aca="false">IF($A49="","",COUNTIF(Classes!$B$5:$B$304,$A49))</f>
        <v/>
      </c>
      <c r="J49" s="85"/>
    </row>
    <row r="50" customFormat="false" ht="19.5" hidden="false" customHeight="true" outlineLevel="0" collapsed="false">
      <c r="A50" s="85" t="str">
        <f aca="false">IF(B50="","","SCH"&amp;TEXT(ROW()-4,"00"))</f>
        <v/>
      </c>
      <c r="B50" s="86"/>
      <c r="C50" s="86"/>
      <c r="D50" s="86"/>
      <c r="E50" s="86"/>
      <c r="F50" s="86"/>
      <c r="G50" s="85" t="str">
        <f aca="false">IF($A50="","",COUNTIFS(Students!$E$5:$E$304,$A50,Students!$K$5:$K$304,"Active"))</f>
        <v/>
      </c>
      <c r="H50" s="85" t="str">
        <f aca="false">IF($A50="","",COUNTIFS(Teachers!$E$5:$E$304,$A50,Teachers!$I$5:$I$304,"Active"))</f>
        <v/>
      </c>
      <c r="I50" s="85" t="str">
        <f aca="false">IF($A50="","",COUNTIF(Classes!$B$5:$B$304,$A50))</f>
        <v/>
      </c>
      <c r="J50" s="85"/>
    </row>
    <row r="51" customFormat="false" ht="19.5" hidden="false" customHeight="true" outlineLevel="0" collapsed="false">
      <c r="A51" s="85" t="str">
        <f aca="false">IF(B51="","","SCH"&amp;TEXT(ROW()-4,"00"))</f>
        <v/>
      </c>
      <c r="B51" s="86"/>
      <c r="C51" s="86"/>
      <c r="D51" s="86"/>
      <c r="E51" s="86"/>
      <c r="F51" s="86"/>
      <c r="G51" s="85" t="str">
        <f aca="false">IF($A51="","",COUNTIFS(Students!$E$5:$E$304,$A51,Students!$K$5:$K$304,"Active"))</f>
        <v/>
      </c>
      <c r="H51" s="85" t="str">
        <f aca="false">IF($A51="","",COUNTIFS(Teachers!$E$5:$E$304,$A51,Teachers!$I$5:$I$304,"Active"))</f>
        <v/>
      </c>
      <c r="I51" s="85" t="str">
        <f aca="false">IF($A51="","",COUNTIF(Classes!$B$5:$B$304,$A51))</f>
        <v/>
      </c>
      <c r="J51" s="85"/>
    </row>
    <row r="52" customFormat="false" ht="19.5" hidden="false" customHeight="true" outlineLevel="0" collapsed="false">
      <c r="A52" s="85" t="str">
        <f aca="false">IF(B52="","","SCH"&amp;TEXT(ROW()-4,"00"))</f>
        <v/>
      </c>
      <c r="B52" s="86"/>
      <c r="C52" s="86"/>
      <c r="D52" s="86"/>
      <c r="E52" s="86"/>
      <c r="F52" s="86"/>
      <c r="G52" s="85" t="str">
        <f aca="false">IF($A52="","",COUNTIFS(Students!$E$5:$E$304,$A52,Students!$K$5:$K$304,"Active"))</f>
        <v/>
      </c>
      <c r="H52" s="85" t="str">
        <f aca="false">IF($A52="","",COUNTIFS(Teachers!$E$5:$E$304,$A52,Teachers!$I$5:$I$304,"Active"))</f>
        <v/>
      </c>
      <c r="I52" s="85" t="str">
        <f aca="false">IF($A52="","",COUNTIF(Classes!$B$5:$B$304,$A52))</f>
        <v/>
      </c>
      <c r="J52" s="85"/>
    </row>
    <row r="53" customFormat="false" ht="19.5" hidden="false" customHeight="true" outlineLevel="0" collapsed="false">
      <c r="A53" s="85" t="str">
        <f aca="false">IF(B53="","","SCH"&amp;TEXT(ROW()-4,"00"))</f>
        <v/>
      </c>
      <c r="B53" s="86"/>
      <c r="C53" s="86"/>
      <c r="D53" s="86"/>
      <c r="E53" s="86"/>
      <c r="F53" s="86"/>
      <c r="G53" s="85" t="str">
        <f aca="false">IF($A53="","",COUNTIFS(Students!$E$5:$E$304,$A53,Students!$K$5:$K$304,"Active"))</f>
        <v/>
      </c>
      <c r="H53" s="85" t="str">
        <f aca="false">IF($A53="","",COUNTIFS(Teachers!$E$5:$E$304,$A53,Teachers!$I$5:$I$304,"Active"))</f>
        <v/>
      </c>
      <c r="I53" s="85" t="str">
        <f aca="false">IF($A53="","",COUNTIF(Classes!$B$5:$B$304,$A53))</f>
        <v/>
      </c>
      <c r="J53" s="85"/>
    </row>
    <row r="54" customFormat="false" ht="19.5" hidden="false" customHeight="true" outlineLevel="0" collapsed="false">
      <c r="A54" s="85" t="str">
        <f aca="false">IF(B54="","","SCH"&amp;TEXT(ROW()-4,"00"))</f>
        <v/>
      </c>
      <c r="B54" s="86"/>
      <c r="C54" s="86"/>
      <c r="D54" s="86"/>
      <c r="E54" s="86"/>
      <c r="F54" s="86"/>
      <c r="G54" s="85" t="str">
        <f aca="false">IF($A54="","",COUNTIFS(Students!$E$5:$E$304,$A54,Students!$K$5:$K$304,"Active"))</f>
        <v/>
      </c>
      <c r="H54" s="85" t="str">
        <f aca="false">IF($A54="","",COUNTIFS(Teachers!$E$5:$E$304,$A54,Teachers!$I$5:$I$304,"Active"))</f>
        <v/>
      </c>
      <c r="I54" s="85" t="str">
        <f aca="false">IF($A54="","",COUNTIF(Classes!$B$5:$B$304,$A54))</f>
        <v/>
      </c>
      <c r="J54" s="85"/>
    </row>
    <row r="55" customFormat="false" ht="19.5" hidden="false" customHeight="true" outlineLevel="0" collapsed="false">
      <c r="A55" s="85" t="str">
        <f aca="false">IF(B55="","","SCH"&amp;TEXT(ROW()-4,"00"))</f>
        <v/>
      </c>
      <c r="B55" s="86"/>
      <c r="C55" s="86"/>
      <c r="D55" s="86"/>
      <c r="E55" s="86"/>
      <c r="F55" s="86"/>
      <c r="G55" s="85" t="str">
        <f aca="false">IF($A55="","",COUNTIFS(Students!$E$5:$E$304,$A55,Students!$K$5:$K$304,"Active"))</f>
        <v/>
      </c>
      <c r="H55" s="85" t="str">
        <f aca="false">IF($A55="","",COUNTIFS(Teachers!$E$5:$E$304,$A55,Teachers!$I$5:$I$304,"Active"))</f>
        <v/>
      </c>
      <c r="I55" s="85" t="str">
        <f aca="false">IF($A55="","",COUNTIF(Classes!$B$5:$B$304,$A55))</f>
        <v/>
      </c>
      <c r="J55" s="85"/>
    </row>
    <row r="56" customFormat="false" ht="19.5" hidden="false" customHeight="true" outlineLevel="0" collapsed="false">
      <c r="A56" s="85" t="str">
        <f aca="false">IF(B56="","","SCH"&amp;TEXT(ROW()-4,"00"))</f>
        <v/>
      </c>
      <c r="B56" s="86"/>
      <c r="C56" s="86"/>
      <c r="D56" s="86"/>
      <c r="E56" s="86"/>
      <c r="F56" s="86"/>
      <c r="G56" s="85" t="str">
        <f aca="false">IF($A56="","",COUNTIFS(Students!$E$5:$E$304,$A56,Students!$K$5:$K$304,"Active"))</f>
        <v/>
      </c>
      <c r="H56" s="85" t="str">
        <f aca="false">IF($A56="","",COUNTIFS(Teachers!$E$5:$E$304,$A56,Teachers!$I$5:$I$304,"Active"))</f>
        <v/>
      </c>
      <c r="I56" s="85" t="str">
        <f aca="false">IF($A56="","",COUNTIF(Classes!$B$5:$B$304,$A56))</f>
        <v/>
      </c>
      <c r="J56" s="85"/>
    </row>
    <row r="57" customFormat="false" ht="19.5" hidden="false" customHeight="true" outlineLevel="0" collapsed="false">
      <c r="A57" s="85" t="str">
        <f aca="false">IF(B57="","","SCH"&amp;TEXT(ROW()-4,"00"))</f>
        <v/>
      </c>
      <c r="B57" s="86"/>
      <c r="C57" s="86"/>
      <c r="D57" s="86"/>
      <c r="E57" s="86"/>
      <c r="F57" s="86"/>
      <c r="G57" s="85" t="str">
        <f aca="false">IF($A57="","",COUNTIFS(Students!$E$5:$E$304,$A57,Students!$K$5:$K$304,"Active"))</f>
        <v/>
      </c>
      <c r="H57" s="85" t="str">
        <f aca="false">IF($A57="","",COUNTIFS(Teachers!$E$5:$E$304,$A57,Teachers!$I$5:$I$304,"Active"))</f>
        <v/>
      </c>
      <c r="I57" s="85" t="str">
        <f aca="false">IF($A57="","",COUNTIF(Classes!$B$5:$B$304,$A57))</f>
        <v/>
      </c>
      <c r="J57" s="85"/>
    </row>
    <row r="58" customFormat="false" ht="19.5" hidden="false" customHeight="true" outlineLevel="0" collapsed="false">
      <c r="A58" s="85" t="str">
        <f aca="false">IF(B58="","","SCH"&amp;TEXT(ROW()-4,"00"))</f>
        <v/>
      </c>
      <c r="B58" s="86"/>
      <c r="C58" s="86"/>
      <c r="D58" s="86"/>
      <c r="E58" s="86"/>
      <c r="F58" s="86"/>
      <c r="G58" s="85" t="str">
        <f aca="false">IF($A58="","",COUNTIFS(Students!$E$5:$E$304,$A58,Students!$K$5:$K$304,"Active"))</f>
        <v/>
      </c>
      <c r="H58" s="85" t="str">
        <f aca="false">IF($A58="","",COUNTIFS(Teachers!$E$5:$E$304,$A58,Teachers!$I$5:$I$304,"Active"))</f>
        <v/>
      </c>
      <c r="I58" s="85" t="str">
        <f aca="false">IF($A58="","",COUNTIF(Classes!$B$5:$B$304,$A58))</f>
        <v/>
      </c>
      <c r="J58" s="85"/>
    </row>
    <row r="59" customFormat="false" ht="19.5" hidden="false" customHeight="true" outlineLevel="0" collapsed="false">
      <c r="A59" s="85" t="str">
        <f aca="false">IF(B59="","","SCH"&amp;TEXT(ROW()-4,"00"))</f>
        <v/>
      </c>
      <c r="B59" s="86"/>
      <c r="C59" s="86"/>
      <c r="D59" s="86"/>
      <c r="E59" s="86"/>
      <c r="F59" s="86"/>
      <c r="G59" s="85" t="str">
        <f aca="false">IF($A59="","",COUNTIFS(Students!$E$5:$E$304,$A59,Students!$K$5:$K$304,"Active"))</f>
        <v/>
      </c>
      <c r="H59" s="85" t="str">
        <f aca="false">IF($A59="","",COUNTIFS(Teachers!$E$5:$E$304,$A59,Teachers!$I$5:$I$304,"Active"))</f>
        <v/>
      </c>
      <c r="I59" s="85" t="str">
        <f aca="false">IF($A59="","",COUNTIF(Classes!$B$5:$B$304,$A59))</f>
        <v/>
      </c>
      <c r="J59" s="85"/>
    </row>
    <row r="60" customFormat="false" ht="19.5" hidden="false" customHeight="true" outlineLevel="0" collapsed="false">
      <c r="A60" s="85" t="str">
        <f aca="false">IF(B60="","","SCH"&amp;TEXT(ROW()-4,"00"))</f>
        <v/>
      </c>
      <c r="B60" s="86"/>
      <c r="C60" s="86"/>
      <c r="D60" s="86"/>
      <c r="E60" s="86"/>
      <c r="F60" s="86"/>
      <c r="G60" s="85" t="str">
        <f aca="false">IF($A60="","",COUNTIFS(Students!$E$5:$E$304,$A60,Students!$K$5:$K$304,"Active"))</f>
        <v/>
      </c>
      <c r="H60" s="85" t="str">
        <f aca="false">IF($A60="","",COUNTIFS(Teachers!$E$5:$E$304,$A60,Teachers!$I$5:$I$304,"Active"))</f>
        <v/>
      </c>
      <c r="I60" s="85" t="str">
        <f aca="false">IF($A60="","",COUNTIF(Classes!$B$5:$B$304,$A60))</f>
        <v/>
      </c>
      <c r="J60" s="85"/>
    </row>
    <row r="61" customFormat="false" ht="19.5" hidden="false" customHeight="true" outlineLevel="0" collapsed="false">
      <c r="A61" s="85" t="str">
        <f aca="false">IF(B61="","","SCH"&amp;TEXT(ROW()-4,"00"))</f>
        <v/>
      </c>
      <c r="B61" s="86"/>
      <c r="C61" s="86"/>
      <c r="D61" s="86"/>
      <c r="E61" s="86"/>
      <c r="F61" s="86"/>
      <c r="G61" s="85" t="str">
        <f aca="false">IF($A61="","",COUNTIFS(Students!$E$5:$E$304,$A61,Students!$K$5:$K$304,"Active"))</f>
        <v/>
      </c>
      <c r="H61" s="85" t="str">
        <f aca="false">IF($A61="","",COUNTIFS(Teachers!$E$5:$E$304,$A61,Teachers!$I$5:$I$304,"Active"))</f>
        <v/>
      </c>
      <c r="I61" s="85" t="str">
        <f aca="false">IF($A61="","",COUNTIF(Classes!$B$5:$B$304,$A61))</f>
        <v/>
      </c>
      <c r="J61" s="85"/>
    </row>
    <row r="62" customFormat="false" ht="19.5" hidden="false" customHeight="true" outlineLevel="0" collapsed="false">
      <c r="A62" s="85" t="str">
        <f aca="false">IF(B62="","","SCH"&amp;TEXT(ROW()-4,"00"))</f>
        <v/>
      </c>
      <c r="B62" s="86"/>
      <c r="C62" s="86"/>
      <c r="D62" s="86"/>
      <c r="E62" s="86"/>
      <c r="F62" s="86"/>
      <c r="G62" s="85" t="str">
        <f aca="false">IF($A62="","",COUNTIFS(Students!$E$5:$E$304,$A62,Students!$K$5:$K$304,"Active"))</f>
        <v/>
      </c>
      <c r="H62" s="85" t="str">
        <f aca="false">IF($A62="","",COUNTIFS(Teachers!$E$5:$E$304,$A62,Teachers!$I$5:$I$304,"Active"))</f>
        <v/>
      </c>
      <c r="I62" s="85" t="str">
        <f aca="false">IF($A62="","",COUNTIF(Classes!$B$5:$B$304,$A62))</f>
        <v/>
      </c>
      <c r="J62" s="85"/>
    </row>
    <row r="63" customFormat="false" ht="19.5" hidden="false" customHeight="true" outlineLevel="0" collapsed="false">
      <c r="A63" s="85" t="str">
        <f aca="false">IF(B63="","","SCH"&amp;TEXT(ROW()-4,"00"))</f>
        <v/>
      </c>
      <c r="B63" s="86"/>
      <c r="C63" s="86"/>
      <c r="D63" s="86"/>
      <c r="E63" s="86"/>
      <c r="F63" s="86"/>
      <c r="G63" s="85" t="str">
        <f aca="false">IF($A63="","",COUNTIFS(Students!$E$5:$E$304,$A63,Students!$K$5:$K$304,"Active"))</f>
        <v/>
      </c>
      <c r="H63" s="85" t="str">
        <f aca="false">IF($A63="","",COUNTIFS(Teachers!$E$5:$E$304,$A63,Teachers!$I$5:$I$304,"Active"))</f>
        <v/>
      </c>
      <c r="I63" s="85" t="str">
        <f aca="false">IF($A63="","",COUNTIF(Classes!$B$5:$B$304,$A63))</f>
        <v/>
      </c>
      <c r="J63" s="85"/>
    </row>
    <row r="64" customFormat="false" ht="19.5" hidden="false" customHeight="true" outlineLevel="0" collapsed="false">
      <c r="A64" s="85" t="str">
        <f aca="false">IF(B64="","","SCH"&amp;TEXT(ROW()-4,"00"))</f>
        <v/>
      </c>
      <c r="B64" s="86"/>
      <c r="C64" s="86"/>
      <c r="D64" s="86"/>
      <c r="E64" s="86"/>
      <c r="F64" s="86"/>
      <c r="G64" s="85" t="str">
        <f aca="false">IF($A64="","",COUNTIFS(Students!$E$5:$E$304,$A64,Students!$K$5:$K$304,"Active"))</f>
        <v/>
      </c>
      <c r="H64" s="85" t="str">
        <f aca="false">IF($A64="","",COUNTIFS(Teachers!$E$5:$E$304,$A64,Teachers!$I$5:$I$304,"Active"))</f>
        <v/>
      </c>
      <c r="I64" s="85" t="str">
        <f aca="false">IF($A64="","",COUNTIF(Classes!$B$5:$B$304,$A64))</f>
        <v/>
      </c>
      <c r="J64" s="85"/>
    </row>
    <row r="65" customFormat="false" ht="19.5" hidden="false" customHeight="true" outlineLevel="0" collapsed="false">
      <c r="A65" s="85" t="str">
        <f aca="false">IF(B65="","","SCH"&amp;TEXT(ROW()-4,"00"))</f>
        <v/>
      </c>
      <c r="B65" s="86"/>
      <c r="C65" s="86"/>
      <c r="D65" s="86"/>
      <c r="E65" s="86"/>
      <c r="F65" s="86"/>
      <c r="G65" s="85" t="str">
        <f aca="false">IF($A65="","",COUNTIFS(Students!$E$5:$E$304,$A65,Students!$K$5:$K$304,"Active"))</f>
        <v/>
      </c>
      <c r="H65" s="85" t="str">
        <f aca="false">IF($A65="","",COUNTIFS(Teachers!$E$5:$E$304,$A65,Teachers!$I$5:$I$304,"Active"))</f>
        <v/>
      </c>
      <c r="I65" s="85" t="str">
        <f aca="false">IF($A65="","",COUNTIF(Classes!$B$5:$B$304,$A65))</f>
        <v/>
      </c>
      <c r="J65" s="85"/>
    </row>
    <row r="66" customFormat="false" ht="19.5" hidden="false" customHeight="true" outlineLevel="0" collapsed="false">
      <c r="A66" s="85" t="str">
        <f aca="false">IF(B66="","","SCH"&amp;TEXT(ROW()-4,"00"))</f>
        <v/>
      </c>
      <c r="B66" s="86"/>
      <c r="C66" s="86"/>
      <c r="D66" s="86"/>
      <c r="E66" s="86"/>
      <c r="F66" s="86"/>
      <c r="G66" s="85" t="str">
        <f aca="false">IF($A66="","",COUNTIFS(Students!$E$5:$E$304,$A66,Students!$K$5:$K$304,"Active"))</f>
        <v/>
      </c>
      <c r="H66" s="85" t="str">
        <f aca="false">IF($A66="","",COUNTIFS(Teachers!$E$5:$E$304,$A66,Teachers!$I$5:$I$304,"Active"))</f>
        <v/>
      </c>
      <c r="I66" s="85" t="str">
        <f aca="false">IF($A66="","",COUNTIF(Classes!$B$5:$B$304,$A66))</f>
        <v/>
      </c>
      <c r="J66" s="85"/>
    </row>
    <row r="67" customFormat="false" ht="19.5" hidden="false" customHeight="true" outlineLevel="0" collapsed="false">
      <c r="A67" s="85" t="str">
        <f aca="false">IF(B67="","","SCH"&amp;TEXT(ROW()-4,"00"))</f>
        <v/>
      </c>
      <c r="B67" s="86"/>
      <c r="C67" s="86"/>
      <c r="D67" s="86"/>
      <c r="E67" s="86"/>
      <c r="F67" s="86"/>
      <c r="G67" s="85" t="str">
        <f aca="false">IF($A67="","",COUNTIFS(Students!$E$5:$E$304,$A67,Students!$K$5:$K$304,"Active"))</f>
        <v/>
      </c>
      <c r="H67" s="85" t="str">
        <f aca="false">IF($A67="","",COUNTIFS(Teachers!$E$5:$E$304,$A67,Teachers!$I$5:$I$304,"Active"))</f>
        <v/>
      </c>
      <c r="I67" s="85" t="str">
        <f aca="false">IF($A67="","",COUNTIF(Classes!$B$5:$B$304,$A67))</f>
        <v/>
      </c>
      <c r="J67" s="85"/>
    </row>
    <row r="68" customFormat="false" ht="19.5" hidden="false" customHeight="true" outlineLevel="0" collapsed="false">
      <c r="A68" s="85" t="str">
        <f aca="false">IF(B68="","","SCH"&amp;TEXT(ROW()-4,"00"))</f>
        <v/>
      </c>
      <c r="B68" s="86"/>
      <c r="C68" s="86"/>
      <c r="D68" s="86"/>
      <c r="E68" s="86"/>
      <c r="F68" s="86"/>
      <c r="G68" s="85" t="str">
        <f aca="false">IF($A68="","",COUNTIFS(Students!$E$5:$E$304,$A68,Students!$K$5:$K$304,"Active"))</f>
        <v/>
      </c>
      <c r="H68" s="85" t="str">
        <f aca="false">IF($A68="","",COUNTIFS(Teachers!$E$5:$E$304,$A68,Teachers!$I$5:$I$304,"Active"))</f>
        <v/>
      </c>
      <c r="I68" s="85" t="str">
        <f aca="false">IF($A68="","",COUNTIF(Classes!$B$5:$B$304,$A68))</f>
        <v/>
      </c>
      <c r="J68" s="85"/>
    </row>
    <row r="69" customFormat="false" ht="19.5" hidden="false" customHeight="true" outlineLevel="0" collapsed="false">
      <c r="A69" s="85" t="str">
        <f aca="false">IF(B69="","","SCH"&amp;TEXT(ROW()-4,"00"))</f>
        <v/>
      </c>
      <c r="B69" s="86"/>
      <c r="C69" s="86"/>
      <c r="D69" s="86"/>
      <c r="E69" s="86"/>
      <c r="F69" s="86"/>
      <c r="G69" s="85" t="str">
        <f aca="false">IF($A69="","",COUNTIFS(Students!$E$5:$E$304,$A69,Students!$K$5:$K$304,"Active"))</f>
        <v/>
      </c>
      <c r="H69" s="85" t="str">
        <f aca="false">IF($A69="","",COUNTIFS(Teachers!$E$5:$E$304,$A69,Teachers!$I$5:$I$304,"Active"))</f>
        <v/>
      </c>
      <c r="I69" s="85" t="str">
        <f aca="false">IF($A69="","",COUNTIF(Classes!$B$5:$B$304,$A69))</f>
        <v/>
      </c>
      <c r="J69" s="85"/>
    </row>
    <row r="70" customFormat="false" ht="19.5" hidden="false" customHeight="true" outlineLevel="0" collapsed="false">
      <c r="A70" s="85" t="str">
        <f aca="false">IF(B70="","","SCH"&amp;TEXT(ROW()-4,"00"))</f>
        <v/>
      </c>
      <c r="B70" s="86"/>
      <c r="C70" s="86"/>
      <c r="D70" s="86"/>
      <c r="E70" s="86"/>
      <c r="F70" s="86"/>
      <c r="G70" s="85" t="str">
        <f aca="false">IF($A70="","",COUNTIFS(Students!$E$5:$E$304,$A70,Students!$K$5:$K$304,"Active"))</f>
        <v/>
      </c>
      <c r="H70" s="85" t="str">
        <f aca="false">IF($A70="","",COUNTIFS(Teachers!$E$5:$E$304,$A70,Teachers!$I$5:$I$304,"Active"))</f>
        <v/>
      </c>
      <c r="I70" s="85" t="str">
        <f aca="false">IF($A70="","",COUNTIF(Classes!$B$5:$B$304,$A70))</f>
        <v/>
      </c>
      <c r="J70" s="85"/>
    </row>
    <row r="71" customFormat="false" ht="19.5" hidden="false" customHeight="true" outlineLevel="0" collapsed="false">
      <c r="A71" s="85" t="str">
        <f aca="false">IF(B71="","","SCH"&amp;TEXT(ROW()-4,"00"))</f>
        <v/>
      </c>
      <c r="B71" s="86"/>
      <c r="C71" s="86"/>
      <c r="D71" s="86"/>
      <c r="E71" s="86"/>
      <c r="F71" s="86"/>
      <c r="G71" s="85" t="str">
        <f aca="false">IF($A71="","",COUNTIFS(Students!$E$5:$E$304,$A71,Students!$K$5:$K$304,"Active"))</f>
        <v/>
      </c>
      <c r="H71" s="85" t="str">
        <f aca="false">IF($A71="","",COUNTIFS(Teachers!$E$5:$E$304,$A71,Teachers!$I$5:$I$304,"Active"))</f>
        <v/>
      </c>
      <c r="I71" s="85" t="str">
        <f aca="false">IF($A71="","",COUNTIF(Classes!$B$5:$B$304,$A71))</f>
        <v/>
      </c>
      <c r="J71" s="85"/>
    </row>
    <row r="72" customFormat="false" ht="19.5" hidden="false" customHeight="true" outlineLevel="0" collapsed="false">
      <c r="A72" s="85" t="str">
        <f aca="false">IF(B72="","","SCH"&amp;TEXT(ROW()-4,"00"))</f>
        <v/>
      </c>
      <c r="B72" s="86"/>
      <c r="C72" s="86"/>
      <c r="D72" s="86"/>
      <c r="E72" s="86"/>
      <c r="F72" s="86"/>
      <c r="G72" s="85" t="str">
        <f aca="false">IF($A72="","",COUNTIFS(Students!$E$5:$E$304,$A72,Students!$K$5:$K$304,"Active"))</f>
        <v/>
      </c>
      <c r="H72" s="85" t="str">
        <f aca="false">IF($A72="","",COUNTIFS(Teachers!$E$5:$E$304,$A72,Teachers!$I$5:$I$304,"Active"))</f>
        <v/>
      </c>
      <c r="I72" s="85" t="str">
        <f aca="false">IF($A72="","",COUNTIF(Classes!$B$5:$B$304,$A72))</f>
        <v/>
      </c>
      <c r="J72" s="85"/>
    </row>
    <row r="73" customFormat="false" ht="19.5" hidden="false" customHeight="true" outlineLevel="0" collapsed="false">
      <c r="A73" s="85" t="str">
        <f aca="false">IF(B73="","","SCH"&amp;TEXT(ROW()-4,"00"))</f>
        <v/>
      </c>
      <c r="B73" s="86"/>
      <c r="C73" s="86"/>
      <c r="D73" s="86"/>
      <c r="E73" s="86"/>
      <c r="F73" s="86"/>
      <c r="G73" s="85" t="str">
        <f aca="false">IF($A73="","",COUNTIFS(Students!$E$5:$E$304,$A73,Students!$K$5:$K$304,"Active"))</f>
        <v/>
      </c>
      <c r="H73" s="85" t="str">
        <f aca="false">IF($A73="","",COUNTIFS(Teachers!$E$5:$E$304,$A73,Teachers!$I$5:$I$304,"Active"))</f>
        <v/>
      </c>
      <c r="I73" s="85" t="str">
        <f aca="false">IF($A73="","",COUNTIF(Classes!$B$5:$B$304,$A73))</f>
        <v/>
      </c>
      <c r="J73" s="85"/>
    </row>
    <row r="74" customFormat="false" ht="19.5" hidden="false" customHeight="true" outlineLevel="0" collapsed="false">
      <c r="A74" s="85" t="str">
        <f aca="false">IF(B74="","","SCH"&amp;TEXT(ROW()-4,"00"))</f>
        <v/>
      </c>
      <c r="B74" s="86"/>
      <c r="C74" s="86"/>
      <c r="D74" s="86"/>
      <c r="E74" s="86"/>
      <c r="F74" s="86"/>
      <c r="G74" s="85" t="str">
        <f aca="false">IF($A74="","",COUNTIFS(Students!$E$5:$E$304,$A74,Students!$K$5:$K$304,"Active"))</f>
        <v/>
      </c>
      <c r="H74" s="85" t="str">
        <f aca="false">IF($A74="","",COUNTIFS(Teachers!$E$5:$E$304,$A74,Teachers!$I$5:$I$304,"Active"))</f>
        <v/>
      </c>
      <c r="I74" s="85" t="str">
        <f aca="false">IF($A74="","",COUNTIF(Classes!$B$5:$B$304,$A74))</f>
        <v/>
      </c>
      <c r="J74" s="85"/>
    </row>
    <row r="75" customFormat="false" ht="19.5" hidden="false" customHeight="true" outlineLevel="0" collapsed="false">
      <c r="A75" s="85" t="str">
        <f aca="false">IF(B75="","","SCH"&amp;TEXT(ROW()-4,"00"))</f>
        <v/>
      </c>
      <c r="B75" s="86"/>
      <c r="C75" s="86"/>
      <c r="D75" s="86"/>
      <c r="E75" s="86"/>
      <c r="F75" s="86"/>
      <c r="G75" s="85" t="str">
        <f aca="false">IF($A75="","",COUNTIFS(Students!$E$5:$E$304,$A75,Students!$K$5:$K$304,"Active"))</f>
        <v/>
      </c>
      <c r="H75" s="85" t="str">
        <f aca="false">IF($A75="","",COUNTIFS(Teachers!$E$5:$E$304,$A75,Teachers!$I$5:$I$304,"Active"))</f>
        <v/>
      </c>
      <c r="I75" s="85" t="str">
        <f aca="false">IF($A75="","",COUNTIF(Classes!$B$5:$B$304,$A75))</f>
        <v/>
      </c>
      <c r="J75" s="85"/>
    </row>
    <row r="76" customFormat="false" ht="19.5" hidden="false" customHeight="true" outlineLevel="0" collapsed="false">
      <c r="A76" s="85" t="str">
        <f aca="false">IF(B76="","","SCH"&amp;TEXT(ROW()-4,"00"))</f>
        <v/>
      </c>
      <c r="B76" s="86"/>
      <c r="C76" s="86"/>
      <c r="D76" s="86"/>
      <c r="E76" s="86"/>
      <c r="F76" s="86"/>
      <c r="G76" s="85" t="str">
        <f aca="false">IF($A76="","",COUNTIFS(Students!$E$5:$E$304,$A76,Students!$K$5:$K$304,"Active"))</f>
        <v/>
      </c>
      <c r="H76" s="85" t="str">
        <f aca="false">IF($A76="","",COUNTIFS(Teachers!$E$5:$E$304,$A76,Teachers!$I$5:$I$304,"Active"))</f>
        <v/>
      </c>
      <c r="I76" s="85" t="str">
        <f aca="false">IF($A76="","",COUNTIF(Classes!$B$5:$B$304,$A76))</f>
        <v/>
      </c>
      <c r="J76" s="85"/>
    </row>
    <row r="77" customFormat="false" ht="19.5" hidden="false" customHeight="true" outlineLevel="0" collapsed="false">
      <c r="A77" s="85" t="str">
        <f aca="false">IF(B77="","","SCH"&amp;TEXT(ROW()-4,"00"))</f>
        <v/>
      </c>
      <c r="B77" s="86"/>
      <c r="C77" s="86"/>
      <c r="D77" s="86"/>
      <c r="E77" s="86"/>
      <c r="F77" s="86"/>
      <c r="G77" s="85" t="str">
        <f aca="false">IF($A77="","",COUNTIFS(Students!$E$5:$E$304,$A77,Students!$K$5:$K$304,"Active"))</f>
        <v/>
      </c>
      <c r="H77" s="85" t="str">
        <f aca="false">IF($A77="","",COUNTIFS(Teachers!$E$5:$E$304,$A77,Teachers!$I$5:$I$304,"Active"))</f>
        <v/>
      </c>
      <c r="I77" s="85" t="str">
        <f aca="false">IF($A77="","",COUNTIF(Classes!$B$5:$B$304,$A77))</f>
        <v/>
      </c>
      <c r="J77" s="85"/>
    </row>
    <row r="78" customFormat="false" ht="19.5" hidden="false" customHeight="true" outlineLevel="0" collapsed="false">
      <c r="A78" s="85" t="str">
        <f aca="false">IF(B78="","","SCH"&amp;TEXT(ROW()-4,"00"))</f>
        <v/>
      </c>
      <c r="B78" s="86"/>
      <c r="C78" s="86"/>
      <c r="D78" s="86"/>
      <c r="E78" s="86"/>
      <c r="F78" s="86"/>
      <c r="G78" s="85" t="str">
        <f aca="false">IF($A78="","",COUNTIFS(Students!$E$5:$E$304,$A78,Students!$K$5:$K$304,"Active"))</f>
        <v/>
      </c>
      <c r="H78" s="85" t="str">
        <f aca="false">IF($A78="","",COUNTIFS(Teachers!$E$5:$E$304,$A78,Teachers!$I$5:$I$304,"Active"))</f>
        <v/>
      </c>
      <c r="I78" s="85" t="str">
        <f aca="false">IF($A78="","",COUNTIF(Classes!$B$5:$B$304,$A78))</f>
        <v/>
      </c>
      <c r="J78" s="85"/>
    </row>
    <row r="79" customFormat="false" ht="19.5" hidden="false" customHeight="true" outlineLevel="0" collapsed="false">
      <c r="A79" s="85" t="str">
        <f aca="false">IF(B79="","","SCH"&amp;TEXT(ROW()-4,"00"))</f>
        <v/>
      </c>
      <c r="B79" s="86"/>
      <c r="C79" s="86"/>
      <c r="D79" s="86"/>
      <c r="E79" s="86"/>
      <c r="F79" s="86"/>
      <c r="G79" s="85" t="str">
        <f aca="false">IF($A79="","",COUNTIFS(Students!$E$5:$E$304,$A79,Students!$K$5:$K$304,"Active"))</f>
        <v/>
      </c>
      <c r="H79" s="85" t="str">
        <f aca="false">IF($A79="","",COUNTIFS(Teachers!$E$5:$E$304,$A79,Teachers!$I$5:$I$304,"Active"))</f>
        <v/>
      </c>
      <c r="I79" s="85" t="str">
        <f aca="false">IF($A79="","",COUNTIF(Classes!$B$5:$B$304,$A79))</f>
        <v/>
      </c>
      <c r="J79" s="85"/>
    </row>
    <row r="80" customFormat="false" ht="19.5" hidden="false" customHeight="true" outlineLevel="0" collapsed="false">
      <c r="A80" s="85" t="str">
        <f aca="false">IF(B80="","","SCH"&amp;TEXT(ROW()-4,"00"))</f>
        <v/>
      </c>
      <c r="B80" s="86"/>
      <c r="C80" s="86"/>
      <c r="D80" s="86"/>
      <c r="E80" s="86"/>
      <c r="F80" s="86"/>
      <c r="G80" s="85" t="str">
        <f aca="false">IF($A80="","",COUNTIFS(Students!$E$5:$E$304,$A80,Students!$K$5:$K$304,"Active"))</f>
        <v/>
      </c>
      <c r="H80" s="85" t="str">
        <f aca="false">IF($A80="","",COUNTIFS(Teachers!$E$5:$E$304,$A80,Teachers!$I$5:$I$304,"Active"))</f>
        <v/>
      </c>
      <c r="I80" s="85" t="str">
        <f aca="false">IF($A80="","",COUNTIF(Classes!$B$5:$B$304,$A80))</f>
        <v/>
      </c>
      <c r="J80" s="85"/>
    </row>
    <row r="81" customFormat="false" ht="19.5" hidden="false" customHeight="true" outlineLevel="0" collapsed="false">
      <c r="A81" s="85" t="str">
        <f aca="false">IF(B81="","","SCH"&amp;TEXT(ROW()-4,"00"))</f>
        <v/>
      </c>
      <c r="B81" s="86"/>
      <c r="C81" s="86"/>
      <c r="D81" s="86"/>
      <c r="E81" s="86"/>
      <c r="F81" s="86"/>
      <c r="G81" s="85" t="str">
        <f aca="false">IF($A81="","",COUNTIFS(Students!$E$5:$E$304,$A81,Students!$K$5:$K$304,"Active"))</f>
        <v/>
      </c>
      <c r="H81" s="85" t="str">
        <f aca="false">IF($A81="","",COUNTIFS(Teachers!$E$5:$E$304,$A81,Teachers!$I$5:$I$304,"Active"))</f>
        <v/>
      </c>
      <c r="I81" s="85" t="str">
        <f aca="false">IF($A81="","",COUNTIF(Classes!$B$5:$B$304,$A81))</f>
        <v/>
      </c>
      <c r="J81" s="85"/>
    </row>
    <row r="82" customFormat="false" ht="19.5" hidden="false" customHeight="true" outlineLevel="0" collapsed="false">
      <c r="A82" s="85" t="str">
        <f aca="false">IF(B82="","","SCH"&amp;TEXT(ROW()-4,"00"))</f>
        <v/>
      </c>
      <c r="B82" s="86"/>
      <c r="C82" s="86"/>
      <c r="D82" s="86"/>
      <c r="E82" s="86"/>
      <c r="F82" s="86"/>
      <c r="G82" s="85" t="str">
        <f aca="false">IF($A82="","",COUNTIFS(Students!$E$5:$E$304,$A82,Students!$K$5:$K$304,"Active"))</f>
        <v/>
      </c>
      <c r="H82" s="85" t="str">
        <f aca="false">IF($A82="","",COUNTIFS(Teachers!$E$5:$E$304,$A82,Teachers!$I$5:$I$304,"Active"))</f>
        <v/>
      </c>
      <c r="I82" s="85" t="str">
        <f aca="false">IF($A82="","",COUNTIF(Classes!$B$5:$B$304,$A82))</f>
        <v/>
      </c>
      <c r="J82" s="85"/>
    </row>
    <row r="83" customFormat="false" ht="19.5" hidden="false" customHeight="true" outlineLevel="0" collapsed="false">
      <c r="A83" s="85" t="str">
        <f aca="false">IF(B83="","","SCH"&amp;TEXT(ROW()-4,"00"))</f>
        <v/>
      </c>
      <c r="B83" s="86"/>
      <c r="C83" s="86"/>
      <c r="D83" s="86"/>
      <c r="E83" s="86"/>
      <c r="F83" s="86"/>
      <c r="G83" s="85" t="str">
        <f aca="false">IF($A83="","",COUNTIFS(Students!$E$5:$E$304,$A83,Students!$K$5:$K$304,"Active"))</f>
        <v/>
      </c>
      <c r="H83" s="85" t="str">
        <f aca="false">IF($A83="","",COUNTIFS(Teachers!$E$5:$E$304,$A83,Teachers!$I$5:$I$304,"Active"))</f>
        <v/>
      </c>
      <c r="I83" s="85" t="str">
        <f aca="false">IF($A83="","",COUNTIF(Classes!$B$5:$B$304,$A83))</f>
        <v/>
      </c>
      <c r="J83" s="85"/>
    </row>
    <row r="84" customFormat="false" ht="19.5" hidden="false" customHeight="true" outlineLevel="0" collapsed="false">
      <c r="A84" s="85" t="str">
        <f aca="false">IF(B84="","","SCH"&amp;TEXT(ROW()-4,"00"))</f>
        <v/>
      </c>
      <c r="B84" s="86"/>
      <c r="C84" s="86"/>
      <c r="D84" s="86"/>
      <c r="E84" s="86"/>
      <c r="F84" s="86"/>
      <c r="G84" s="85" t="str">
        <f aca="false">IF($A84="","",COUNTIFS(Students!$E$5:$E$304,$A84,Students!$K$5:$K$304,"Active"))</f>
        <v/>
      </c>
      <c r="H84" s="85" t="str">
        <f aca="false">IF($A84="","",COUNTIFS(Teachers!$E$5:$E$304,$A84,Teachers!$I$5:$I$304,"Active"))</f>
        <v/>
      </c>
      <c r="I84" s="85" t="str">
        <f aca="false">IF($A84="","",COUNTIF(Classes!$B$5:$B$304,$A84))</f>
        <v/>
      </c>
      <c r="J84" s="85"/>
    </row>
    <row r="85" customFormat="false" ht="19.5" hidden="false" customHeight="true" outlineLevel="0" collapsed="false">
      <c r="A85" s="85" t="str">
        <f aca="false">IF(B85="","","SCH"&amp;TEXT(ROW()-4,"00"))</f>
        <v/>
      </c>
      <c r="B85" s="86"/>
      <c r="C85" s="86"/>
      <c r="D85" s="86"/>
      <c r="E85" s="86"/>
      <c r="F85" s="86"/>
      <c r="G85" s="85" t="str">
        <f aca="false">IF($A85="","",COUNTIFS(Students!$E$5:$E$304,$A85,Students!$K$5:$K$304,"Active"))</f>
        <v/>
      </c>
      <c r="H85" s="85" t="str">
        <f aca="false">IF($A85="","",COUNTIFS(Teachers!$E$5:$E$304,$A85,Teachers!$I$5:$I$304,"Active"))</f>
        <v/>
      </c>
      <c r="I85" s="85" t="str">
        <f aca="false">IF($A85="","",COUNTIF(Classes!$B$5:$B$304,$A85))</f>
        <v/>
      </c>
      <c r="J85" s="85"/>
    </row>
    <row r="86" customFormat="false" ht="19.5" hidden="false" customHeight="true" outlineLevel="0" collapsed="false">
      <c r="A86" s="85" t="str">
        <f aca="false">IF(B86="","","SCH"&amp;TEXT(ROW()-4,"00"))</f>
        <v/>
      </c>
      <c r="B86" s="86"/>
      <c r="C86" s="86"/>
      <c r="D86" s="86"/>
      <c r="E86" s="86"/>
      <c r="F86" s="86"/>
      <c r="G86" s="85" t="str">
        <f aca="false">IF($A86="","",COUNTIFS(Students!$E$5:$E$304,$A86,Students!$K$5:$K$304,"Active"))</f>
        <v/>
      </c>
      <c r="H86" s="85" t="str">
        <f aca="false">IF($A86="","",COUNTIFS(Teachers!$E$5:$E$304,$A86,Teachers!$I$5:$I$304,"Active"))</f>
        <v/>
      </c>
      <c r="I86" s="85" t="str">
        <f aca="false">IF($A86="","",COUNTIF(Classes!$B$5:$B$304,$A86))</f>
        <v/>
      </c>
      <c r="J86" s="85"/>
    </row>
    <row r="87" customFormat="false" ht="19.5" hidden="false" customHeight="true" outlineLevel="0" collapsed="false">
      <c r="A87" s="85" t="str">
        <f aca="false">IF(B87="","","SCH"&amp;TEXT(ROW()-4,"00"))</f>
        <v/>
      </c>
      <c r="B87" s="86"/>
      <c r="C87" s="86"/>
      <c r="D87" s="86"/>
      <c r="E87" s="86"/>
      <c r="F87" s="86"/>
      <c r="G87" s="85" t="str">
        <f aca="false">IF($A87="","",COUNTIFS(Students!$E$5:$E$304,$A87,Students!$K$5:$K$304,"Active"))</f>
        <v/>
      </c>
      <c r="H87" s="85" t="str">
        <f aca="false">IF($A87="","",COUNTIFS(Teachers!$E$5:$E$304,$A87,Teachers!$I$5:$I$304,"Active"))</f>
        <v/>
      </c>
      <c r="I87" s="85" t="str">
        <f aca="false">IF($A87="","",COUNTIF(Classes!$B$5:$B$304,$A87))</f>
        <v/>
      </c>
      <c r="J87" s="85"/>
    </row>
    <row r="88" customFormat="false" ht="19.5" hidden="false" customHeight="true" outlineLevel="0" collapsed="false">
      <c r="A88" s="85" t="str">
        <f aca="false">IF(B88="","","SCH"&amp;TEXT(ROW()-4,"00"))</f>
        <v/>
      </c>
      <c r="B88" s="86"/>
      <c r="C88" s="86"/>
      <c r="D88" s="86"/>
      <c r="E88" s="86"/>
      <c r="F88" s="86"/>
      <c r="G88" s="85" t="str">
        <f aca="false">IF($A88="","",COUNTIFS(Students!$E$5:$E$304,$A88,Students!$K$5:$K$304,"Active"))</f>
        <v/>
      </c>
      <c r="H88" s="85" t="str">
        <f aca="false">IF($A88="","",COUNTIFS(Teachers!$E$5:$E$304,$A88,Teachers!$I$5:$I$304,"Active"))</f>
        <v/>
      </c>
      <c r="I88" s="85" t="str">
        <f aca="false">IF($A88="","",COUNTIF(Classes!$B$5:$B$304,$A88))</f>
        <v/>
      </c>
      <c r="J88" s="85"/>
    </row>
    <row r="89" customFormat="false" ht="19.5" hidden="false" customHeight="true" outlineLevel="0" collapsed="false">
      <c r="A89" s="85" t="str">
        <f aca="false">IF(B89="","","SCH"&amp;TEXT(ROW()-4,"00"))</f>
        <v/>
      </c>
      <c r="B89" s="86"/>
      <c r="C89" s="86"/>
      <c r="D89" s="86"/>
      <c r="E89" s="86"/>
      <c r="F89" s="86"/>
      <c r="G89" s="85" t="str">
        <f aca="false">IF($A89="","",COUNTIFS(Students!$E$5:$E$304,$A89,Students!$K$5:$K$304,"Active"))</f>
        <v/>
      </c>
      <c r="H89" s="85" t="str">
        <f aca="false">IF($A89="","",COUNTIFS(Teachers!$E$5:$E$304,$A89,Teachers!$I$5:$I$304,"Active"))</f>
        <v/>
      </c>
      <c r="I89" s="85" t="str">
        <f aca="false">IF($A89="","",COUNTIF(Classes!$B$5:$B$304,$A89))</f>
        <v/>
      </c>
      <c r="J89" s="85"/>
    </row>
    <row r="90" customFormat="false" ht="19.5" hidden="false" customHeight="true" outlineLevel="0" collapsed="false">
      <c r="A90" s="85" t="str">
        <f aca="false">IF(B90="","","SCH"&amp;TEXT(ROW()-4,"00"))</f>
        <v/>
      </c>
      <c r="B90" s="86"/>
      <c r="C90" s="86"/>
      <c r="D90" s="86"/>
      <c r="E90" s="86"/>
      <c r="F90" s="86"/>
      <c r="G90" s="85" t="str">
        <f aca="false">IF($A90="","",COUNTIFS(Students!$E$5:$E$304,$A90,Students!$K$5:$K$304,"Active"))</f>
        <v/>
      </c>
      <c r="H90" s="85" t="str">
        <f aca="false">IF($A90="","",COUNTIFS(Teachers!$E$5:$E$304,$A90,Teachers!$I$5:$I$304,"Active"))</f>
        <v/>
      </c>
      <c r="I90" s="85" t="str">
        <f aca="false">IF($A90="","",COUNTIF(Classes!$B$5:$B$304,$A90))</f>
        <v/>
      </c>
      <c r="J90" s="85"/>
    </row>
    <row r="91" customFormat="false" ht="19.5" hidden="false" customHeight="true" outlineLevel="0" collapsed="false">
      <c r="A91" s="85" t="str">
        <f aca="false">IF(B91="","","SCH"&amp;TEXT(ROW()-4,"00"))</f>
        <v/>
      </c>
      <c r="B91" s="86"/>
      <c r="C91" s="86"/>
      <c r="D91" s="86"/>
      <c r="E91" s="86"/>
      <c r="F91" s="86"/>
      <c r="G91" s="85" t="str">
        <f aca="false">IF($A91="","",COUNTIFS(Students!$E$5:$E$304,$A91,Students!$K$5:$K$304,"Active"))</f>
        <v/>
      </c>
      <c r="H91" s="85" t="str">
        <f aca="false">IF($A91="","",COUNTIFS(Teachers!$E$5:$E$304,$A91,Teachers!$I$5:$I$304,"Active"))</f>
        <v/>
      </c>
      <c r="I91" s="85" t="str">
        <f aca="false">IF($A91="","",COUNTIF(Classes!$B$5:$B$304,$A91))</f>
        <v/>
      </c>
      <c r="J91" s="85"/>
    </row>
    <row r="92" customFormat="false" ht="19.5" hidden="false" customHeight="true" outlineLevel="0" collapsed="false">
      <c r="A92" s="85" t="str">
        <f aca="false">IF(B92="","","SCH"&amp;TEXT(ROW()-4,"00"))</f>
        <v/>
      </c>
      <c r="B92" s="86"/>
      <c r="C92" s="86"/>
      <c r="D92" s="86"/>
      <c r="E92" s="86"/>
      <c r="F92" s="86"/>
      <c r="G92" s="85" t="str">
        <f aca="false">IF($A92="","",COUNTIFS(Students!$E$5:$E$304,$A92,Students!$K$5:$K$304,"Active"))</f>
        <v/>
      </c>
      <c r="H92" s="85" t="str">
        <f aca="false">IF($A92="","",COUNTIFS(Teachers!$E$5:$E$304,$A92,Teachers!$I$5:$I$304,"Active"))</f>
        <v/>
      </c>
      <c r="I92" s="85" t="str">
        <f aca="false">IF($A92="","",COUNTIF(Classes!$B$5:$B$304,$A92))</f>
        <v/>
      </c>
      <c r="J92" s="85"/>
    </row>
    <row r="93" customFormat="false" ht="19.5" hidden="false" customHeight="true" outlineLevel="0" collapsed="false">
      <c r="A93" s="85" t="str">
        <f aca="false">IF(B93="","","SCH"&amp;TEXT(ROW()-4,"00"))</f>
        <v/>
      </c>
      <c r="B93" s="86"/>
      <c r="C93" s="86"/>
      <c r="D93" s="86"/>
      <c r="E93" s="86"/>
      <c r="F93" s="86"/>
      <c r="G93" s="85" t="str">
        <f aca="false">IF($A93="","",COUNTIFS(Students!$E$5:$E$304,$A93,Students!$K$5:$K$304,"Active"))</f>
        <v/>
      </c>
      <c r="H93" s="85" t="str">
        <f aca="false">IF($A93="","",COUNTIFS(Teachers!$E$5:$E$304,$A93,Teachers!$I$5:$I$304,"Active"))</f>
        <v/>
      </c>
      <c r="I93" s="85" t="str">
        <f aca="false">IF($A93="","",COUNTIF(Classes!$B$5:$B$304,$A93))</f>
        <v/>
      </c>
      <c r="J93" s="85"/>
    </row>
    <row r="94" customFormat="false" ht="19.5" hidden="false" customHeight="true" outlineLevel="0" collapsed="false">
      <c r="A94" s="85" t="str">
        <f aca="false">IF(B94="","","SCH"&amp;TEXT(ROW()-4,"00"))</f>
        <v/>
      </c>
      <c r="B94" s="86"/>
      <c r="C94" s="86"/>
      <c r="D94" s="86"/>
      <c r="E94" s="86"/>
      <c r="F94" s="86"/>
      <c r="G94" s="85" t="str">
        <f aca="false">IF($A94="","",COUNTIFS(Students!$E$5:$E$304,$A94,Students!$K$5:$K$304,"Active"))</f>
        <v/>
      </c>
      <c r="H94" s="85" t="str">
        <f aca="false">IF($A94="","",COUNTIFS(Teachers!$E$5:$E$304,$A94,Teachers!$I$5:$I$304,"Active"))</f>
        <v/>
      </c>
      <c r="I94" s="85" t="str">
        <f aca="false">IF($A94="","",COUNTIF(Classes!$B$5:$B$304,$A94))</f>
        <v/>
      </c>
      <c r="J94" s="85"/>
    </row>
    <row r="95" customFormat="false" ht="19.5" hidden="false" customHeight="true" outlineLevel="0" collapsed="false">
      <c r="A95" s="85" t="str">
        <f aca="false">IF(B95="","","SCH"&amp;TEXT(ROW()-4,"00"))</f>
        <v/>
      </c>
      <c r="B95" s="86"/>
      <c r="C95" s="86"/>
      <c r="D95" s="86"/>
      <c r="E95" s="86"/>
      <c r="F95" s="86"/>
      <c r="G95" s="85" t="str">
        <f aca="false">IF($A95="","",COUNTIFS(Students!$E$5:$E$304,$A95,Students!$K$5:$K$304,"Active"))</f>
        <v/>
      </c>
      <c r="H95" s="85" t="str">
        <f aca="false">IF($A95="","",COUNTIFS(Teachers!$E$5:$E$304,$A95,Teachers!$I$5:$I$304,"Active"))</f>
        <v/>
      </c>
      <c r="I95" s="85" t="str">
        <f aca="false">IF($A95="","",COUNTIF(Classes!$B$5:$B$304,$A95))</f>
        <v/>
      </c>
      <c r="J95" s="85"/>
    </row>
    <row r="96" customFormat="false" ht="19.5" hidden="false" customHeight="true" outlineLevel="0" collapsed="false">
      <c r="A96" s="85" t="str">
        <f aca="false">IF(B96="","","SCH"&amp;TEXT(ROW()-4,"00"))</f>
        <v/>
      </c>
      <c r="B96" s="86"/>
      <c r="C96" s="86"/>
      <c r="D96" s="86"/>
      <c r="E96" s="86"/>
      <c r="F96" s="86"/>
      <c r="G96" s="85" t="str">
        <f aca="false">IF($A96="","",COUNTIFS(Students!$E$5:$E$304,$A96,Students!$K$5:$K$304,"Active"))</f>
        <v/>
      </c>
      <c r="H96" s="85" t="str">
        <f aca="false">IF($A96="","",COUNTIFS(Teachers!$E$5:$E$304,$A96,Teachers!$I$5:$I$304,"Active"))</f>
        <v/>
      </c>
      <c r="I96" s="85" t="str">
        <f aca="false">IF($A96="","",COUNTIF(Classes!$B$5:$B$304,$A96))</f>
        <v/>
      </c>
      <c r="J96" s="85"/>
    </row>
    <row r="97" customFormat="false" ht="19.5" hidden="false" customHeight="true" outlineLevel="0" collapsed="false">
      <c r="A97" s="85" t="str">
        <f aca="false">IF(B97="","","SCH"&amp;TEXT(ROW()-4,"00"))</f>
        <v/>
      </c>
      <c r="B97" s="86"/>
      <c r="C97" s="86"/>
      <c r="D97" s="86"/>
      <c r="E97" s="86"/>
      <c r="F97" s="86"/>
      <c r="G97" s="85" t="str">
        <f aca="false">IF($A97="","",COUNTIFS(Students!$E$5:$E$304,$A97,Students!$K$5:$K$304,"Active"))</f>
        <v/>
      </c>
      <c r="H97" s="85" t="str">
        <f aca="false">IF($A97="","",COUNTIFS(Teachers!$E$5:$E$304,$A97,Teachers!$I$5:$I$304,"Active"))</f>
        <v/>
      </c>
      <c r="I97" s="85" t="str">
        <f aca="false">IF($A97="","",COUNTIF(Classes!$B$5:$B$304,$A97))</f>
        <v/>
      </c>
      <c r="J97" s="85"/>
    </row>
    <row r="98" customFormat="false" ht="19.5" hidden="false" customHeight="true" outlineLevel="0" collapsed="false">
      <c r="A98" s="85" t="str">
        <f aca="false">IF(B98="","","SCH"&amp;TEXT(ROW()-4,"00"))</f>
        <v/>
      </c>
      <c r="B98" s="86"/>
      <c r="C98" s="86"/>
      <c r="D98" s="86"/>
      <c r="E98" s="86"/>
      <c r="F98" s="86"/>
      <c r="G98" s="85" t="str">
        <f aca="false">IF($A98="","",COUNTIFS(Students!$E$5:$E$304,$A98,Students!$K$5:$K$304,"Active"))</f>
        <v/>
      </c>
      <c r="H98" s="85" t="str">
        <f aca="false">IF($A98="","",COUNTIFS(Teachers!$E$5:$E$304,$A98,Teachers!$I$5:$I$304,"Active"))</f>
        <v/>
      </c>
      <c r="I98" s="85" t="str">
        <f aca="false">IF($A98="","",COUNTIF(Classes!$B$5:$B$304,$A98))</f>
        <v/>
      </c>
      <c r="J98" s="85"/>
    </row>
    <row r="99" customFormat="false" ht="19.5" hidden="false" customHeight="true" outlineLevel="0" collapsed="false">
      <c r="A99" s="85" t="str">
        <f aca="false">IF(B99="","","SCH"&amp;TEXT(ROW()-4,"00"))</f>
        <v/>
      </c>
      <c r="B99" s="86"/>
      <c r="C99" s="86"/>
      <c r="D99" s="86"/>
      <c r="E99" s="86"/>
      <c r="F99" s="86"/>
      <c r="G99" s="85" t="str">
        <f aca="false">IF($A99="","",COUNTIFS(Students!$E$5:$E$304,$A99,Students!$K$5:$K$304,"Active"))</f>
        <v/>
      </c>
      <c r="H99" s="85" t="str">
        <f aca="false">IF($A99="","",COUNTIFS(Teachers!$E$5:$E$304,$A99,Teachers!$I$5:$I$304,"Active"))</f>
        <v/>
      </c>
      <c r="I99" s="85" t="str">
        <f aca="false">IF($A99="","",COUNTIF(Classes!$B$5:$B$304,$A99))</f>
        <v/>
      </c>
      <c r="J99" s="85"/>
    </row>
    <row r="100" customFormat="false" ht="19.5" hidden="false" customHeight="true" outlineLevel="0" collapsed="false">
      <c r="A100" s="85" t="str">
        <f aca="false">IF(B100="","","SCH"&amp;TEXT(ROW()-4,"00"))</f>
        <v/>
      </c>
      <c r="B100" s="86"/>
      <c r="C100" s="86"/>
      <c r="D100" s="86"/>
      <c r="E100" s="86"/>
      <c r="F100" s="86"/>
      <c r="G100" s="85" t="str">
        <f aca="false">IF($A100="","",COUNTIFS(Students!$E$5:$E$304,$A100,Students!$K$5:$K$304,"Active"))</f>
        <v/>
      </c>
      <c r="H100" s="85" t="str">
        <f aca="false">IF($A100="","",COUNTIFS(Teachers!$E$5:$E$304,$A100,Teachers!$I$5:$I$304,"Active"))</f>
        <v/>
      </c>
      <c r="I100" s="85" t="str">
        <f aca="false">IF($A100="","",COUNTIF(Classes!$B$5:$B$304,$A100))</f>
        <v/>
      </c>
      <c r="J100" s="85"/>
    </row>
    <row r="101" customFormat="false" ht="19.5" hidden="false" customHeight="true" outlineLevel="0" collapsed="false">
      <c r="A101" s="85" t="str">
        <f aca="false">IF(B101="","","SCH"&amp;TEXT(ROW()-4,"00"))</f>
        <v/>
      </c>
      <c r="B101" s="86"/>
      <c r="C101" s="86"/>
      <c r="D101" s="86"/>
      <c r="E101" s="86"/>
      <c r="F101" s="86"/>
      <c r="G101" s="85" t="str">
        <f aca="false">IF($A101="","",COUNTIFS(Students!$E$5:$E$304,$A101,Students!$K$5:$K$304,"Active"))</f>
        <v/>
      </c>
      <c r="H101" s="85" t="str">
        <f aca="false">IF($A101="","",COUNTIFS(Teachers!$E$5:$E$304,$A101,Teachers!$I$5:$I$304,"Active"))</f>
        <v/>
      </c>
      <c r="I101" s="85" t="str">
        <f aca="false">IF($A101="","",COUNTIF(Classes!$B$5:$B$304,$A101))</f>
        <v/>
      </c>
      <c r="J101" s="85"/>
    </row>
    <row r="102" customFormat="false" ht="19.5" hidden="false" customHeight="true" outlineLevel="0" collapsed="false">
      <c r="A102" s="85" t="str">
        <f aca="false">IF(B102="","","SCH"&amp;TEXT(ROW()-4,"00"))</f>
        <v/>
      </c>
      <c r="B102" s="86"/>
      <c r="C102" s="86"/>
      <c r="D102" s="86"/>
      <c r="E102" s="86"/>
      <c r="F102" s="86"/>
      <c r="G102" s="85" t="str">
        <f aca="false">IF($A102="","",COUNTIFS(Students!$E$5:$E$304,$A102,Students!$K$5:$K$304,"Active"))</f>
        <v/>
      </c>
      <c r="H102" s="85" t="str">
        <f aca="false">IF($A102="","",COUNTIFS(Teachers!$E$5:$E$304,$A102,Teachers!$I$5:$I$304,"Active"))</f>
        <v/>
      </c>
      <c r="I102" s="85" t="str">
        <f aca="false">IF($A102="","",COUNTIF(Classes!$B$5:$B$304,$A102))</f>
        <v/>
      </c>
      <c r="J102" s="85"/>
    </row>
    <row r="103" customFormat="false" ht="19.5" hidden="false" customHeight="true" outlineLevel="0" collapsed="false">
      <c r="A103" s="85" t="str">
        <f aca="false">IF(B103="","","SCH"&amp;TEXT(ROW()-4,"00"))</f>
        <v/>
      </c>
      <c r="B103" s="86"/>
      <c r="C103" s="86"/>
      <c r="D103" s="86"/>
      <c r="E103" s="86"/>
      <c r="F103" s="86"/>
      <c r="G103" s="85" t="str">
        <f aca="false">IF($A103="","",COUNTIFS(Students!$E$5:$E$304,$A103,Students!$K$5:$K$304,"Active"))</f>
        <v/>
      </c>
      <c r="H103" s="85" t="str">
        <f aca="false">IF($A103="","",COUNTIFS(Teachers!$E$5:$E$304,$A103,Teachers!$I$5:$I$304,"Active"))</f>
        <v/>
      </c>
      <c r="I103" s="85" t="str">
        <f aca="false">IF($A103="","",COUNTIF(Classes!$B$5:$B$304,$A103))</f>
        <v/>
      </c>
      <c r="J103" s="85"/>
    </row>
    <row r="104" customFormat="false" ht="19.5" hidden="false" customHeight="true" outlineLevel="0" collapsed="false">
      <c r="A104" s="85" t="str">
        <f aca="false">IF(B104="","","SCH"&amp;TEXT(ROW()-4,"00"))</f>
        <v/>
      </c>
      <c r="B104" s="86"/>
      <c r="C104" s="86"/>
      <c r="D104" s="86"/>
      <c r="E104" s="86"/>
      <c r="F104" s="86"/>
      <c r="G104" s="85" t="str">
        <f aca="false">IF($A104="","",COUNTIFS(Students!$E$5:$E$304,$A104,Students!$K$5:$K$304,"Active"))</f>
        <v/>
      </c>
      <c r="H104" s="85" t="str">
        <f aca="false">IF($A104="","",COUNTIFS(Teachers!$E$5:$E$304,$A104,Teachers!$I$5:$I$304,"Active"))</f>
        <v/>
      </c>
      <c r="I104" s="85" t="str">
        <f aca="false">IF($A104="","",COUNTIF(Classes!$B$5:$B$304,$A104))</f>
        <v/>
      </c>
      <c r="J104" s="85"/>
    </row>
    <row r="105" customFormat="false" ht="19.5" hidden="false" customHeight="true" outlineLevel="0" collapsed="false">
      <c r="A105" s="85" t="str">
        <f aca="false">IF(B105="","","SCH"&amp;TEXT(ROW()-4,"00"))</f>
        <v/>
      </c>
      <c r="B105" s="86"/>
      <c r="C105" s="86"/>
      <c r="D105" s="86"/>
      <c r="E105" s="86"/>
      <c r="F105" s="86"/>
      <c r="G105" s="85" t="str">
        <f aca="false">IF($A105="","",COUNTIFS(Students!$E$5:$E$304,$A105,Students!$K$5:$K$304,"Active"))</f>
        <v/>
      </c>
      <c r="H105" s="85" t="str">
        <f aca="false">IF($A105="","",COUNTIFS(Teachers!$E$5:$E$304,$A105,Teachers!$I$5:$I$304,"Active"))</f>
        <v/>
      </c>
      <c r="I105" s="85" t="str">
        <f aca="false">IF($A105="","",COUNTIF(Classes!$B$5:$B$304,$A105))</f>
        <v/>
      </c>
      <c r="J105" s="85"/>
    </row>
    <row r="106" customFormat="false" ht="19.5" hidden="false" customHeight="true" outlineLevel="0" collapsed="false">
      <c r="A106" s="85" t="str">
        <f aca="false">IF(B106="","","SCH"&amp;TEXT(ROW()-4,"00"))</f>
        <v/>
      </c>
      <c r="B106" s="86"/>
      <c r="C106" s="86"/>
      <c r="D106" s="86"/>
      <c r="E106" s="86"/>
      <c r="F106" s="86"/>
      <c r="G106" s="85" t="str">
        <f aca="false">IF($A106="","",COUNTIFS(Students!$E$5:$E$304,$A106,Students!$K$5:$K$304,"Active"))</f>
        <v/>
      </c>
      <c r="H106" s="85" t="str">
        <f aca="false">IF($A106="","",COUNTIFS(Teachers!$E$5:$E$304,$A106,Teachers!$I$5:$I$304,"Active"))</f>
        <v/>
      </c>
      <c r="I106" s="85" t="str">
        <f aca="false">IF($A106="","",COUNTIF(Classes!$B$5:$B$304,$A106))</f>
        <v/>
      </c>
      <c r="J106" s="85"/>
    </row>
    <row r="107" customFormat="false" ht="19.5" hidden="false" customHeight="true" outlineLevel="0" collapsed="false">
      <c r="A107" s="85" t="str">
        <f aca="false">IF(B107="","","SCH"&amp;TEXT(ROW()-4,"00"))</f>
        <v/>
      </c>
      <c r="B107" s="86"/>
      <c r="C107" s="86"/>
      <c r="D107" s="86"/>
      <c r="E107" s="86"/>
      <c r="F107" s="86"/>
      <c r="G107" s="85" t="str">
        <f aca="false">IF($A107="","",COUNTIFS(Students!$E$5:$E$304,$A107,Students!$K$5:$K$304,"Active"))</f>
        <v/>
      </c>
      <c r="H107" s="85" t="str">
        <f aca="false">IF($A107="","",COUNTIFS(Teachers!$E$5:$E$304,$A107,Teachers!$I$5:$I$304,"Active"))</f>
        <v/>
      </c>
      <c r="I107" s="85" t="str">
        <f aca="false">IF($A107="","",COUNTIF(Classes!$B$5:$B$304,$A107))</f>
        <v/>
      </c>
      <c r="J107" s="85"/>
    </row>
    <row r="108" customFormat="false" ht="19.5" hidden="false" customHeight="true" outlineLevel="0" collapsed="false">
      <c r="A108" s="85" t="str">
        <f aca="false">IF(B108="","","SCH"&amp;TEXT(ROW()-4,"00"))</f>
        <v/>
      </c>
      <c r="B108" s="86"/>
      <c r="C108" s="86"/>
      <c r="D108" s="86"/>
      <c r="E108" s="86"/>
      <c r="F108" s="86"/>
      <c r="G108" s="85" t="str">
        <f aca="false">IF($A108="","",COUNTIFS(Students!$E$5:$E$304,$A108,Students!$K$5:$K$304,"Active"))</f>
        <v/>
      </c>
      <c r="H108" s="85" t="str">
        <f aca="false">IF($A108="","",COUNTIFS(Teachers!$E$5:$E$304,$A108,Teachers!$I$5:$I$304,"Active"))</f>
        <v/>
      </c>
      <c r="I108" s="85" t="str">
        <f aca="false">IF($A108="","",COUNTIF(Classes!$B$5:$B$304,$A108))</f>
        <v/>
      </c>
      <c r="J108" s="85"/>
    </row>
    <row r="109" customFormat="false" ht="19.5" hidden="false" customHeight="true" outlineLevel="0" collapsed="false">
      <c r="A109" s="85" t="str">
        <f aca="false">IF(B109="","","SCH"&amp;TEXT(ROW()-4,"00"))</f>
        <v/>
      </c>
      <c r="B109" s="86"/>
      <c r="C109" s="86"/>
      <c r="D109" s="86"/>
      <c r="E109" s="86"/>
      <c r="F109" s="86"/>
      <c r="G109" s="85" t="str">
        <f aca="false">IF($A109="","",COUNTIFS(Students!$E$5:$E$304,$A109,Students!$K$5:$K$304,"Active"))</f>
        <v/>
      </c>
      <c r="H109" s="85" t="str">
        <f aca="false">IF($A109="","",COUNTIFS(Teachers!$E$5:$E$304,$A109,Teachers!$I$5:$I$304,"Active"))</f>
        <v/>
      </c>
      <c r="I109" s="85" t="str">
        <f aca="false">IF($A109="","",COUNTIF(Classes!$B$5:$B$304,$A109))</f>
        <v/>
      </c>
      <c r="J109" s="85"/>
    </row>
    <row r="110" customFormat="false" ht="19.5" hidden="false" customHeight="true" outlineLevel="0" collapsed="false">
      <c r="A110" s="85" t="str">
        <f aca="false">IF(B110="","","SCH"&amp;TEXT(ROW()-4,"00"))</f>
        <v/>
      </c>
      <c r="B110" s="86"/>
      <c r="C110" s="86"/>
      <c r="D110" s="86"/>
      <c r="E110" s="86"/>
      <c r="F110" s="86"/>
      <c r="G110" s="85" t="str">
        <f aca="false">IF($A110="","",COUNTIFS(Students!$E$5:$E$304,$A110,Students!$K$5:$K$304,"Active"))</f>
        <v/>
      </c>
      <c r="H110" s="85" t="str">
        <f aca="false">IF($A110="","",COUNTIFS(Teachers!$E$5:$E$304,$A110,Teachers!$I$5:$I$304,"Active"))</f>
        <v/>
      </c>
      <c r="I110" s="85" t="str">
        <f aca="false">IF($A110="","",COUNTIF(Classes!$B$5:$B$304,$A110))</f>
        <v/>
      </c>
      <c r="J110" s="85"/>
    </row>
    <row r="111" customFormat="false" ht="19.5" hidden="false" customHeight="true" outlineLevel="0" collapsed="false">
      <c r="A111" s="85" t="str">
        <f aca="false">IF(B111="","","SCH"&amp;TEXT(ROW()-4,"00"))</f>
        <v/>
      </c>
      <c r="B111" s="86"/>
      <c r="C111" s="86"/>
      <c r="D111" s="86"/>
      <c r="E111" s="86"/>
      <c r="F111" s="86"/>
      <c r="G111" s="85" t="str">
        <f aca="false">IF($A111="","",COUNTIFS(Students!$E$5:$E$304,$A111,Students!$K$5:$K$304,"Active"))</f>
        <v/>
      </c>
      <c r="H111" s="85" t="str">
        <f aca="false">IF($A111="","",COUNTIFS(Teachers!$E$5:$E$304,$A111,Teachers!$I$5:$I$304,"Active"))</f>
        <v/>
      </c>
      <c r="I111" s="85" t="str">
        <f aca="false">IF($A111="","",COUNTIF(Classes!$B$5:$B$304,$A111))</f>
        <v/>
      </c>
      <c r="J111" s="85"/>
    </row>
    <row r="112" customFormat="false" ht="19.5" hidden="false" customHeight="true" outlineLevel="0" collapsed="false">
      <c r="A112" s="85" t="str">
        <f aca="false">IF(B112="","","SCH"&amp;TEXT(ROW()-4,"00"))</f>
        <v/>
      </c>
      <c r="B112" s="86"/>
      <c r="C112" s="86"/>
      <c r="D112" s="86"/>
      <c r="E112" s="86"/>
      <c r="F112" s="86"/>
      <c r="G112" s="85" t="str">
        <f aca="false">IF($A112="","",COUNTIFS(Students!$E$5:$E$304,$A112,Students!$K$5:$K$304,"Active"))</f>
        <v/>
      </c>
      <c r="H112" s="85" t="str">
        <f aca="false">IF($A112="","",COUNTIFS(Teachers!$E$5:$E$304,$A112,Teachers!$I$5:$I$304,"Active"))</f>
        <v/>
      </c>
      <c r="I112" s="85" t="str">
        <f aca="false">IF($A112="","",COUNTIF(Classes!$B$5:$B$304,$A112))</f>
        <v/>
      </c>
      <c r="J112" s="85"/>
    </row>
    <row r="113" customFormat="false" ht="19.5" hidden="false" customHeight="true" outlineLevel="0" collapsed="false">
      <c r="A113" s="85" t="str">
        <f aca="false">IF(B113="","","SCH"&amp;TEXT(ROW()-4,"00"))</f>
        <v/>
      </c>
      <c r="B113" s="86"/>
      <c r="C113" s="86"/>
      <c r="D113" s="86"/>
      <c r="E113" s="86"/>
      <c r="F113" s="86"/>
      <c r="G113" s="85" t="str">
        <f aca="false">IF($A113="","",COUNTIFS(Students!$E$5:$E$304,$A113,Students!$K$5:$K$304,"Active"))</f>
        <v/>
      </c>
      <c r="H113" s="85" t="str">
        <f aca="false">IF($A113="","",COUNTIFS(Teachers!$E$5:$E$304,$A113,Teachers!$I$5:$I$304,"Active"))</f>
        <v/>
      </c>
      <c r="I113" s="85" t="str">
        <f aca="false">IF($A113="","",COUNTIF(Classes!$B$5:$B$304,$A113))</f>
        <v/>
      </c>
      <c r="J113" s="85"/>
    </row>
    <row r="114" customFormat="false" ht="19.5" hidden="false" customHeight="true" outlineLevel="0" collapsed="false">
      <c r="A114" s="85" t="str">
        <f aca="false">IF(B114="","","SCH"&amp;TEXT(ROW()-4,"00"))</f>
        <v/>
      </c>
      <c r="B114" s="86"/>
      <c r="C114" s="86"/>
      <c r="D114" s="86"/>
      <c r="E114" s="86"/>
      <c r="F114" s="86"/>
      <c r="G114" s="85" t="str">
        <f aca="false">IF($A114="","",COUNTIFS(Students!$E$5:$E$304,$A114,Students!$K$5:$K$304,"Active"))</f>
        <v/>
      </c>
      <c r="H114" s="85" t="str">
        <f aca="false">IF($A114="","",COUNTIFS(Teachers!$E$5:$E$304,$A114,Teachers!$I$5:$I$304,"Active"))</f>
        <v/>
      </c>
      <c r="I114" s="85" t="str">
        <f aca="false">IF($A114="","",COUNTIF(Classes!$B$5:$B$304,$A114))</f>
        <v/>
      </c>
      <c r="J114" s="85"/>
    </row>
    <row r="115" customFormat="false" ht="19.5" hidden="false" customHeight="true" outlineLevel="0" collapsed="false">
      <c r="A115" s="85" t="str">
        <f aca="false">IF(B115="","","SCH"&amp;TEXT(ROW()-4,"00"))</f>
        <v/>
      </c>
      <c r="B115" s="86"/>
      <c r="C115" s="86"/>
      <c r="D115" s="86"/>
      <c r="E115" s="86"/>
      <c r="F115" s="86"/>
      <c r="G115" s="85" t="str">
        <f aca="false">IF($A115="","",COUNTIFS(Students!$E$5:$E$304,$A115,Students!$K$5:$K$304,"Active"))</f>
        <v/>
      </c>
      <c r="H115" s="85" t="str">
        <f aca="false">IF($A115="","",COUNTIFS(Teachers!$E$5:$E$304,$A115,Teachers!$I$5:$I$304,"Active"))</f>
        <v/>
      </c>
      <c r="I115" s="85" t="str">
        <f aca="false">IF($A115="","",COUNTIF(Classes!$B$5:$B$304,$A115))</f>
        <v/>
      </c>
      <c r="J115" s="85"/>
    </row>
    <row r="116" customFormat="false" ht="19.5" hidden="false" customHeight="true" outlineLevel="0" collapsed="false">
      <c r="A116" s="85" t="str">
        <f aca="false">IF(B116="","","SCH"&amp;TEXT(ROW()-4,"00"))</f>
        <v/>
      </c>
      <c r="B116" s="86"/>
      <c r="C116" s="86"/>
      <c r="D116" s="86"/>
      <c r="E116" s="86"/>
      <c r="F116" s="86"/>
      <c r="G116" s="85" t="str">
        <f aca="false">IF($A116="","",COUNTIFS(Students!$E$5:$E$304,$A116,Students!$K$5:$K$304,"Active"))</f>
        <v/>
      </c>
      <c r="H116" s="85" t="str">
        <f aca="false">IF($A116="","",COUNTIFS(Teachers!$E$5:$E$304,$A116,Teachers!$I$5:$I$304,"Active"))</f>
        <v/>
      </c>
      <c r="I116" s="85" t="str">
        <f aca="false">IF($A116="","",COUNTIF(Classes!$B$5:$B$304,$A116))</f>
        <v/>
      </c>
      <c r="J116" s="85"/>
    </row>
    <row r="117" customFormat="false" ht="19.5" hidden="false" customHeight="true" outlineLevel="0" collapsed="false">
      <c r="A117" s="85" t="str">
        <f aca="false">IF(B117="","","SCH"&amp;TEXT(ROW()-4,"00"))</f>
        <v/>
      </c>
      <c r="B117" s="86"/>
      <c r="C117" s="86"/>
      <c r="D117" s="86"/>
      <c r="E117" s="86"/>
      <c r="F117" s="86"/>
      <c r="G117" s="85" t="str">
        <f aca="false">IF($A117="","",COUNTIFS(Students!$E$5:$E$304,$A117,Students!$K$5:$K$304,"Active"))</f>
        <v/>
      </c>
      <c r="H117" s="85" t="str">
        <f aca="false">IF($A117="","",COUNTIFS(Teachers!$E$5:$E$304,$A117,Teachers!$I$5:$I$304,"Active"))</f>
        <v/>
      </c>
      <c r="I117" s="85" t="str">
        <f aca="false">IF($A117="","",COUNTIF(Classes!$B$5:$B$304,$A117))</f>
        <v/>
      </c>
      <c r="J117" s="85"/>
    </row>
    <row r="118" customFormat="false" ht="19.5" hidden="false" customHeight="true" outlineLevel="0" collapsed="false">
      <c r="A118" s="85" t="str">
        <f aca="false">IF(B118="","","SCH"&amp;TEXT(ROW()-4,"00"))</f>
        <v/>
      </c>
      <c r="B118" s="86"/>
      <c r="C118" s="86"/>
      <c r="D118" s="86"/>
      <c r="E118" s="86"/>
      <c r="F118" s="86"/>
      <c r="G118" s="85" t="str">
        <f aca="false">IF($A118="","",COUNTIFS(Students!$E$5:$E$304,$A118,Students!$K$5:$K$304,"Active"))</f>
        <v/>
      </c>
      <c r="H118" s="85" t="str">
        <f aca="false">IF($A118="","",COUNTIFS(Teachers!$E$5:$E$304,$A118,Teachers!$I$5:$I$304,"Active"))</f>
        <v/>
      </c>
      <c r="I118" s="85" t="str">
        <f aca="false">IF($A118="","",COUNTIF(Classes!$B$5:$B$304,$A118))</f>
        <v/>
      </c>
      <c r="J118" s="85"/>
    </row>
    <row r="119" customFormat="false" ht="19.5" hidden="false" customHeight="true" outlineLevel="0" collapsed="false">
      <c r="A119" s="85" t="str">
        <f aca="false">IF(B119="","","SCH"&amp;TEXT(ROW()-4,"00"))</f>
        <v/>
      </c>
      <c r="B119" s="86"/>
      <c r="C119" s="86"/>
      <c r="D119" s="86"/>
      <c r="E119" s="86"/>
      <c r="F119" s="86"/>
      <c r="G119" s="85" t="str">
        <f aca="false">IF($A119="","",COUNTIFS(Students!$E$5:$E$304,$A119,Students!$K$5:$K$304,"Active"))</f>
        <v/>
      </c>
      <c r="H119" s="85" t="str">
        <f aca="false">IF($A119="","",COUNTIFS(Teachers!$E$5:$E$304,$A119,Teachers!$I$5:$I$304,"Active"))</f>
        <v/>
      </c>
      <c r="I119" s="85" t="str">
        <f aca="false">IF($A119="","",COUNTIF(Classes!$B$5:$B$304,$A119))</f>
        <v/>
      </c>
      <c r="J119" s="85"/>
    </row>
    <row r="120" customFormat="false" ht="19.5" hidden="false" customHeight="true" outlineLevel="0" collapsed="false">
      <c r="A120" s="85" t="str">
        <f aca="false">IF(B120="","","SCH"&amp;TEXT(ROW()-4,"00"))</f>
        <v/>
      </c>
      <c r="B120" s="86"/>
      <c r="C120" s="86"/>
      <c r="D120" s="86"/>
      <c r="E120" s="86"/>
      <c r="F120" s="86"/>
      <c r="G120" s="85" t="str">
        <f aca="false">IF($A120="","",COUNTIFS(Students!$E$5:$E$304,$A120,Students!$K$5:$K$304,"Active"))</f>
        <v/>
      </c>
      <c r="H120" s="85" t="str">
        <f aca="false">IF($A120="","",COUNTIFS(Teachers!$E$5:$E$304,$A120,Teachers!$I$5:$I$304,"Active"))</f>
        <v/>
      </c>
      <c r="I120" s="85" t="str">
        <f aca="false">IF($A120="","",COUNTIF(Classes!$B$5:$B$304,$A120))</f>
        <v/>
      </c>
      <c r="J120" s="85"/>
    </row>
    <row r="121" customFormat="false" ht="19.5" hidden="false" customHeight="true" outlineLevel="0" collapsed="false">
      <c r="A121" s="85" t="str">
        <f aca="false">IF(B121="","","SCH"&amp;TEXT(ROW()-4,"00"))</f>
        <v/>
      </c>
      <c r="B121" s="86"/>
      <c r="C121" s="86"/>
      <c r="D121" s="86"/>
      <c r="E121" s="86"/>
      <c r="F121" s="86"/>
      <c r="G121" s="85" t="str">
        <f aca="false">IF($A121="","",COUNTIFS(Students!$E$5:$E$304,$A121,Students!$K$5:$K$304,"Active"))</f>
        <v/>
      </c>
      <c r="H121" s="85" t="str">
        <f aca="false">IF($A121="","",COUNTIFS(Teachers!$E$5:$E$304,$A121,Teachers!$I$5:$I$304,"Active"))</f>
        <v/>
      </c>
      <c r="I121" s="85" t="str">
        <f aca="false">IF($A121="","",COUNTIF(Classes!$B$5:$B$304,$A121))</f>
        <v/>
      </c>
      <c r="J121" s="85"/>
    </row>
    <row r="122" customFormat="false" ht="19.5" hidden="false" customHeight="true" outlineLevel="0" collapsed="false">
      <c r="A122" s="85" t="str">
        <f aca="false">IF(B122="","","SCH"&amp;TEXT(ROW()-4,"00"))</f>
        <v/>
      </c>
      <c r="B122" s="86"/>
      <c r="C122" s="86"/>
      <c r="D122" s="86"/>
      <c r="E122" s="86"/>
      <c r="F122" s="86"/>
      <c r="G122" s="85" t="str">
        <f aca="false">IF($A122="","",COUNTIFS(Students!$E$5:$E$304,$A122,Students!$K$5:$K$304,"Active"))</f>
        <v/>
      </c>
      <c r="H122" s="85" t="str">
        <f aca="false">IF($A122="","",COUNTIFS(Teachers!$E$5:$E$304,$A122,Teachers!$I$5:$I$304,"Active"))</f>
        <v/>
      </c>
      <c r="I122" s="85" t="str">
        <f aca="false">IF($A122="","",COUNTIF(Classes!$B$5:$B$304,$A122))</f>
        <v/>
      </c>
      <c r="J122" s="85"/>
    </row>
    <row r="123" customFormat="false" ht="19.5" hidden="false" customHeight="true" outlineLevel="0" collapsed="false">
      <c r="A123" s="85" t="str">
        <f aca="false">IF(B123="","","SCH"&amp;TEXT(ROW()-4,"00"))</f>
        <v/>
      </c>
      <c r="B123" s="86"/>
      <c r="C123" s="86"/>
      <c r="D123" s="86"/>
      <c r="E123" s="86"/>
      <c r="F123" s="86"/>
      <c r="G123" s="85" t="str">
        <f aca="false">IF($A123="","",COUNTIFS(Students!$E$5:$E$304,$A123,Students!$K$5:$K$304,"Active"))</f>
        <v/>
      </c>
      <c r="H123" s="85" t="str">
        <f aca="false">IF($A123="","",COUNTIFS(Teachers!$E$5:$E$304,$A123,Teachers!$I$5:$I$304,"Active"))</f>
        <v/>
      </c>
      <c r="I123" s="85" t="str">
        <f aca="false">IF($A123="","",COUNTIF(Classes!$B$5:$B$304,$A123))</f>
        <v/>
      </c>
      <c r="J123" s="85"/>
    </row>
    <row r="124" customFormat="false" ht="19.5" hidden="false" customHeight="true" outlineLevel="0" collapsed="false">
      <c r="A124" s="85" t="str">
        <f aca="false">IF(B124="","","SCH"&amp;TEXT(ROW()-4,"00"))</f>
        <v/>
      </c>
      <c r="B124" s="86"/>
      <c r="C124" s="86"/>
      <c r="D124" s="86"/>
      <c r="E124" s="86"/>
      <c r="F124" s="86"/>
      <c r="G124" s="85" t="str">
        <f aca="false">IF($A124="","",COUNTIFS(Students!$E$5:$E$304,$A124,Students!$K$5:$K$304,"Active"))</f>
        <v/>
      </c>
      <c r="H124" s="85" t="str">
        <f aca="false">IF($A124="","",COUNTIFS(Teachers!$E$5:$E$304,$A124,Teachers!$I$5:$I$304,"Active"))</f>
        <v/>
      </c>
      <c r="I124" s="85" t="str">
        <f aca="false">IF($A124="","",COUNTIF(Classes!$B$5:$B$304,$A124))</f>
        <v/>
      </c>
      <c r="J124" s="85"/>
    </row>
    <row r="125" customFormat="false" ht="19.5" hidden="false" customHeight="true" outlineLevel="0" collapsed="false">
      <c r="A125" s="85" t="str">
        <f aca="false">IF(B125="","","SCH"&amp;TEXT(ROW()-4,"00"))</f>
        <v/>
      </c>
      <c r="B125" s="86"/>
      <c r="C125" s="86"/>
      <c r="D125" s="86"/>
      <c r="E125" s="86"/>
      <c r="F125" s="86"/>
      <c r="G125" s="85" t="str">
        <f aca="false">IF($A125="","",COUNTIFS(Students!$E$5:$E$304,$A125,Students!$K$5:$K$304,"Active"))</f>
        <v/>
      </c>
      <c r="H125" s="85" t="str">
        <f aca="false">IF($A125="","",COUNTIFS(Teachers!$E$5:$E$304,$A125,Teachers!$I$5:$I$304,"Active"))</f>
        <v/>
      </c>
      <c r="I125" s="85" t="str">
        <f aca="false">IF($A125="","",COUNTIF(Classes!$B$5:$B$304,$A125))</f>
        <v/>
      </c>
      <c r="J125" s="85"/>
    </row>
    <row r="126" customFormat="false" ht="19.5" hidden="false" customHeight="true" outlineLevel="0" collapsed="false">
      <c r="A126" s="85" t="str">
        <f aca="false">IF(B126="","","SCH"&amp;TEXT(ROW()-4,"00"))</f>
        <v/>
      </c>
      <c r="B126" s="86"/>
      <c r="C126" s="86"/>
      <c r="D126" s="86"/>
      <c r="E126" s="86"/>
      <c r="F126" s="86"/>
      <c r="G126" s="85" t="str">
        <f aca="false">IF($A126="","",COUNTIFS(Students!$E$5:$E$304,$A126,Students!$K$5:$K$304,"Active"))</f>
        <v/>
      </c>
      <c r="H126" s="85" t="str">
        <f aca="false">IF($A126="","",COUNTIFS(Teachers!$E$5:$E$304,$A126,Teachers!$I$5:$I$304,"Active"))</f>
        <v/>
      </c>
      <c r="I126" s="85" t="str">
        <f aca="false">IF($A126="","",COUNTIF(Classes!$B$5:$B$304,$A126))</f>
        <v/>
      </c>
      <c r="J126" s="85"/>
    </row>
    <row r="127" customFormat="false" ht="19.5" hidden="false" customHeight="true" outlineLevel="0" collapsed="false">
      <c r="A127" s="85" t="str">
        <f aca="false">IF(B127="","","SCH"&amp;TEXT(ROW()-4,"00"))</f>
        <v/>
      </c>
      <c r="B127" s="86"/>
      <c r="C127" s="86"/>
      <c r="D127" s="86"/>
      <c r="E127" s="86"/>
      <c r="F127" s="86"/>
      <c r="G127" s="85" t="str">
        <f aca="false">IF($A127="","",COUNTIFS(Students!$E$5:$E$304,$A127,Students!$K$5:$K$304,"Active"))</f>
        <v/>
      </c>
      <c r="H127" s="85" t="str">
        <f aca="false">IF($A127="","",COUNTIFS(Teachers!$E$5:$E$304,$A127,Teachers!$I$5:$I$304,"Active"))</f>
        <v/>
      </c>
      <c r="I127" s="85" t="str">
        <f aca="false">IF($A127="","",COUNTIF(Classes!$B$5:$B$304,$A127))</f>
        <v/>
      </c>
      <c r="J127" s="85"/>
    </row>
    <row r="128" customFormat="false" ht="19.5" hidden="false" customHeight="true" outlineLevel="0" collapsed="false">
      <c r="A128" s="85" t="str">
        <f aca="false">IF(B128="","","SCH"&amp;TEXT(ROW()-4,"00"))</f>
        <v/>
      </c>
      <c r="B128" s="86"/>
      <c r="C128" s="86"/>
      <c r="D128" s="86"/>
      <c r="E128" s="86"/>
      <c r="F128" s="86"/>
      <c r="G128" s="85" t="str">
        <f aca="false">IF($A128="","",COUNTIFS(Students!$E$5:$E$304,$A128,Students!$K$5:$K$304,"Active"))</f>
        <v/>
      </c>
      <c r="H128" s="85" t="str">
        <f aca="false">IF($A128="","",COUNTIFS(Teachers!$E$5:$E$304,$A128,Teachers!$I$5:$I$304,"Active"))</f>
        <v/>
      </c>
      <c r="I128" s="85" t="str">
        <f aca="false">IF($A128="","",COUNTIF(Classes!$B$5:$B$304,$A128))</f>
        <v/>
      </c>
      <c r="J128" s="85"/>
    </row>
    <row r="129" customFormat="false" ht="19.5" hidden="false" customHeight="true" outlineLevel="0" collapsed="false">
      <c r="A129" s="85" t="str">
        <f aca="false">IF(B129="","","SCH"&amp;TEXT(ROW()-4,"00"))</f>
        <v/>
      </c>
      <c r="B129" s="86"/>
      <c r="C129" s="86"/>
      <c r="D129" s="86"/>
      <c r="E129" s="86"/>
      <c r="F129" s="86"/>
      <c r="G129" s="85" t="str">
        <f aca="false">IF($A129="","",COUNTIFS(Students!$E$5:$E$304,$A129,Students!$K$5:$K$304,"Active"))</f>
        <v/>
      </c>
      <c r="H129" s="85" t="str">
        <f aca="false">IF($A129="","",COUNTIFS(Teachers!$E$5:$E$304,$A129,Teachers!$I$5:$I$304,"Active"))</f>
        <v/>
      </c>
      <c r="I129" s="85" t="str">
        <f aca="false">IF($A129="","",COUNTIF(Classes!$B$5:$B$304,$A129))</f>
        <v/>
      </c>
      <c r="J129" s="85"/>
    </row>
    <row r="130" customFormat="false" ht="19.5" hidden="false" customHeight="true" outlineLevel="0" collapsed="false">
      <c r="A130" s="85" t="str">
        <f aca="false">IF(B130="","","SCH"&amp;TEXT(ROW()-4,"00"))</f>
        <v/>
      </c>
      <c r="B130" s="86"/>
      <c r="C130" s="86"/>
      <c r="D130" s="86"/>
      <c r="E130" s="86"/>
      <c r="F130" s="86"/>
      <c r="G130" s="85" t="str">
        <f aca="false">IF($A130="","",COUNTIFS(Students!$E$5:$E$304,$A130,Students!$K$5:$K$304,"Active"))</f>
        <v/>
      </c>
      <c r="H130" s="85" t="str">
        <f aca="false">IF($A130="","",COUNTIFS(Teachers!$E$5:$E$304,$A130,Teachers!$I$5:$I$304,"Active"))</f>
        <v/>
      </c>
      <c r="I130" s="85" t="str">
        <f aca="false">IF($A130="","",COUNTIF(Classes!$B$5:$B$304,$A130))</f>
        <v/>
      </c>
      <c r="J130" s="85"/>
    </row>
    <row r="131" customFormat="false" ht="19.5" hidden="false" customHeight="true" outlineLevel="0" collapsed="false">
      <c r="A131" s="85" t="str">
        <f aca="false">IF(B131="","","SCH"&amp;TEXT(ROW()-4,"00"))</f>
        <v/>
      </c>
      <c r="B131" s="86"/>
      <c r="C131" s="86"/>
      <c r="D131" s="86"/>
      <c r="E131" s="86"/>
      <c r="F131" s="86"/>
      <c r="G131" s="85" t="str">
        <f aca="false">IF($A131="","",COUNTIFS(Students!$E$5:$E$304,$A131,Students!$K$5:$K$304,"Active"))</f>
        <v/>
      </c>
      <c r="H131" s="85" t="str">
        <f aca="false">IF($A131="","",COUNTIFS(Teachers!$E$5:$E$304,$A131,Teachers!$I$5:$I$304,"Active"))</f>
        <v/>
      </c>
      <c r="I131" s="85" t="str">
        <f aca="false">IF($A131="","",COUNTIF(Classes!$B$5:$B$304,$A131))</f>
        <v/>
      </c>
      <c r="J131" s="85"/>
    </row>
    <row r="132" customFormat="false" ht="19.5" hidden="false" customHeight="true" outlineLevel="0" collapsed="false">
      <c r="A132" s="85" t="str">
        <f aca="false">IF(B132="","","SCH"&amp;TEXT(ROW()-4,"00"))</f>
        <v/>
      </c>
      <c r="B132" s="86"/>
      <c r="C132" s="86"/>
      <c r="D132" s="86"/>
      <c r="E132" s="86"/>
      <c r="F132" s="86"/>
      <c r="G132" s="85" t="str">
        <f aca="false">IF($A132="","",COUNTIFS(Students!$E$5:$E$304,$A132,Students!$K$5:$K$304,"Active"))</f>
        <v/>
      </c>
      <c r="H132" s="85" t="str">
        <f aca="false">IF($A132="","",COUNTIFS(Teachers!$E$5:$E$304,$A132,Teachers!$I$5:$I$304,"Active"))</f>
        <v/>
      </c>
      <c r="I132" s="85" t="str">
        <f aca="false">IF($A132="","",COUNTIF(Classes!$B$5:$B$304,$A132))</f>
        <v/>
      </c>
      <c r="J132" s="85"/>
    </row>
    <row r="133" customFormat="false" ht="19.5" hidden="false" customHeight="true" outlineLevel="0" collapsed="false">
      <c r="A133" s="85" t="str">
        <f aca="false">IF(B133="","","SCH"&amp;TEXT(ROW()-4,"00"))</f>
        <v/>
      </c>
      <c r="B133" s="86"/>
      <c r="C133" s="86"/>
      <c r="D133" s="86"/>
      <c r="E133" s="86"/>
      <c r="F133" s="86"/>
      <c r="G133" s="85" t="str">
        <f aca="false">IF($A133="","",COUNTIFS(Students!$E$5:$E$304,$A133,Students!$K$5:$K$304,"Active"))</f>
        <v/>
      </c>
      <c r="H133" s="85" t="str">
        <f aca="false">IF($A133="","",COUNTIFS(Teachers!$E$5:$E$304,$A133,Teachers!$I$5:$I$304,"Active"))</f>
        <v/>
      </c>
      <c r="I133" s="85" t="str">
        <f aca="false">IF($A133="","",COUNTIF(Classes!$B$5:$B$304,$A133))</f>
        <v/>
      </c>
      <c r="J133" s="85"/>
    </row>
    <row r="134" customFormat="false" ht="19.5" hidden="false" customHeight="true" outlineLevel="0" collapsed="false">
      <c r="A134" s="85" t="str">
        <f aca="false">IF(B134="","","SCH"&amp;TEXT(ROW()-4,"00"))</f>
        <v/>
      </c>
      <c r="B134" s="86"/>
      <c r="C134" s="86"/>
      <c r="D134" s="86"/>
      <c r="E134" s="86"/>
      <c r="F134" s="86"/>
      <c r="G134" s="85" t="str">
        <f aca="false">IF($A134="","",COUNTIFS(Students!$E$5:$E$304,$A134,Students!$K$5:$K$304,"Active"))</f>
        <v/>
      </c>
      <c r="H134" s="85" t="str">
        <f aca="false">IF($A134="","",COUNTIFS(Teachers!$E$5:$E$304,$A134,Teachers!$I$5:$I$304,"Active"))</f>
        <v/>
      </c>
      <c r="I134" s="85" t="str">
        <f aca="false">IF($A134="","",COUNTIF(Classes!$B$5:$B$304,$A134))</f>
        <v/>
      </c>
      <c r="J134" s="85"/>
    </row>
    <row r="135" customFormat="false" ht="19.5" hidden="false" customHeight="true" outlineLevel="0" collapsed="false">
      <c r="A135" s="85" t="str">
        <f aca="false">IF(B135="","","SCH"&amp;TEXT(ROW()-4,"00"))</f>
        <v/>
      </c>
      <c r="B135" s="86"/>
      <c r="C135" s="86"/>
      <c r="D135" s="86"/>
      <c r="E135" s="86"/>
      <c r="F135" s="86"/>
      <c r="G135" s="85" t="str">
        <f aca="false">IF($A135="","",COUNTIFS(Students!$E$5:$E$304,$A135,Students!$K$5:$K$304,"Active"))</f>
        <v/>
      </c>
      <c r="H135" s="85" t="str">
        <f aca="false">IF($A135="","",COUNTIFS(Teachers!$E$5:$E$304,$A135,Teachers!$I$5:$I$304,"Active"))</f>
        <v/>
      </c>
      <c r="I135" s="85" t="str">
        <f aca="false">IF($A135="","",COUNTIF(Classes!$B$5:$B$304,$A135))</f>
        <v/>
      </c>
      <c r="J135" s="85"/>
    </row>
    <row r="136" customFormat="false" ht="19.5" hidden="false" customHeight="true" outlineLevel="0" collapsed="false">
      <c r="A136" s="85" t="str">
        <f aca="false">IF(B136="","","SCH"&amp;TEXT(ROW()-4,"00"))</f>
        <v/>
      </c>
      <c r="B136" s="86"/>
      <c r="C136" s="86"/>
      <c r="D136" s="86"/>
      <c r="E136" s="86"/>
      <c r="F136" s="86"/>
      <c r="G136" s="85" t="str">
        <f aca="false">IF($A136="","",COUNTIFS(Students!$E$5:$E$304,$A136,Students!$K$5:$K$304,"Active"))</f>
        <v/>
      </c>
      <c r="H136" s="85" t="str">
        <f aca="false">IF($A136="","",COUNTIFS(Teachers!$E$5:$E$304,$A136,Teachers!$I$5:$I$304,"Active"))</f>
        <v/>
      </c>
      <c r="I136" s="85" t="str">
        <f aca="false">IF($A136="","",COUNTIF(Classes!$B$5:$B$304,$A136))</f>
        <v/>
      </c>
      <c r="J136" s="85"/>
    </row>
    <row r="137" customFormat="false" ht="19.5" hidden="false" customHeight="true" outlineLevel="0" collapsed="false">
      <c r="A137" s="85" t="str">
        <f aca="false">IF(B137="","","SCH"&amp;TEXT(ROW()-4,"00"))</f>
        <v/>
      </c>
      <c r="B137" s="86"/>
      <c r="C137" s="86"/>
      <c r="D137" s="86"/>
      <c r="E137" s="86"/>
      <c r="F137" s="86"/>
      <c r="G137" s="85" t="str">
        <f aca="false">IF($A137="","",COUNTIFS(Students!$E$5:$E$304,$A137,Students!$K$5:$K$304,"Active"))</f>
        <v/>
      </c>
      <c r="H137" s="85" t="str">
        <f aca="false">IF($A137="","",COUNTIFS(Teachers!$E$5:$E$304,$A137,Teachers!$I$5:$I$304,"Active"))</f>
        <v/>
      </c>
      <c r="I137" s="85" t="str">
        <f aca="false">IF($A137="","",COUNTIF(Classes!$B$5:$B$304,$A137))</f>
        <v/>
      </c>
      <c r="J137" s="85"/>
    </row>
    <row r="138" customFormat="false" ht="19.5" hidden="false" customHeight="true" outlineLevel="0" collapsed="false">
      <c r="A138" s="85" t="str">
        <f aca="false">IF(B138="","","SCH"&amp;TEXT(ROW()-4,"00"))</f>
        <v/>
      </c>
      <c r="B138" s="86"/>
      <c r="C138" s="86"/>
      <c r="D138" s="86"/>
      <c r="E138" s="86"/>
      <c r="F138" s="86"/>
      <c r="G138" s="85" t="str">
        <f aca="false">IF($A138="","",COUNTIFS(Students!$E$5:$E$304,$A138,Students!$K$5:$K$304,"Active"))</f>
        <v/>
      </c>
      <c r="H138" s="85" t="str">
        <f aca="false">IF($A138="","",COUNTIFS(Teachers!$E$5:$E$304,$A138,Teachers!$I$5:$I$304,"Active"))</f>
        <v/>
      </c>
      <c r="I138" s="85" t="str">
        <f aca="false">IF($A138="","",COUNTIF(Classes!$B$5:$B$304,$A138))</f>
        <v/>
      </c>
      <c r="J138" s="85"/>
    </row>
    <row r="139" customFormat="false" ht="19.5" hidden="false" customHeight="true" outlineLevel="0" collapsed="false">
      <c r="A139" s="85" t="str">
        <f aca="false">IF(B139="","","SCH"&amp;TEXT(ROW()-4,"00"))</f>
        <v/>
      </c>
      <c r="B139" s="86"/>
      <c r="C139" s="86"/>
      <c r="D139" s="86"/>
      <c r="E139" s="86"/>
      <c r="F139" s="86"/>
      <c r="G139" s="85" t="str">
        <f aca="false">IF($A139="","",COUNTIFS(Students!$E$5:$E$304,$A139,Students!$K$5:$K$304,"Active"))</f>
        <v/>
      </c>
      <c r="H139" s="85" t="str">
        <f aca="false">IF($A139="","",COUNTIFS(Teachers!$E$5:$E$304,$A139,Teachers!$I$5:$I$304,"Active"))</f>
        <v/>
      </c>
      <c r="I139" s="85" t="str">
        <f aca="false">IF($A139="","",COUNTIF(Classes!$B$5:$B$304,$A139))</f>
        <v/>
      </c>
      <c r="J139" s="85"/>
    </row>
    <row r="140" customFormat="false" ht="19.5" hidden="false" customHeight="true" outlineLevel="0" collapsed="false">
      <c r="A140" s="85" t="str">
        <f aca="false">IF(B140="","","SCH"&amp;TEXT(ROW()-4,"00"))</f>
        <v/>
      </c>
      <c r="B140" s="86"/>
      <c r="C140" s="86"/>
      <c r="D140" s="86"/>
      <c r="E140" s="86"/>
      <c r="F140" s="86"/>
      <c r="G140" s="85" t="str">
        <f aca="false">IF($A140="","",COUNTIFS(Students!$E$5:$E$304,$A140,Students!$K$5:$K$304,"Active"))</f>
        <v/>
      </c>
      <c r="H140" s="85" t="str">
        <f aca="false">IF($A140="","",COUNTIFS(Teachers!$E$5:$E$304,$A140,Teachers!$I$5:$I$304,"Active"))</f>
        <v/>
      </c>
      <c r="I140" s="85" t="str">
        <f aca="false">IF($A140="","",COUNTIF(Classes!$B$5:$B$304,$A140))</f>
        <v/>
      </c>
      <c r="J140" s="85"/>
    </row>
    <row r="141" customFormat="false" ht="19.5" hidden="false" customHeight="true" outlineLevel="0" collapsed="false">
      <c r="A141" s="85" t="str">
        <f aca="false">IF(B141="","","SCH"&amp;TEXT(ROW()-4,"00"))</f>
        <v/>
      </c>
      <c r="B141" s="86"/>
      <c r="C141" s="86"/>
      <c r="D141" s="86"/>
      <c r="E141" s="86"/>
      <c r="F141" s="86"/>
      <c r="G141" s="85" t="str">
        <f aca="false">IF($A141="","",COUNTIFS(Students!$E$5:$E$304,$A141,Students!$K$5:$K$304,"Active"))</f>
        <v/>
      </c>
      <c r="H141" s="85" t="str">
        <f aca="false">IF($A141="","",COUNTIFS(Teachers!$E$5:$E$304,$A141,Teachers!$I$5:$I$304,"Active"))</f>
        <v/>
      </c>
      <c r="I141" s="85" t="str">
        <f aca="false">IF($A141="","",COUNTIF(Classes!$B$5:$B$304,$A141))</f>
        <v/>
      </c>
      <c r="J141" s="85"/>
    </row>
    <row r="142" customFormat="false" ht="19.5" hidden="false" customHeight="true" outlineLevel="0" collapsed="false">
      <c r="A142" s="85" t="str">
        <f aca="false">IF(B142="","","SCH"&amp;TEXT(ROW()-4,"00"))</f>
        <v/>
      </c>
      <c r="B142" s="86"/>
      <c r="C142" s="86"/>
      <c r="D142" s="86"/>
      <c r="E142" s="86"/>
      <c r="F142" s="86"/>
      <c r="G142" s="85" t="str">
        <f aca="false">IF($A142="","",COUNTIFS(Students!$E$5:$E$304,$A142,Students!$K$5:$K$304,"Active"))</f>
        <v/>
      </c>
      <c r="H142" s="85" t="str">
        <f aca="false">IF($A142="","",COUNTIFS(Teachers!$E$5:$E$304,$A142,Teachers!$I$5:$I$304,"Active"))</f>
        <v/>
      </c>
      <c r="I142" s="85" t="str">
        <f aca="false">IF($A142="","",COUNTIF(Classes!$B$5:$B$304,$A142))</f>
        <v/>
      </c>
      <c r="J142" s="85"/>
    </row>
    <row r="143" customFormat="false" ht="19.5" hidden="false" customHeight="true" outlineLevel="0" collapsed="false">
      <c r="A143" s="85" t="str">
        <f aca="false">IF(B143="","","SCH"&amp;TEXT(ROW()-4,"00"))</f>
        <v/>
      </c>
      <c r="B143" s="86"/>
      <c r="C143" s="86"/>
      <c r="D143" s="86"/>
      <c r="E143" s="86"/>
      <c r="F143" s="86"/>
      <c r="G143" s="85" t="str">
        <f aca="false">IF($A143="","",COUNTIFS(Students!$E$5:$E$304,$A143,Students!$K$5:$K$304,"Active"))</f>
        <v/>
      </c>
      <c r="H143" s="85" t="str">
        <f aca="false">IF($A143="","",COUNTIFS(Teachers!$E$5:$E$304,$A143,Teachers!$I$5:$I$304,"Active"))</f>
        <v/>
      </c>
      <c r="I143" s="85" t="str">
        <f aca="false">IF($A143="","",COUNTIF(Classes!$B$5:$B$304,$A143))</f>
        <v/>
      </c>
      <c r="J143" s="85"/>
    </row>
    <row r="144" customFormat="false" ht="19.5" hidden="false" customHeight="true" outlineLevel="0" collapsed="false">
      <c r="A144" s="85" t="str">
        <f aca="false">IF(B144="","","SCH"&amp;TEXT(ROW()-4,"00"))</f>
        <v/>
      </c>
      <c r="B144" s="86"/>
      <c r="C144" s="86"/>
      <c r="D144" s="86"/>
      <c r="E144" s="86"/>
      <c r="F144" s="86"/>
      <c r="G144" s="85" t="str">
        <f aca="false">IF($A144="","",COUNTIFS(Students!$E$5:$E$304,$A144,Students!$K$5:$K$304,"Active"))</f>
        <v/>
      </c>
      <c r="H144" s="85" t="str">
        <f aca="false">IF($A144="","",COUNTIFS(Teachers!$E$5:$E$304,$A144,Teachers!$I$5:$I$304,"Active"))</f>
        <v/>
      </c>
      <c r="I144" s="85" t="str">
        <f aca="false">IF($A144="","",COUNTIF(Classes!$B$5:$B$304,$A144))</f>
        <v/>
      </c>
      <c r="J144" s="85"/>
    </row>
    <row r="145" customFormat="false" ht="19.5" hidden="false" customHeight="true" outlineLevel="0" collapsed="false">
      <c r="A145" s="85" t="str">
        <f aca="false">IF(B145="","","SCH"&amp;TEXT(ROW()-4,"00"))</f>
        <v/>
      </c>
      <c r="B145" s="86"/>
      <c r="C145" s="86"/>
      <c r="D145" s="86"/>
      <c r="E145" s="86"/>
      <c r="F145" s="86"/>
      <c r="G145" s="85" t="str">
        <f aca="false">IF($A145="","",COUNTIFS(Students!$E$5:$E$304,$A145,Students!$K$5:$K$304,"Active"))</f>
        <v/>
      </c>
      <c r="H145" s="85" t="str">
        <f aca="false">IF($A145="","",COUNTIFS(Teachers!$E$5:$E$304,$A145,Teachers!$I$5:$I$304,"Active"))</f>
        <v/>
      </c>
      <c r="I145" s="85" t="str">
        <f aca="false">IF($A145="","",COUNTIF(Classes!$B$5:$B$304,$A145))</f>
        <v/>
      </c>
      <c r="J145" s="85"/>
    </row>
    <row r="146" customFormat="false" ht="19.5" hidden="false" customHeight="true" outlineLevel="0" collapsed="false">
      <c r="A146" s="85" t="str">
        <f aca="false">IF(B146="","","SCH"&amp;TEXT(ROW()-4,"00"))</f>
        <v/>
      </c>
      <c r="B146" s="86"/>
      <c r="C146" s="86"/>
      <c r="D146" s="86"/>
      <c r="E146" s="86"/>
      <c r="F146" s="86"/>
      <c r="G146" s="85" t="str">
        <f aca="false">IF($A146="","",COUNTIFS(Students!$E$5:$E$304,$A146,Students!$K$5:$K$304,"Active"))</f>
        <v/>
      </c>
      <c r="H146" s="85" t="str">
        <f aca="false">IF($A146="","",COUNTIFS(Teachers!$E$5:$E$304,$A146,Teachers!$I$5:$I$304,"Active"))</f>
        <v/>
      </c>
      <c r="I146" s="85" t="str">
        <f aca="false">IF($A146="","",COUNTIF(Classes!$B$5:$B$304,$A146))</f>
        <v/>
      </c>
      <c r="J146" s="85"/>
    </row>
    <row r="147" customFormat="false" ht="19.5" hidden="false" customHeight="true" outlineLevel="0" collapsed="false">
      <c r="A147" s="85" t="str">
        <f aca="false">IF(B147="","","SCH"&amp;TEXT(ROW()-4,"00"))</f>
        <v/>
      </c>
      <c r="B147" s="86"/>
      <c r="C147" s="86"/>
      <c r="D147" s="86"/>
      <c r="E147" s="86"/>
      <c r="F147" s="86"/>
      <c r="G147" s="85" t="str">
        <f aca="false">IF($A147="","",COUNTIFS(Students!$E$5:$E$304,$A147,Students!$K$5:$K$304,"Active"))</f>
        <v/>
      </c>
      <c r="H147" s="85" t="str">
        <f aca="false">IF($A147="","",COUNTIFS(Teachers!$E$5:$E$304,$A147,Teachers!$I$5:$I$304,"Active"))</f>
        <v/>
      </c>
      <c r="I147" s="85" t="str">
        <f aca="false">IF($A147="","",COUNTIF(Classes!$B$5:$B$304,$A147))</f>
        <v/>
      </c>
      <c r="J147" s="85"/>
    </row>
    <row r="148" customFormat="false" ht="19.5" hidden="false" customHeight="true" outlineLevel="0" collapsed="false">
      <c r="A148" s="85" t="str">
        <f aca="false">IF(B148="","","SCH"&amp;TEXT(ROW()-4,"00"))</f>
        <v/>
      </c>
      <c r="B148" s="86"/>
      <c r="C148" s="86"/>
      <c r="D148" s="86"/>
      <c r="E148" s="86"/>
      <c r="F148" s="86"/>
      <c r="G148" s="85" t="str">
        <f aca="false">IF($A148="","",COUNTIFS(Students!$E$5:$E$304,$A148,Students!$K$5:$K$304,"Active"))</f>
        <v/>
      </c>
      <c r="H148" s="85" t="str">
        <f aca="false">IF($A148="","",COUNTIFS(Teachers!$E$5:$E$304,$A148,Teachers!$I$5:$I$304,"Active"))</f>
        <v/>
      </c>
      <c r="I148" s="85" t="str">
        <f aca="false">IF($A148="","",COUNTIF(Classes!$B$5:$B$304,$A148))</f>
        <v/>
      </c>
      <c r="J148" s="85"/>
    </row>
    <row r="149" customFormat="false" ht="19.5" hidden="false" customHeight="true" outlineLevel="0" collapsed="false">
      <c r="A149" s="85" t="str">
        <f aca="false">IF(B149="","","SCH"&amp;TEXT(ROW()-4,"00"))</f>
        <v/>
      </c>
      <c r="B149" s="86"/>
      <c r="C149" s="86"/>
      <c r="D149" s="86"/>
      <c r="E149" s="86"/>
      <c r="F149" s="86"/>
      <c r="G149" s="85" t="str">
        <f aca="false">IF($A149="","",COUNTIFS(Students!$E$5:$E$304,$A149,Students!$K$5:$K$304,"Active"))</f>
        <v/>
      </c>
      <c r="H149" s="85" t="str">
        <f aca="false">IF($A149="","",COUNTIFS(Teachers!$E$5:$E$304,$A149,Teachers!$I$5:$I$304,"Active"))</f>
        <v/>
      </c>
      <c r="I149" s="85" t="str">
        <f aca="false">IF($A149="","",COUNTIF(Classes!$B$5:$B$304,$A149))</f>
        <v/>
      </c>
      <c r="J149" s="85"/>
    </row>
    <row r="150" customFormat="false" ht="19.5" hidden="false" customHeight="true" outlineLevel="0" collapsed="false">
      <c r="A150" s="85" t="str">
        <f aca="false">IF(B150="","","SCH"&amp;TEXT(ROW()-4,"00"))</f>
        <v/>
      </c>
      <c r="B150" s="86"/>
      <c r="C150" s="86"/>
      <c r="D150" s="86"/>
      <c r="E150" s="86"/>
      <c r="F150" s="86"/>
      <c r="G150" s="85" t="str">
        <f aca="false">IF($A150="","",COUNTIFS(Students!$E$5:$E$304,$A150,Students!$K$5:$K$304,"Active"))</f>
        <v/>
      </c>
      <c r="H150" s="85" t="str">
        <f aca="false">IF($A150="","",COUNTIFS(Teachers!$E$5:$E$304,$A150,Teachers!$I$5:$I$304,"Active"))</f>
        <v/>
      </c>
      <c r="I150" s="85" t="str">
        <f aca="false">IF($A150="","",COUNTIF(Classes!$B$5:$B$304,$A150))</f>
        <v/>
      </c>
      <c r="J150" s="85"/>
    </row>
    <row r="151" customFormat="false" ht="19.5" hidden="false" customHeight="true" outlineLevel="0" collapsed="false">
      <c r="A151" s="85" t="str">
        <f aca="false">IF(B151="","","SCH"&amp;TEXT(ROW()-4,"00"))</f>
        <v/>
      </c>
      <c r="B151" s="86"/>
      <c r="C151" s="86"/>
      <c r="D151" s="86"/>
      <c r="E151" s="86"/>
      <c r="F151" s="86"/>
      <c r="G151" s="85" t="str">
        <f aca="false">IF($A151="","",COUNTIFS(Students!$E$5:$E$304,$A151,Students!$K$5:$K$304,"Active"))</f>
        <v/>
      </c>
      <c r="H151" s="85" t="str">
        <f aca="false">IF($A151="","",COUNTIFS(Teachers!$E$5:$E$304,$A151,Teachers!$I$5:$I$304,"Active"))</f>
        <v/>
      </c>
      <c r="I151" s="85" t="str">
        <f aca="false">IF($A151="","",COUNTIF(Classes!$B$5:$B$304,$A151))</f>
        <v/>
      </c>
      <c r="J151" s="85"/>
    </row>
    <row r="152" customFormat="false" ht="19.5" hidden="false" customHeight="true" outlineLevel="0" collapsed="false">
      <c r="A152" s="85" t="str">
        <f aca="false">IF(B152="","","SCH"&amp;TEXT(ROW()-4,"00"))</f>
        <v/>
      </c>
      <c r="B152" s="86"/>
      <c r="C152" s="86"/>
      <c r="D152" s="86"/>
      <c r="E152" s="86"/>
      <c r="F152" s="86"/>
      <c r="G152" s="85" t="str">
        <f aca="false">IF($A152="","",COUNTIFS(Students!$E$5:$E$304,$A152,Students!$K$5:$K$304,"Active"))</f>
        <v/>
      </c>
      <c r="H152" s="85" t="str">
        <f aca="false">IF($A152="","",COUNTIFS(Teachers!$E$5:$E$304,$A152,Teachers!$I$5:$I$304,"Active"))</f>
        <v/>
      </c>
      <c r="I152" s="85" t="str">
        <f aca="false">IF($A152="","",COUNTIF(Classes!$B$5:$B$304,$A152))</f>
        <v/>
      </c>
      <c r="J152" s="85"/>
    </row>
    <row r="153" customFormat="false" ht="19.5" hidden="false" customHeight="true" outlineLevel="0" collapsed="false">
      <c r="A153" s="85" t="str">
        <f aca="false">IF(B153="","","SCH"&amp;TEXT(ROW()-4,"00"))</f>
        <v/>
      </c>
      <c r="B153" s="86"/>
      <c r="C153" s="86"/>
      <c r="D153" s="86"/>
      <c r="E153" s="86"/>
      <c r="F153" s="86"/>
      <c r="G153" s="85" t="str">
        <f aca="false">IF($A153="","",COUNTIFS(Students!$E$5:$E$304,$A153,Students!$K$5:$K$304,"Active"))</f>
        <v/>
      </c>
      <c r="H153" s="85" t="str">
        <f aca="false">IF($A153="","",COUNTIFS(Teachers!$E$5:$E$304,$A153,Teachers!$I$5:$I$304,"Active"))</f>
        <v/>
      </c>
      <c r="I153" s="85" t="str">
        <f aca="false">IF($A153="","",COUNTIF(Classes!$B$5:$B$304,$A153))</f>
        <v/>
      </c>
      <c r="J153" s="85"/>
    </row>
    <row r="154" customFormat="false" ht="19.5" hidden="false" customHeight="true" outlineLevel="0" collapsed="false">
      <c r="A154" s="85" t="str">
        <f aca="false">IF(B154="","","SCH"&amp;TEXT(ROW()-4,"00"))</f>
        <v/>
      </c>
      <c r="B154" s="86"/>
      <c r="C154" s="86"/>
      <c r="D154" s="86"/>
      <c r="E154" s="86"/>
      <c r="F154" s="86"/>
      <c r="G154" s="85" t="str">
        <f aca="false">IF($A154="","",COUNTIFS(Students!$E$5:$E$304,$A154,Students!$K$5:$K$304,"Active"))</f>
        <v/>
      </c>
      <c r="H154" s="85" t="str">
        <f aca="false">IF($A154="","",COUNTIFS(Teachers!$E$5:$E$304,$A154,Teachers!$I$5:$I$304,"Active"))</f>
        <v/>
      </c>
      <c r="I154" s="85" t="str">
        <f aca="false">IF($A154="","",COUNTIF(Classes!$B$5:$B$304,$A154))</f>
        <v/>
      </c>
      <c r="J154" s="85"/>
    </row>
    <row r="155" customFormat="false" ht="19.5" hidden="false" customHeight="true" outlineLevel="0" collapsed="false">
      <c r="A155" s="85" t="str">
        <f aca="false">IF(B155="","","SCH"&amp;TEXT(ROW()-4,"00"))</f>
        <v/>
      </c>
      <c r="B155" s="86"/>
      <c r="C155" s="86"/>
      <c r="D155" s="86"/>
      <c r="E155" s="86"/>
      <c r="F155" s="86"/>
      <c r="G155" s="85" t="str">
        <f aca="false">IF($A155="","",COUNTIFS(Students!$E$5:$E$304,$A155,Students!$K$5:$K$304,"Active"))</f>
        <v/>
      </c>
      <c r="H155" s="85" t="str">
        <f aca="false">IF($A155="","",COUNTIFS(Teachers!$E$5:$E$304,$A155,Teachers!$I$5:$I$304,"Active"))</f>
        <v/>
      </c>
      <c r="I155" s="85" t="str">
        <f aca="false">IF($A155="","",COUNTIF(Classes!$B$5:$B$304,$A155))</f>
        <v/>
      </c>
      <c r="J155" s="85"/>
    </row>
    <row r="156" customFormat="false" ht="19.5" hidden="false" customHeight="true" outlineLevel="0" collapsed="false">
      <c r="A156" s="85" t="str">
        <f aca="false">IF(B156="","","SCH"&amp;TEXT(ROW()-4,"00"))</f>
        <v/>
      </c>
      <c r="B156" s="86"/>
      <c r="C156" s="86"/>
      <c r="D156" s="86"/>
      <c r="E156" s="86"/>
      <c r="F156" s="86"/>
      <c r="G156" s="85" t="str">
        <f aca="false">IF($A156="","",COUNTIFS(Students!$E$5:$E$304,$A156,Students!$K$5:$K$304,"Active"))</f>
        <v/>
      </c>
      <c r="H156" s="85" t="str">
        <f aca="false">IF($A156="","",COUNTIFS(Teachers!$E$5:$E$304,$A156,Teachers!$I$5:$I$304,"Active"))</f>
        <v/>
      </c>
      <c r="I156" s="85" t="str">
        <f aca="false">IF($A156="","",COUNTIF(Classes!$B$5:$B$304,$A156))</f>
        <v/>
      </c>
      <c r="J156" s="85"/>
    </row>
    <row r="157" customFormat="false" ht="19.5" hidden="false" customHeight="true" outlineLevel="0" collapsed="false">
      <c r="A157" s="85" t="str">
        <f aca="false">IF(B157="","","SCH"&amp;TEXT(ROW()-4,"00"))</f>
        <v/>
      </c>
      <c r="B157" s="86"/>
      <c r="C157" s="86"/>
      <c r="D157" s="86"/>
      <c r="E157" s="86"/>
      <c r="F157" s="86"/>
      <c r="G157" s="85" t="str">
        <f aca="false">IF($A157="","",COUNTIFS(Students!$E$5:$E$304,$A157,Students!$K$5:$K$304,"Active"))</f>
        <v/>
      </c>
      <c r="H157" s="85" t="str">
        <f aca="false">IF($A157="","",COUNTIFS(Teachers!$E$5:$E$304,$A157,Teachers!$I$5:$I$304,"Active"))</f>
        <v/>
      </c>
      <c r="I157" s="85" t="str">
        <f aca="false">IF($A157="","",COUNTIF(Classes!$B$5:$B$304,$A157))</f>
        <v/>
      </c>
      <c r="J157" s="85"/>
    </row>
    <row r="158" customFormat="false" ht="19.5" hidden="false" customHeight="true" outlineLevel="0" collapsed="false">
      <c r="A158" s="85" t="str">
        <f aca="false">IF(B158="","","SCH"&amp;TEXT(ROW()-4,"00"))</f>
        <v/>
      </c>
      <c r="B158" s="86"/>
      <c r="C158" s="86"/>
      <c r="D158" s="86"/>
      <c r="E158" s="86"/>
      <c r="F158" s="86"/>
      <c r="G158" s="85" t="str">
        <f aca="false">IF($A158="","",COUNTIFS(Students!$E$5:$E$304,$A158,Students!$K$5:$K$304,"Active"))</f>
        <v/>
      </c>
      <c r="H158" s="85" t="str">
        <f aca="false">IF($A158="","",COUNTIFS(Teachers!$E$5:$E$304,$A158,Teachers!$I$5:$I$304,"Active"))</f>
        <v/>
      </c>
      <c r="I158" s="85" t="str">
        <f aca="false">IF($A158="","",COUNTIF(Classes!$B$5:$B$304,$A158))</f>
        <v/>
      </c>
      <c r="J158" s="85"/>
    </row>
    <row r="159" customFormat="false" ht="19.5" hidden="false" customHeight="true" outlineLevel="0" collapsed="false">
      <c r="A159" s="85" t="str">
        <f aca="false">IF(B159="","","SCH"&amp;TEXT(ROW()-4,"00"))</f>
        <v/>
      </c>
      <c r="B159" s="86"/>
      <c r="C159" s="86"/>
      <c r="D159" s="86"/>
      <c r="E159" s="86"/>
      <c r="F159" s="86"/>
      <c r="G159" s="85" t="str">
        <f aca="false">IF($A159="","",COUNTIFS(Students!$E$5:$E$304,$A159,Students!$K$5:$K$304,"Active"))</f>
        <v/>
      </c>
      <c r="H159" s="85" t="str">
        <f aca="false">IF($A159="","",COUNTIFS(Teachers!$E$5:$E$304,$A159,Teachers!$I$5:$I$304,"Active"))</f>
        <v/>
      </c>
      <c r="I159" s="85" t="str">
        <f aca="false">IF($A159="","",COUNTIF(Classes!$B$5:$B$304,$A159))</f>
        <v/>
      </c>
      <c r="J159" s="85"/>
    </row>
    <row r="160" customFormat="false" ht="19.5" hidden="false" customHeight="true" outlineLevel="0" collapsed="false">
      <c r="A160" s="85" t="str">
        <f aca="false">IF(B160="","","SCH"&amp;TEXT(ROW()-4,"00"))</f>
        <v/>
      </c>
      <c r="B160" s="86"/>
      <c r="C160" s="86"/>
      <c r="D160" s="86"/>
      <c r="E160" s="86"/>
      <c r="F160" s="86"/>
      <c r="G160" s="85" t="str">
        <f aca="false">IF($A160="","",COUNTIFS(Students!$E$5:$E$304,$A160,Students!$K$5:$K$304,"Active"))</f>
        <v/>
      </c>
      <c r="H160" s="85" t="str">
        <f aca="false">IF($A160="","",COUNTIFS(Teachers!$E$5:$E$304,$A160,Teachers!$I$5:$I$304,"Active"))</f>
        <v/>
      </c>
      <c r="I160" s="85" t="str">
        <f aca="false">IF($A160="","",COUNTIF(Classes!$B$5:$B$304,$A160))</f>
        <v/>
      </c>
      <c r="J160" s="85"/>
    </row>
    <row r="161" customFormat="false" ht="19.5" hidden="false" customHeight="true" outlineLevel="0" collapsed="false">
      <c r="A161" s="85" t="str">
        <f aca="false">IF(B161="","","SCH"&amp;TEXT(ROW()-4,"00"))</f>
        <v/>
      </c>
      <c r="B161" s="86"/>
      <c r="C161" s="86"/>
      <c r="D161" s="86"/>
      <c r="E161" s="86"/>
      <c r="F161" s="86"/>
      <c r="G161" s="85" t="str">
        <f aca="false">IF($A161="","",COUNTIFS(Students!$E$5:$E$304,$A161,Students!$K$5:$K$304,"Active"))</f>
        <v/>
      </c>
      <c r="H161" s="85" t="str">
        <f aca="false">IF($A161="","",COUNTIFS(Teachers!$E$5:$E$304,$A161,Teachers!$I$5:$I$304,"Active"))</f>
        <v/>
      </c>
      <c r="I161" s="85" t="str">
        <f aca="false">IF($A161="","",COUNTIF(Classes!$B$5:$B$304,$A161))</f>
        <v/>
      </c>
      <c r="J161" s="85"/>
    </row>
    <row r="162" customFormat="false" ht="19.5" hidden="false" customHeight="true" outlineLevel="0" collapsed="false">
      <c r="A162" s="85" t="str">
        <f aca="false">IF(B162="","","SCH"&amp;TEXT(ROW()-4,"00"))</f>
        <v/>
      </c>
      <c r="B162" s="86"/>
      <c r="C162" s="86"/>
      <c r="D162" s="86"/>
      <c r="E162" s="86"/>
      <c r="F162" s="86"/>
      <c r="G162" s="85" t="str">
        <f aca="false">IF($A162="","",COUNTIFS(Students!$E$5:$E$304,$A162,Students!$K$5:$K$304,"Active"))</f>
        <v/>
      </c>
      <c r="H162" s="85" t="str">
        <f aca="false">IF($A162="","",COUNTIFS(Teachers!$E$5:$E$304,$A162,Teachers!$I$5:$I$304,"Active"))</f>
        <v/>
      </c>
      <c r="I162" s="85" t="str">
        <f aca="false">IF($A162="","",COUNTIF(Classes!$B$5:$B$304,$A162))</f>
        <v/>
      </c>
      <c r="J162" s="85"/>
    </row>
    <row r="163" customFormat="false" ht="19.5" hidden="false" customHeight="true" outlineLevel="0" collapsed="false">
      <c r="A163" s="85" t="str">
        <f aca="false">IF(B163="","","SCH"&amp;TEXT(ROW()-4,"00"))</f>
        <v/>
      </c>
      <c r="B163" s="86"/>
      <c r="C163" s="86"/>
      <c r="D163" s="86"/>
      <c r="E163" s="86"/>
      <c r="F163" s="86"/>
      <c r="G163" s="85" t="str">
        <f aca="false">IF($A163="","",COUNTIFS(Students!$E$5:$E$304,$A163,Students!$K$5:$K$304,"Active"))</f>
        <v/>
      </c>
      <c r="H163" s="85" t="str">
        <f aca="false">IF($A163="","",COUNTIFS(Teachers!$E$5:$E$304,$A163,Teachers!$I$5:$I$304,"Active"))</f>
        <v/>
      </c>
      <c r="I163" s="85" t="str">
        <f aca="false">IF($A163="","",COUNTIF(Classes!$B$5:$B$304,$A163))</f>
        <v/>
      </c>
      <c r="J163" s="85"/>
    </row>
    <row r="164" customFormat="false" ht="19.5" hidden="false" customHeight="true" outlineLevel="0" collapsed="false">
      <c r="A164" s="85" t="str">
        <f aca="false">IF(B164="","","SCH"&amp;TEXT(ROW()-4,"00"))</f>
        <v/>
      </c>
      <c r="B164" s="86"/>
      <c r="C164" s="86"/>
      <c r="D164" s="86"/>
      <c r="E164" s="86"/>
      <c r="F164" s="86"/>
      <c r="G164" s="85" t="str">
        <f aca="false">IF($A164="","",COUNTIFS(Students!$E$5:$E$304,$A164,Students!$K$5:$K$304,"Active"))</f>
        <v/>
      </c>
      <c r="H164" s="85" t="str">
        <f aca="false">IF($A164="","",COUNTIFS(Teachers!$E$5:$E$304,$A164,Teachers!$I$5:$I$304,"Active"))</f>
        <v/>
      </c>
      <c r="I164" s="85" t="str">
        <f aca="false">IF($A164="","",COUNTIF(Classes!$B$5:$B$304,$A164))</f>
        <v/>
      </c>
      <c r="J164" s="85"/>
    </row>
    <row r="165" customFormat="false" ht="19.5" hidden="false" customHeight="true" outlineLevel="0" collapsed="false">
      <c r="A165" s="85" t="str">
        <f aca="false">IF(B165="","","SCH"&amp;TEXT(ROW()-4,"00"))</f>
        <v/>
      </c>
      <c r="B165" s="86"/>
      <c r="C165" s="86"/>
      <c r="D165" s="86"/>
      <c r="E165" s="86"/>
      <c r="F165" s="86"/>
      <c r="G165" s="85" t="str">
        <f aca="false">IF($A165="","",COUNTIFS(Students!$E$5:$E$304,$A165,Students!$K$5:$K$304,"Active"))</f>
        <v/>
      </c>
      <c r="H165" s="85" t="str">
        <f aca="false">IF($A165="","",COUNTIFS(Teachers!$E$5:$E$304,$A165,Teachers!$I$5:$I$304,"Active"))</f>
        <v/>
      </c>
      <c r="I165" s="85" t="str">
        <f aca="false">IF($A165="","",COUNTIF(Classes!$B$5:$B$304,$A165))</f>
        <v/>
      </c>
      <c r="J165" s="85"/>
    </row>
    <row r="166" customFormat="false" ht="19.5" hidden="false" customHeight="true" outlineLevel="0" collapsed="false">
      <c r="A166" s="85" t="str">
        <f aca="false">IF(B166="","","SCH"&amp;TEXT(ROW()-4,"00"))</f>
        <v/>
      </c>
      <c r="B166" s="86"/>
      <c r="C166" s="86"/>
      <c r="D166" s="86"/>
      <c r="E166" s="86"/>
      <c r="F166" s="86"/>
      <c r="G166" s="85" t="str">
        <f aca="false">IF($A166="","",COUNTIFS(Students!$E$5:$E$304,$A166,Students!$K$5:$K$304,"Active"))</f>
        <v/>
      </c>
      <c r="H166" s="85" t="str">
        <f aca="false">IF($A166="","",COUNTIFS(Teachers!$E$5:$E$304,$A166,Teachers!$I$5:$I$304,"Active"))</f>
        <v/>
      </c>
      <c r="I166" s="85" t="str">
        <f aca="false">IF($A166="","",COUNTIF(Classes!$B$5:$B$304,$A166))</f>
        <v/>
      </c>
      <c r="J166" s="85"/>
    </row>
    <row r="167" customFormat="false" ht="19.5" hidden="false" customHeight="true" outlineLevel="0" collapsed="false">
      <c r="A167" s="85" t="str">
        <f aca="false">IF(B167="","","SCH"&amp;TEXT(ROW()-4,"00"))</f>
        <v/>
      </c>
      <c r="B167" s="86"/>
      <c r="C167" s="86"/>
      <c r="D167" s="86"/>
      <c r="E167" s="86"/>
      <c r="F167" s="86"/>
      <c r="G167" s="85" t="str">
        <f aca="false">IF($A167="","",COUNTIFS(Students!$E$5:$E$304,$A167,Students!$K$5:$K$304,"Active"))</f>
        <v/>
      </c>
      <c r="H167" s="85" t="str">
        <f aca="false">IF($A167="","",COUNTIFS(Teachers!$E$5:$E$304,$A167,Teachers!$I$5:$I$304,"Active"))</f>
        <v/>
      </c>
      <c r="I167" s="85" t="str">
        <f aca="false">IF($A167="","",COUNTIF(Classes!$B$5:$B$304,$A167))</f>
        <v/>
      </c>
      <c r="J167" s="85"/>
    </row>
    <row r="168" customFormat="false" ht="19.5" hidden="false" customHeight="true" outlineLevel="0" collapsed="false">
      <c r="A168" s="85" t="str">
        <f aca="false">IF(B168="","","SCH"&amp;TEXT(ROW()-4,"00"))</f>
        <v/>
      </c>
      <c r="B168" s="86"/>
      <c r="C168" s="86"/>
      <c r="D168" s="86"/>
      <c r="E168" s="86"/>
      <c r="F168" s="86"/>
      <c r="G168" s="85" t="str">
        <f aca="false">IF($A168="","",COUNTIFS(Students!$E$5:$E$304,$A168,Students!$K$5:$K$304,"Active"))</f>
        <v/>
      </c>
      <c r="H168" s="85" t="str">
        <f aca="false">IF($A168="","",COUNTIFS(Teachers!$E$5:$E$304,$A168,Teachers!$I$5:$I$304,"Active"))</f>
        <v/>
      </c>
      <c r="I168" s="85" t="str">
        <f aca="false">IF($A168="","",COUNTIF(Classes!$B$5:$B$304,$A168))</f>
        <v/>
      </c>
      <c r="J168" s="85"/>
    </row>
    <row r="169" customFormat="false" ht="19.5" hidden="false" customHeight="true" outlineLevel="0" collapsed="false">
      <c r="A169" s="85" t="str">
        <f aca="false">IF(B169="","","SCH"&amp;TEXT(ROW()-4,"00"))</f>
        <v/>
      </c>
      <c r="B169" s="86"/>
      <c r="C169" s="86"/>
      <c r="D169" s="86"/>
      <c r="E169" s="86"/>
      <c r="F169" s="86"/>
      <c r="G169" s="85" t="str">
        <f aca="false">IF($A169="","",COUNTIFS(Students!$E$5:$E$304,$A169,Students!$K$5:$K$304,"Active"))</f>
        <v/>
      </c>
      <c r="H169" s="85" t="str">
        <f aca="false">IF($A169="","",COUNTIFS(Teachers!$E$5:$E$304,$A169,Teachers!$I$5:$I$304,"Active"))</f>
        <v/>
      </c>
      <c r="I169" s="85" t="str">
        <f aca="false">IF($A169="","",COUNTIF(Classes!$B$5:$B$304,$A169))</f>
        <v/>
      </c>
      <c r="J169" s="85"/>
    </row>
    <row r="170" customFormat="false" ht="19.5" hidden="false" customHeight="true" outlineLevel="0" collapsed="false">
      <c r="A170" s="85" t="str">
        <f aca="false">IF(B170="","","SCH"&amp;TEXT(ROW()-4,"00"))</f>
        <v/>
      </c>
      <c r="B170" s="86"/>
      <c r="C170" s="86"/>
      <c r="D170" s="86"/>
      <c r="E170" s="86"/>
      <c r="F170" s="86"/>
      <c r="G170" s="85" t="str">
        <f aca="false">IF($A170="","",COUNTIFS(Students!$E$5:$E$304,$A170,Students!$K$5:$K$304,"Active"))</f>
        <v/>
      </c>
      <c r="H170" s="85" t="str">
        <f aca="false">IF($A170="","",COUNTIFS(Teachers!$E$5:$E$304,$A170,Teachers!$I$5:$I$304,"Active"))</f>
        <v/>
      </c>
      <c r="I170" s="85" t="str">
        <f aca="false">IF($A170="","",COUNTIF(Classes!$B$5:$B$304,$A170))</f>
        <v/>
      </c>
      <c r="J170" s="85"/>
    </row>
    <row r="171" customFormat="false" ht="19.5" hidden="false" customHeight="true" outlineLevel="0" collapsed="false">
      <c r="A171" s="85" t="str">
        <f aca="false">IF(B171="","","SCH"&amp;TEXT(ROW()-4,"00"))</f>
        <v/>
      </c>
      <c r="B171" s="86"/>
      <c r="C171" s="86"/>
      <c r="D171" s="86"/>
      <c r="E171" s="86"/>
      <c r="F171" s="86"/>
      <c r="G171" s="85" t="str">
        <f aca="false">IF($A171="","",COUNTIFS(Students!$E$5:$E$304,$A171,Students!$K$5:$K$304,"Active"))</f>
        <v/>
      </c>
      <c r="H171" s="85" t="str">
        <f aca="false">IF($A171="","",COUNTIFS(Teachers!$E$5:$E$304,$A171,Teachers!$I$5:$I$304,"Active"))</f>
        <v/>
      </c>
      <c r="I171" s="85" t="str">
        <f aca="false">IF($A171="","",COUNTIF(Classes!$B$5:$B$304,$A171))</f>
        <v/>
      </c>
      <c r="J171" s="85"/>
    </row>
    <row r="172" customFormat="false" ht="19.5" hidden="false" customHeight="true" outlineLevel="0" collapsed="false">
      <c r="A172" s="85" t="str">
        <f aca="false">IF(B172="","","SCH"&amp;TEXT(ROW()-4,"00"))</f>
        <v/>
      </c>
      <c r="B172" s="86"/>
      <c r="C172" s="86"/>
      <c r="D172" s="86"/>
      <c r="E172" s="86"/>
      <c r="F172" s="86"/>
      <c r="G172" s="85" t="str">
        <f aca="false">IF($A172="","",COUNTIFS(Students!$E$5:$E$304,$A172,Students!$K$5:$K$304,"Active"))</f>
        <v/>
      </c>
      <c r="H172" s="85" t="str">
        <f aca="false">IF($A172="","",COUNTIFS(Teachers!$E$5:$E$304,$A172,Teachers!$I$5:$I$304,"Active"))</f>
        <v/>
      </c>
      <c r="I172" s="85" t="str">
        <f aca="false">IF($A172="","",COUNTIF(Classes!$B$5:$B$304,$A172))</f>
        <v/>
      </c>
      <c r="J172" s="85"/>
    </row>
    <row r="173" customFormat="false" ht="19.5" hidden="false" customHeight="true" outlineLevel="0" collapsed="false">
      <c r="A173" s="85" t="str">
        <f aca="false">IF(B173="","","SCH"&amp;TEXT(ROW()-4,"00"))</f>
        <v/>
      </c>
      <c r="B173" s="86"/>
      <c r="C173" s="86"/>
      <c r="D173" s="86"/>
      <c r="E173" s="86"/>
      <c r="F173" s="86"/>
      <c r="G173" s="85" t="str">
        <f aca="false">IF($A173="","",COUNTIFS(Students!$E$5:$E$304,$A173,Students!$K$5:$K$304,"Active"))</f>
        <v/>
      </c>
      <c r="H173" s="85" t="str">
        <f aca="false">IF($A173="","",COUNTIFS(Teachers!$E$5:$E$304,$A173,Teachers!$I$5:$I$304,"Active"))</f>
        <v/>
      </c>
      <c r="I173" s="85" t="str">
        <f aca="false">IF($A173="","",COUNTIF(Classes!$B$5:$B$304,$A173))</f>
        <v/>
      </c>
      <c r="J173" s="85"/>
    </row>
    <row r="174" customFormat="false" ht="19.5" hidden="false" customHeight="true" outlineLevel="0" collapsed="false">
      <c r="A174" s="85" t="str">
        <f aca="false">IF(B174="","","SCH"&amp;TEXT(ROW()-4,"00"))</f>
        <v/>
      </c>
      <c r="B174" s="86"/>
      <c r="C174" s="86"/>
      <c r="D174" s="86"/>
      <c r="E174" s="86"/>
      <c r="F174" s="86"/>
      <c r="G174" s="85" t="str">
        <f aca="false">IF($A174="","",COUNTIFS(Students!$E$5:$E$304,$A174,Students!$K$5:$K$304,"Active"))</f>
        <v/>
      </c>
      <c r="H174" s="85" t="str">
        <f aca="false">IF($A174="","",COUNTIFS(Teachers!$E$5:$E$304,$A174,Teachers!$I$5:$I$304,"Active"))</f>
        <v/>
      </c>
      <c r="I174" s="85" t="str">
        <f aca="false">IF($A174="","",COUNTIF(Classes!$B$5:$B$304,$A174))</f>
        <v/>
      </c>
      <c r="J174" s="85"/>
    </row>
    <row r="175" customFormat="false" ht="19.5" hidden="false" customHeight="true" outlineLevel="0" collapsed="false">
      <c r="A175" s="85" t="str">
        <f aca="false">IF(B175="","","SCH"&amp;TEXT(ROW()-4,"00"))</f>
        <v/>
      </c>
      <c r="B175" s="86"/>
      <c r="C175" s="86"/>
      <c r="D175" s="86"/>
      <c r="E175" s="86"/>
      <c r="F175" s="86"/>
      <c r="G175" s="85" t="str">
        <f aca="false">IF($A175="","",COUNTIFS(Students!$E$5:$E$304,$A175,Students!$K$5:$K$304,"Active"))</f>
        <v/>
      </c>
      <c r="H175" s="85" t="str">
        <f aca="false">IF($A175="","",COUNTIFS(Teachers!$E$5:$E$304,$A175,Teachers!$I$5:$I$304,"Active"))</f>
        <v/>
      </c>
      <c r="I175" s="85" t="str">
        <f aca="false">IF($A175="","",COUNTIF(Classes!$B$5:$B$304,$A175))</f>
        <v/>
      </c>
      <c r="J175" s="85"/>
    </row>
    <row r="176" customFormat="false" ht="19.5" hidden="false" customHeight="true" outlineLevel="0" collapsed="false">
      <c r="A176" s="85" t="str">
        <f aca="false">IF(B176="","","SCH"&amp;TEXT(ROW()-4,"00"))</f>
        <v/>
      </c>
      <c r="B176" s="86"/>
      <c r="C176" s="86"/>
      <c r="D176" s="86"/>
      <c r="E176" s="86"/>
      <c r="F176" s="86"/>
      <c r="G176" s="85" t="str">
        <f aca="false">IF($A176="","",COUNTIFS(Students!$E$5:$E$304,$A176,Students!$K$5:$K$304,"Active"))</f>
        <v/>
      </c>
      <c r="H176" s="85" t="str">
        <f aca="false">IF($A176="","",COUNTIFS(Teachers!$E$5:$E$304,$A176,Teachers!$I$5:$I$304,"Active"))</f>
        <v/>
      </c>
      <c r="I176" s="85" t="str">
        <f aca="false">IF($A176="","",COUNTIF(Classes!$B$5:$B$304,$A176))</f>
        <v/>
      </c>
      <c r="J176" s="85"/>
    </row>
    <row r="177" customFormat="false" ht="19.5" hidden="false" customHeight="true" outlineLevel="0" collapsed="false">
      <c r="A177" s="85" t="str">
        <f aca="false">IF(B177="","","SCH"&amp;TEXT(ROW()-4,"00"))</f>
        <v/>
      </c>
      <c r="B177" s="86"/>
      <c r="C177" s="86"/>
      <c r="D177" s="86"/>
      <c r="E177" s="86"/>
      <c r="F177" s="86"/>
      <c r="G177" s="85" t="str">
        <f aca="false">IF($A177="","",COUNTIFS(Students!$E$5:$E$304,$A177,Students!$K$5:$K$304,"Active"))</f>
        <v/>
      </c>
      <c r="H177" s="85" t="str">
        <f aca="false">IF($A177="","",COUNTIFS(Teachers!$E$5:$E$304,$A177,Teachers!$I$5:$I$304,"Active"))</f>
        <v/>
      </c>
      <c r="I177" s="85" t="str">
        <f aca="false">IF($A177="","",COUNTIF(Classes!$B$5:$B$304,$A177))</f>
        <v/>
      </c>
      <c r="J177" s="85"/>
    </row>
    <row r="178" customFormat="false" ht="19.5" hidden="false" customHeight="true" outlineLevel="0" collapsed="false">
      <c r="A178" s="85" t="str">
        <f aca="false">IF(B178="","","SCH"&amp;TEXT(ROW()-4,"00"))</f>
        <v/>
      </c>
      <c r="B178" s="86"/>
      <c r="C178" s="86"/>
      <c r="D178" s="86"/>
      <c r="E178" s="86"/>
      <c r="F178" s="86"/>
      <c r="G178" s="85" t="str">
        <f aca="false">IF($A178="","",COUNTIFS(Students!$E$5:$E$304,$A178,Students!$K$5:$K$304,"Active"))</f>
        <v/>
      </c>
      <c r="H178" s="85" t="str">
        <f aca="false">IF($A178="","",COUNTIFS(Teachers!$E$5:$E$304,$A178,Teachers!$I$5:$I$304,"Active"))</f>
        <v/>
      </c>
      <c r="I178" s="85" t="str">
        <f aca="false">IF($A178="","",COUNTIF(Classes!$B$5:$B$304,$A178))</f>
        <v/>
      </c>
      <c r="J178" s="85"/>
    </row>
    <row r="179" customFormat="false" ht="19.5" hidden="false" customHeight="true" outlineLevel="0" collapsed="false">
      <c r="A179" s="85" t="str">
        <f aca="false">IF(B179="","","SCH"&amp;TEXT(ROW()-4,"00"))</f>
        <v/>
      </c>
      <c r="B179" s="86"/>
      <c r="C179" s="86"/>
      <c r="D179" s="86"/>
      <c r="E179" s="86"/>
      <c r="F179" s="86"/>
      <c r="G179" s="85" t="str">
        <f aca="false">IF($A179="","",COUNTIFS(Students!$E$5:$E$304,$A179,Students!$K$5:$K$304,"Active"))</f>
        <v/>
      </c>
      <c r="H179" s="85" t="str">
        <f aca="false">IF($A179="","",COUNTIFS(Teachers!$E$5:$E$304,$A179,Teachers!$I$5:$I$304,"Active"))</f>
        <v/>
      </c>
      <c r="I179" s="85" t="str">
        <f aca="false">IF($A179="","",COUNTIF(Classes!$B$5:$B$304,$A179))</f>
        <v/>
      </c>
      <c r="J179" s="85"/>
    </row>
    <row r="180" customFormat="false" ht="19.5" hidden="false" customHeight="true" outlineLevel="0" collapsed="false">
      <c r="A180" s="85" t="str">
        <f aca="false">IF(B180="","","SCH"&amp;TEXT(ROW()-4,"00"))</f>
        <v/>
      </c>
      <c r="B180" s="86"/>
      <c r="C180" s="86"/>
      <c r="D180" s="86"/>
      <c r="E180" s="86"/>
      <c r="F180" s="86"/>
      <c r="G180" s="85" t="str">
        <f aca="false">IF($A180="","",COUNTIFS(Students!$E$5:$E$304,$A180,Students!$K$5:$K$304,"Active"))</f>
        <v/>
      </c>
      <c r="H180" s="85" t="str">
        <f aca="false">IF($A180="","",COUNTIFS(Teachers!$E$5:$E$304,$A180,Teachers!$I$5:$I$304,"Active"))</f>
        <v/>
      </c>
      <c r="I180" s="85" t="str">
        <f aca="false">IF($A180="","",COUNTIF(Classes!$B$5:$B$304,$A180))</f>
        <v/>
      </c>
      <c r="J180" s="85"/>
    </row>
    <row r="181" customFormat="false" ht="19.5" hidden="false" customHeight="true" outlineLevel="0" collapsed="false">
      <c r="A181" s="85" t="str">
        <f aca="false">IF(B181="","","SCH"&amp;TEXT(ROW()-4,"00"))</f>
        <v/>
      </c>
      <c r="B181" s="86"/>
      <c r="C181" s="86"/>
      <c r="D181" s="86"/>
      <c r="E181" s="86"/>
      <c r="F181" s="86"/>
      <c r="G181" s="85" t="str">
        <f aca="false">IF($A181="","",COUNTIFS(Students!$E$5:$E$304,$A181,Students!$K$5:$K$304,"Active"))</f>
        <v/>
      </c>
      <c r="H181" s="85" t="str">
        <f aca="false">IF($A181="","",COUNTIFS(Teachers!$E$5:$E$304,$A181,Teachers!$I$5:$I$304,"Active"))</f>
        <v/>
      </c>
      <c r="I181" s="85" t="str">
        <f aca="false">IF($A181="","",COUNTIF(Classes!$B$5:$B$304,$A181))</f>
        <v/>
      </c>
      <c r="J181" s="85"/>
    </row>
    <row r="182" customFormat="false" ht="19.5" hidden="false" customHeight="true" outlineLevel="0" collapsed="false">
      <c r="A182" s="85" t="str">
        <f aca="false">IF(B182="","","SCH"&amp;TEXT(ROW()-4,"00"))</f>
        <v/>
      </c>
      <c r="B182" s="86"/>
      <c r="C182" s="86"/>
      <c r="D182" s="86"/>
      <c r="E182" s="86"/>
      <c r="F182" s="86"/>
      <c r="G182" s="85" t="str">
        <f aca="false">IF($A182="","",COUNTIFS(Students!$E$5:$E$304,$A182,Students!$K$5:$K$304,"Active"))</f>
        <v/>
      </c>
      <c r="H182" s="85" t="str">
        <f aca="false">IF($A182="","",COUNTIFS(Teachers!$E$5:$E$304,$A182,Teachers!$I$5:$I$304,"Active"))</f>
        <v/>
      </c>
      <c r="I182" s="85" t="str">
        <f aca="false">IF($A182="","",COUNTIF(Classes!$B$5:$B$304,$A182))</f>
        <v/>
      </c>
      <c r="J182" s="85"/>
    </row>
    <row r="183" customFormat="false" ht="19.5" hidden="false" customHeight="true" outlineLevel="0" collapsed="false">
      <c r="A183" s="85" t="str">
        <f aca="false">IF(B183="","","SCH"&amp;TEXT(ROW()-4,"00"))</f>
        <v/>
      </c>
      <c r="B183" s="86"/>
      <c r="C183" s="86"/>
      <c r="D183" s="86"/>
      <c r="E183" s="86"/>
      <c r="F183" s="86"/>
      <c r="G183" s="85" t="str">
        <f aca="false">IF($A183="","",COUNTIFS(Students!$E$5:$E$304,$A183,Students!$K$5:$K$304,"Active"))</f>
        <v/>
      </c>
      <c r="H183" s="85" t="str">
        <f aca="false">IF($A183="","",COUNTIFS(Teachers!$E$5:$E$304,$A183,Teachers!$I$5:$I$304,"Active"))</f>
        <v/>
      </c>
      <c r="I183" s="85" t="str">
        <f aca="false">IF($A183="","",COUNTIF(Classes!$B$5:$B$304,$A183))</f>
        <v/>
      </c>
      <c r="J183" s="85"/>
    </row>
    <row r="184" customFormat="false" ht="19.5" hidden="false" customHeight="true" outlineLevel="0" collapsed="false">
      <c r="A184" s="85" t="str">
        <f aca="false">IF(B184="","","SCH"&amp;TEXT(ROW()-4,"00"))</f>
        <v/>
      </c>
      <c r="B184" s="86"/>
      <c r="C184" s="86"/>
      <c r="D184" s="86"/>
      <c r="E184" s="86"/>
      <c r="F184" s="86"/>
      <c r="G184" s="85" t="str">
        <f aca="false">IF($A184="","",COUNTIFS(Students!$E$5:$E$304,$A184,Students!$K$5:$K$304,"Active"))</f>
        <v/>
      </c>
      <c r="H184" s="85" t="str">
        <f aca="false">IF($A184="","",COUNTIFS(Teachers!$E$5:$E$304,$A184,Teachers!$I$5:$I$304,"Active"))</f>
        <v/>
      </c>
      <c r="I184" s="85" t="str">
        <f aca="false">IF($A184="","",COUNTIF(Classes!$B$5:$B$304,$A184))</f>
        <v/>
      </c>
      <c r="J184" s="85"/>
    </row>
    <row r="185" customFormat="false" ht="19.5" hidden="false" customHeight="true" outlineLevel="0" collapsed="false">
      <c r="A185" s="85" t="str">
        <f aca="false">IF(B185="","","SCH"&amp;TEXT(ROW()-4,"00"))</f>
        <v/>
      </c>
      <c r="B185" s="86"/>
      <c r="C185" s="86"/>
      <c r="D185" s="86"/>
      <c r="E185" s="86"/>
      <c r="F185" s="86"/>
      <c r="G185" s="85" t="str">
        <f aca="false">IF($A185="","",COUNTIFS(Students!$E$5:$E$304,$A185,Students!$K$5:$K$304,"Active"))</f>
        <v/>
      </c>
      <c r="H185" s="85" t="str">
        <f aca="false">IF($A185="","",COUNTIFS(Teachers!$E$5:$E$304,$A185,Teachers!$I$5:$I$304,"Active"))</f>
        <v/>
      </c>
      <c r="I185" s="85" t="str">
        <f aca="false">IF($A185="","",COUNTIF(Classes!$B$5:$B$304,$A185))</f>
        <v/>
      </c>
      <c r="J185" s="85"/>
    </row>
    <row r="186" customFormat="false" ht="19.5" hidden="false" customHeight="true" outlineLevel="0" collapsed="false">
      <c r="A186" s="85" t="str">
        <f aca="false">IF(B186="","","SCH"&amp;TEXT(ROW()-4,"00"))</f>
        <v/>
      </c>
      <c r="B186" s="86"/>
      <c r="C186" s="86"/>
      <c r="D186" s="86"/>
      <c r="E186" s="86"/>
      <c r="F186" s="86"/>
      <c r="G186" s="85" t="str">
        <f aca="false">IF($A186="","",COUNTIFS(Students!$E$5:$E$304,$A186,Students!$K$5:$K$304,"Active"))</f>
        <v/>
      </c>
      <c r="H186" s="85" t="str">
        <f aca="false">IF($A186="","",COUNTIFS(Teachers!$E$5:$E$304,$A186,Teachers!$I$5:$I$304,"Active"))</f>
        <v/>
      </c>
      <c r="I186" s="85" t="str">
        <f aca="false">IF($A186="","",COUNTIF(Classes!$B$5:$B$304,$A186))</f>
        <v/>
      </c>
      <c r="J186" s="85"/>
    </row>
    <row r="187" customFormat="false" ht="19.5" hidden="false" customHeight="true" outlineLevel="0" collapsed="false">
      <c r="A187" s="85" t="str">
        <f aca="false">IF(B187="","","SCH"&amp;TEXT(ROW()-4,"00"))</f>
        <v/>
      </c>
      <c r="B187" s="86"/>
      <c r="C187" s="86"/>
      <c r="D187" s="86"/>
      <c r="E187" s="86"/>
      <c r="F187" s="86"/>
      <c r="G187" s="85" t="str">
        <f aca="false">IF($A187="","",COUNTIFS(Students!$E$5:$E$304,$A187,Students!$K$5:$K$304,"Active"))</f>
        <v/>
      </c>
      <c r="H187" s="85" t="str">
        <f aca="false">IF($A187="","",COUNTIFS(Teachers!$E$5:$E$304,$A187,Teachers!$I$5:$I$304,"Active"))</f>
        <v/>
      </c>
      <c r="I187" s="85" t="str">
        <f aca="false">IF($A187="","",COUNTIF(Classes!$B$5:$B$304,$A187))</f>
        <v/>
      </c>
      <c r="J187" s="85"/>
    </row>
    <row r="188" customFormat="false" ht="19.5" hidden="false" customHeight="true" outlineLevel="0" collapsed="false">
      <c r="A188" s="85" t="str">
        <f aca="false">IF(B188="","","SCH"&amp;TEXT(ROW()-4,"00"))</f>
        <v/>
      </c>
      <c r="B188" s="86"/>
      <c r="C188" s="86"/>
      <c r="D188" s="86"/>
      <c r="E188" s="86"/>
      <c r="F188" s="86"/>
      <c r="G188" s="85" t="str">
        <f aca="false">IF($A188="","",COUNTIFS(Students!$E$5:$E$304,$A188,Students!$K$5:$K$304,"Active"))</f>
        <v/>
      </c>
      <c r="H188" s="85" t="str">
        <f aca="false">IF($A188="","",COUNTIFS(Teachers!$E$5:$E$304,$A188,Teachers!$I$5:$I$304,"Active"))</f>
        <v/>
      </c>
      <c r="I188" s="85" t="str">
        <f aca="false">IF($A188="","",COUNTIF(Classes!$B$5:$B$304,$A188))</f>
        <v/>
      </c>
      <c r="J188" s="85"/>
    </row>
    <row r="189" customFormat="false" ht="19.5" hidden="false" customHeight="true" outlineLevel="0" collapsed="false">
      <c r="A189" s="85" t="str">
        <f aca="false">IF(B189="","","SCH"&amp;TEXT(ROW()-4,"00"))</f>
        <v/>
      </c>
      <c r="B189" s="86"/>
      <c r="C189" s="86"/>
      <c r="D189" s="86"/>
      <c r="E189" s="86"/>
      <c r="F189" s="86"/>
      <c r="G189" s="85" t="str">
        <f aca="false">IF($A189="","",COUNTIFS(Students!$E$5:$E$304,$A189,Students!$K$5:$K$304,"Active"))</f>
        <v/>
      </c>
      <c r="H189" s="85" t="str">
        <f aca="false">IF($A189="","",COUNTIFS(Teachers!$E$5:$E$304,$A189,Teachers!$I$5:$I$304,"Active"))</f>
        <v/>
      </c>
      <c r="I189" s="85" t="str">
        <f aca="false">IF($A189="","",COUNTIF(Classes!$B$5:$B$304,$A189))</f>
        <v/>
      </c>
      <c r="J189" s="85"/>
    </row>
    <row r="190" customFormat="false" ht="19.5" hidden="false" customHeight="true" outlineLevel="0" collapsed="false">
      <c r="A190" s="85" t="str">
        <f aca="false">IF(B190="","","SCH"&amp;TEXT(ROW()-4,"00"))</f>
        <v/>
      </c>
      <c r="B190" s="86"/>
      <c r="C190" s="86"/>
      <c r="D190" s="86"/>
      <c r="E190" s="86"/>
      <c r="F190" s="86"/>
      <c r="G190" s="85" t="str">
        <f aca="false">IF($A190="","",COUNTIFS(Students!$E$5:$E$304,$A190,Students!$K$5:$K$304,"Active"))</f>
        <v/>
      </c>
      <c r="H190" s="85" t="str">
        <f aca="false">IF($A190="","",COUNTIFS(Teachers!$E$5:$E$304,$A190,Teachers!$I$5:$I$304,"Active"))</f>
        <v/>
      </c>
      <c r="I190" s="85" t="str">
        <f aca="false">IF($A190="","",COUNTIF(Classes!$B$5:$B$304,$A190))</f>
        <v/>
      </c>
      <c r="J190" s="85"/>
    </row>
    <row r="191" customFormat="false" ht="19.5" hidden="false" customHeight="true" outlineLevel="0" collapsed="false">
      <c r="A191" s="85" t="str">
        <f aca="false">IF(B191="","","SCH"&amp;TEXT(ROW()-4,"00"))</f>
        <v/>
      </c>
      <c r="B191" s="86"/>
      <c r="C191" s="86"/>
      <c r="D191" s="86"/>
      <c r="E191" s="86"/>
      <c r="F191" s="86"/>
      <c r="G191" s="85" t="str">
        <f aca="false">IF($A191="","",COUNTIFS(Students!$E$5:$E$304,$A191,Students!$K$5:$K$304,"Active"))</f>
        <v/>
      </c>
      <c r="H191" s="85" t="str">
        <f aca="false">IF($A191="","",COUNTIFS(Teachers!$E$5:$E$304,$A191,Teachers!$I$5:$I$304,"Active"))</f>
        <v/>
      </c>
      <c r="I191" s="85" t="str">
        <f aca="false">IF($A191="","",COUNTIF(Classes!$B$5:$B$304,$A191))</f>
        <v/>
      </c>
      <c r="J191" s="85"/>
    </row>
    <row r="192" customFormat="false" ht="19.5" hidden="false" customHeight="true" outlineLevel="0" collapsed="false">
      <c r="A192" s="85" t="str">
        <f aca="false">IF(B192="","","SCH"&amp;TEXT(ROW()-4,"00"))</f>
        <v/>
      </c>
      <c r="B192" s="86"/>
      <c r="C192" s="86"/>
      <c r="D192" s="86"/>
      <c r="E192" s="86"/>
      <c r="F192" s="86"/>
      <c r="G192" s="85" t="str">
        <f aca="false">IF($A192="","",COUNTIFS(Students!$E$5:$E$304,$A192,Students!$K$5:$K$304,"Active"))</f>
        <v/>
      </c>
      <c r="H192" s="85" t="str">
        <f aca="false">IF($A192="","",COUNTIFS(Teachers!$E$5:$E$304,$A192,Teachers!$I$5:$I$304,"Active"))</f>
        <v/>
      </c>
      <c r="I192" s="85" t="str">
        <f aca="false">IF($A192="","",COUNTIF(Classes!$B$5:$B$304,$A192))</f>
        <v/>
      </c>
      <c r="J192" s="85"/>
    </row>
    <row r="193" customFormat="false" ht="19.5" hidden="false" customHeight="true" outlineLevel="0" collapsed="false">
      <c r="A193" s="85" t="str">
        <f aca="false">IF(B193="","","SCH"&amp;TEXT(ROW()-4,"00"))</f>
        <v/>
      </c>
      <c r="B193" s="86"/>
      <c r="C193" s="86"/>
      <c r="D193" s="86"/>
      <c r="E193" s="86"/>
      <c r="F193" s="86"/>
      <c r="G193" s="85" t="str">
        <f aca="false">IF($A193="","",COUNTIFS(Students!$E$5:$E$304,$A193,Students!$K$5:$K$304,"Active"))</f>
        <v/>
      </c>
      <c r="H193" s="85" t="str">
        <f aca="false">IF($A193="","",COUNTIFS(Teachers!$E$5:$E$304,$A193,Teachers!$I$5:$I$304,"Active"))</f>
        <v/>
      </c>
      <c r="I193" s="85" t="str">
        <f aca="false">IF($A193="","",COUNTIF(Classes!$B$5:$B$304,$A193))</f>
        <v/>
      </c>
      <c r="J193" s="85"/>
    </row>
    <row r="194" customFormat="false" ht="19.5" hidden="false" customHeight="true" outlineLevel="0" collapsed="false">
      <c r="A194" s="85" t="str">
        <f aca="false">IF(B194="","","SCH"&amp;TEXT(ROW()-4,"00"))</f>
        <v/>
      </c>
      <c r="B194" s="86"/>
      <c r="C194" s="86"/>
      <c r="D194" s="86"/>
      <c r="E194" s="86"/>
      <c r="F194" s="86"/>
      <c r="G194" s="85" t="str">
        <f aca="false">IF($A194="","",COUNTIFS(Students!$E$5:$E$304,$A194,Students!$K$5:$K$304,"Active"))</f>
        <v/>
      </c>
      <c r="H194" s="85" t="str">
        <f aca="false">IF($A194="","",COUNTIFS(Teachers!$E$5:$E$304,$A194,Teachers!$I$5:$I$304,"Active"))</f>
        <v/>
      </c>
      <c r="I194" s="85" t="str">
        <f aca="false">IF($A194="","",COUNTIF(Classes!$B$5:$B$304,$A194))</f>
        <v/>
      </c>
      <c r="J194" s="85"/>
    </row>
    <row r="195" customFormat="false" ht="19.5" hidden="false" customHeight="true" outlineLevel="0" collapsed="false">
      <c r="A195" s="85" t="str">
        <f aca="false">IF(B195="","","SCH"&amp;TEXT(ROW()-4,"00"))</f>
        <v/>
      </c>
      <c r="B195" s="86"/>
      <c r="C195" s="86"/>
      <c r="D195" s="86"/>
      <c r="E195" s="86"/>
      <c r="F195" s="86"/>
      <c r="G195" s="85" t="str">
        <f aca="false">IF($A195="","",COUNTIFS(Students!$E$5:$E$304,$A195,Students!$K$5:$K$304,"Active"))</f>
        <v/>
      </c>
      <c r="H195" s="85" t="str">
        <f aca="false">IF($A195="","",COUNTIFS(Teachers!$E$5:$E$304,$A195,Teachers!$I$5:$I$304,"Active"))</f>
        <v/>
      </c>
      <c r="I195" s="85" t="str">
        <f aca="false">IF($A195="","",COUNTIF(Classes!$B$5:$B$304,$A195))</f>
        <v/>
      </c>
      <c r="J195" s="85"/>
    </row>
    <row r="196" customFormat="false" ht="19.5" hidden="false" customHeight="true" outlineLevel="0" collapsed="false">
      <c r="A196" s="85" t="str">
        <f aca="false">IF(B196="","","SCH"&amp;TEXT(ROW()-4,"00"))</f>
        <v/>
      </c>
      <c r="B196" s="86"/>
      <c r="C196" s="86"/>
      <c r="D196" s="86"/>
      <c r="E196" s="86"/>
      <c r="F196" s="86"/>
      <c r="G196" s="85" t="str">
        <f aca="false">IF($A196="","",COUNTIFS(Students!$E$5:$E$304,$A196,Students!$K$5:$K$304,"Active"))</f>
        <v/>
      </c>
      <c r="H196" s="85" t="str">
        <f aca="false">IF($A196="","",COUNTIFS(Teachers!$E$5:$E$304,$A196,Teachers!$I$5:$I$304,"Active"))</f>
        <v/>
      </c>
      <c r="I196" s="85" t="str">
        <f aca="false">IF($A196="","",COUNTIF(Classes!$B$5:$B$304,$A196))</f>
        <v/>
      </c>
      <c r="J196" s="85"/>
    </row>
    <row r="197" customFormat="false" ht="19.5" hidden="false" customHeight="true" outlineLevel="0" collapsed="false">
      <c r="A197" s="85" t="str">
        <f aca="false">IF(B197="","","SCH"&amp;TEXT(ROW()-4,"00"))</f>
        <v/>
      </c>
      <c r="B197" s="86"/>
      <c r="C197" s="86"/>
      <c r="D197" s="86"/>
      <c r="E197" s="86"/>
      <c r="F197" s="86"/>
      <c r="G197" s="85" t="str">
        <f aca="false">IF($A197="","",COUNTIFS(Students!$E$5:$E$304,$A197,Students!$K$5:$K$304,"Active"))</f>
        <v/>
      </c>
      <c r="H197" s="85" t="str">
        <f aca="false">IF($A197="","",COUNTIFS(Teachers!$E$5:$E$304,$A197,Teachers!$I$5:$I$304,"Active"))</f>
        <v/>
      </c>
      <c r="I197" s="85" t="str">
        <f aca="false">IF($A197="","",COUNTIF(Classes!$B$5:$B$304,$A197))</f>
        <v/>
      </c>
      <c r="J197" s="85"/>
    </row>
    <row r="198" customFormat="false" ht="19.5" hidden="false" customHeight="true" outlineLevel="0" collapsed="false">
      <c r="A198" s="85" t="str">
        <f aca="false">IF(B198="","","SCH"&amp;TEXT(ROW()-4,"00"))</f>
        <v/>
      </c>
      <c r="B198" s="86"/>
      <c r="C198" s="86"/>
      <c r="D198" s="86"/>
      <c r="E198" s="86"/>
      <c r="F198" s="86"/>
      <c r="G198" s="85" t="str">
        <f aca="false">IF($A198="","",COUNTIFS(Students!$E$5:$E$304,$A198,Students!$K$5:$K$304,"Active"))</f>
        <v/>
      </c>
      <c r="H198" s="85" t="str">
        <f aca="false">IF($A198="","",COUNTIFS(Teachers!$E$5:$E$304,$A198,Teachers!$I$5:$I$304,"Active"))</f>
        <v/>
      </c>
      <c r="I198" s="85" t="str">
        <f aca="false">IF($A198="","",COUNTIF(Classes!$B$5:$B$304,$A198))</f>
        <v/>
      </c>
      <c r="J198" s="85"/>
    </row>
    <row r="199" customFormat="false" ht="19.5" hidden="false" customHeight="true" outlineLevel="0" collapsed="false">
      <c r="A199" s="85" t="str">
        <f aca="false">IF(B199="","","SCH"&amp;TEXT(ROW()-4,"00"))</f>
        <v/>
      </c>
      <c r="B199" s="86"/>
      <c r="C199" s="86"/>
      <c r="D199" s="86"/>
      <c r="E199" s="86"/>
      <c r="F199" s="86"/>
      <c r="G199" s="85" t="str">
        <f aca="false">IF($A199="","",COUNTIFS(Students!$E$5:$E$304,$A199,Students!$K$5:$K$304,"Active"))</f>
        <v/>
      </c>
      <c r="H199" s="85" t="str">
        <f aca="false">IF($A199="","",COUNTIFS(Teachers!$E$5:$E$304,$A199,Teachers!$I$5:$I$304,"Active"))</f>
        <v/>
      </c>
      <c r="I199" s="85" t="str">
        <f aca="false">IF($A199="","",COUNTIF(Classes!$B$5:$B$304,$A199))</f>
        <v/>
      </c>
      <c r="J199" s="85"/>
    </row>
    <row r="200" customFormat="false" ht="19.5" hidden="false" customHeight="true" outlineLevel="0" collapsed="false">
      <c r="A200" s="85" t="str">
        <f aca="false">IF(B200="","","SCH"&amp;TEXT(ROW()-4,"00"))</f>
        <v/>
      </c>
      <c r="B200" s="86"/>
      <c r="C200" s="86"/>
      <c r="D200" s="86"/>
      <c r="E200" s="86"/>
      <c r="F200" s="86"/>
      <c r="G200" s="85" t="str">
        <f aca="false">IF($A200="","",COUNTIFS(Students!$E$5:$E$304,$A200,Students!$K$5:$K$304,"Active"))</f>
        <v/>
      </c>
      <c r="H200" s="85" t="str">
        <f aca="false">IF($A200="","",COUNTIFS(Teachers!$E$5:$E$304,$A200,Teachers!$I$5:$I$304,"Active"))</f>
        <v/>
      </c>
      <c r="I200" s="85" t="str">
        <f aca="false">IF($A200="","",COUNTIF(Classes!$B$5:$B$304,$A200))</f>
        <v/>
      </c>
      <c r="J200" s="85"/>
    </row>
    <row r="201" customFormat="false" ht="19.5" hidden="false" customHeight="true" outlineLevel="0" collapsed="false">
      <c r="A201" s="85" t="str">
        <f aca="false">IF(B201="","","SCH"&amp;TEXT(ROW()-4,"00"))</f>
        <v/>
      </c>
      <c r="B201" s="86"/>
      <c r="C201" s="86"/>
      <c r="D201" s="86"/>
      <c r="E201" s="86"/>
      <c r="F201" s="86"/>
      <c r="G201" s="85" t="str">
        <f aca="false">IF($A201="","",COUNTIFS(Students!$E$5:$E$304,$A201,Students!$K$5:$K$304,"Active"))</f>
        <v/>
      </c>
      <c r="H201" s="85" t="str">
        <f aca="false">IF($A201="","",COUNTIFS(Teachers!$E$5:$E$304,$A201,Teachers!$I$5:$I$304,"Active"))</f>
        <v/>
      </c>
      <c r="I201" s="85" t="str">
        <f aca="false">IF($A201="","",COUNTIF(Classes!$B$5:$B$304,$A201))</f>
        <v/>
      </c>
      <c r="J201" s="85"/>
    </row>
    <row r="202" customFormat="false" ht="19.5" hidden="false" customHeight="true" outlineLevel="0" collapsed="false">
      <c r="A202" s="85" t="str">
        <f aca="false">IF(B202="","","SCH"&amp;TEXT(ROW()-4,"00"))</f>
        <v/>
      </c>
      <c r="B202" s="86"/>
      <c r="C202" s="86"/>
      <c r="D202" s="86"/>
      <c r="E202" s="86"/>
      <c r="F202" s="86"/>
      <c r="G202" s="85" t="str">
        <f aca="false">IF($A202="","",COUNTIFS(Students!$E$5:$E$304,$A202,Students!$K$5:$K$304,"Active"))</f>
        <v/>
      </c>
      <c r="H202" s="85" t="str">
        <f aca="false">IF($A202="","",COUNTIFS(Teachers!$E$5:$E$304,$A202,Teachers!$I$5:$I$304,"Active"))</f>
        <v/>
      </c>
      <c r="I202" s="85" t="str">
        <f aca="false">IF($A202="","",COUNTIF(Classes!$B$5:$B$304,$A202))</f>
        <v/>
      </c>
      <c r="J202" s="85"/>
    </row>
    <row r="203" customFormat="false" ht="19.5" hidden="false" customHeight="true" outlineLevel="0" collapsed="false">
      <c r="A203" s="85" t="str">
        <f aca="false">IF(B203="","","SCH"&amp;TEXT(ROW()-4,"00"))</f>
        <v/>
      </c>
      <c r="B203" s="86"/>
      <c r="C203" s="86"/>
      <c r="D203" s="86"/>
      <c r="E203" s="86"/>
      <c r="F203" s="86"/>
      <c r="G203" s="85" t="str">
        <f aca="false">IF($A203="","",COUNTIFS(Students!$E$5:$E$304,$A203,Students!$K$5:$K$304,"Active"))</f>
        <v/>
      </c>
      <c r="H203" s="85" t="str">
        <f aca="false">IF($A203="","",COUNTIFS(Teachers!$E$5:$E$304,$A203,Teachers!$I$5:$I$304,"Active"))</f>
        <v/>
      </c>
      <c r="I203" s="85" t="str">
        <f aca="false">IF($A203="","",COUNTIF(Classes!$B$5:$B$304,$A203))</f>
        <v/>
      </c>
      <c r="J203" s="85"/>
    </row>
    <row r="204" customFormat="false" ht="19.5" hidden="false" customHeight="true" outlineLevel="0" collapsed="false">
      <c r="A204" s="85" t="str">
        <f aca="false">IF(B204="","","SCH"&amp;TEXT(ROW()-4,"00"))</f>
        <v/>
      </c>
      <c r="B204" s="86"/>
      <c r="C204" s="86"/>
      <c r="D204" s="86"/>
      <c r="E204" s="86"/>
      <c r="F204" s="86"/>
      <c r="G204" s="85" t="str">
        <f aca="false">IF($A204="","",COUNTIFS(Students!$E$5:$E$304,$A204,Students!$K$5:$K$304,"Active"))</f>
        <v/>
      </c>
      <c r="H204" s="85" t="str">
        <f aca="false">IF($A204="","",COUNTIFS(Teachers!$E$5:$E$304,$A204,Teachers!$I$5:$I$304,"Active"))</f>
        <v/>
      </c>
      <c r="I204" s="85" t="str">
        <f aca="false">IF($A204="","",COUNTIF(Classes!$B$5:$B$304,$A204))</f>
        <v/>
      </c>
      <c r="J204" s="85"/>
    </row>
    <row r="205" customFormat="false" ht="19.5" hidden="false" customHeight="true" outlineLevel="0" collapsed="false">
      <c r="A205" s="85" t="str">
        <f aca="false">IF(B205="","","SCH"&amp;TEXT(ROW()-4,"00"))</f>
        <v/>
      </c>
      <c r="B205" s="86"/>
      <c r="C205" s="86"/>
      <c r="D205" s="86"/>
      <c r="E205" s="86"/>
      <c r="F205" s="86"/>
      <c r="G205" s="85" t="str">
        <f aca="false">IF($A205="","",COUNTIFS(Students!$E$5:$E$304,$A205,Students!$K$5:$K$304,"Active"))</f>
        <v/>
      </c>
      <c r="H205" s="85" t="str">
        <f aca="false">IF($A205="","",COUNTIFS(Teachers!$E$5:$E$304,$A205,Teachers!$I$5:$I$304,"Active"))</f>
        <v/>
      </c>
      <c r="I205" s="85" t="str">
        <f aca="false">IF($A205="","",COUNTIF(Classes!$B$5:$B$304,$A205))</f>
        <v/>
      </c>
      <c r="J205" s="85"/>
    </row>
    <row r="206" customFormat="false" ht="19.5" hidden="false" customHeight="true" outlineLevel="0" collapsed="false">
      <c r="A206" s="85" t="str">
        <f aca="false">IF(B206="","","SCH"&amp;TEXT(ROW()-4,"00"))</f>
        <v/>
      </c>
      <c r="B206" s="86"/>
      <c r="C206" s="86"/>
      <c r="D206" s="86"/>
      <c r="E206" s="86"/>
      <c r="F206" s="86"/>
      <c r="G206" s="85" t="str">
        <f aca="false">IF($A206="","",COUNTIFS(Students!$E$5:$E$304,$A206,Students!$K$5:$K$304,"Active"))</f>
        <v/>
      </c>
      <c r="H206" s="85" t="str">
        <f aca="false">IF($A206="","",COUNTIFS(Teachers!$E$5:$E$304,$A206,Teachers!$I$5:$I$304,"Active"))</f>
        <v/>
      </c>
      <c r="I206" s="85" t="str">
        <f aca="false">IF($A206="","",COUNTIF(Classes!$B$5:$B$304,$A206))</f>
        <v/>
      </c>
      <c r="J206" s="85"/>
    </row>
    <row r="207" customFormat="false" ht="19.5" hidden="false" customHeight="true" outlineLevel="0" collapsed="false">
      <c r="A207" s="85" t="str">
        <f aca="false">IF(B207="","","SCH"&amp;TEXT(ROW()-4,"00"))</f>
        <v/>
      </c>
      <c r="B207" s="86"/>
      <c r="C207" s="86"/>
      <c r="D207" s="86"/>
      <c r="E207" s="86"/>
      <c r="F207" s="86"/>
      <c r="G207" s="85" t="str">
        <f aca="false">IF($A207="","",COUNTIFS(Students!$E$5:$E$304,$A207,Students!$K$5:$K$304,"Active"))</f>
        <v/>
      </c>
      <c r="H207" s="85" t="str">
        <f aca="false">IF($A207="","",COUNTIFS(Teachers!$E$5:$E$304,$A207,Teachers!$I$5:$I$304,"Active"))</f>
        <v/>
      </c>
      <c r="I207" s="85" t="str">
        <f aca="false">IF($A207="","",COUNTIF(Classes!$B$5:$B$304,$A207))</f>
        <v/>
      </c>
      <c r="J207" s="85"/>
    </row>
    <row r="208" customFormat="false" ht="19.5" hidden="false" customHeight="true" outlineLevel="0" collapsed="false">
      <c r="A208" s="85" t="str">
        <f aca="false">IF(B208="","","SCH"&amp;TEXT(ROW()-4,"00"))</f>
        <v/>
      </c>
      <c r="B208" s="86"/>
      <c r="C208" s="86"/>
      <c r="D208" s="86"/>
      <c r="E208" s="86"/>
      <c r="F208" s="86"/>
      <c r="G208" s="85" t="str">
        <f aca="false">IF($A208="","",COUNTIFS(Students!$E$5:$E$304,$A208,Students!$K$5:$K$304,"Active"))</f>
        <v/>
      </c>
      <c r="H208" s="85" t="str">
        <f aca="false">IF($A208="","",COUNTIFS(Teachers!$E$5:$E$304,$A208,Teachers!$I$5:$I$304,"Active"))</f>
        <v/>
      </c>
      <c r="I208" s="85" t="str">
        <f aca="false">IF($A208="","",COUNTIF(Classes!$B$5:$B$304,$A208))</f>
        <v/>
      </c>
      <c r="J208" s="85"/>
    </row>
    <row r="209" customFormat="false" ht="19.5" hidden="false" customHeight="true" outlineLevel="0" collapsed="false">
      <c r="A209" s="85" t="str">
        <f aca="false">IF(B209="","","SCH"&amp;TEXT(ROW()-4,"00"))</f>
        <v/>
      </c>
      <c r="B209" s="86"/>
      <c r="C209" s="86"/>
      <c r="D209" s="86"/>
      <c r="E209" s="86"/>
      <c r="F209" s="86"/>
      <c r="G209" s="85" t="str">
        <f aca="false">IF($A209="","",COUNTIFS(Students!$E$5:$E$304,$A209,Students!$K$5:$K$304,"Active"))</f>
        <v/>
      </c>
      <c r="H209" s="85" t="str">
        <f aca="false">IF($A209="","",COUNTIFS(Teachers!$E$5:$E$304,$A209,Teachers!$I$5:$I$304,"Active"))</f>
        <v/>
      </c>
      <c r="I209" s="85" t="str">
        <f aca="false">IF($A209="","",COUNTIF(Classes!$B$5:$B$304,$A209))</f>
        <v/>
      </c>
      <c r="J209" s="85"/>
    </row>
    <row r="210" customFormat="false" ht="19.5" hidden="false" customHeight="true" outlineLevel="0" collapsed="false">
      <c r="A210" s="85" t="str">
        <f aca="false">IF(B210="","","SCH"&amp;TEXT(ROW()-4,"00"))</f>
        <v/>
      </c>
      <c r="B210" s="86"/>
      <c r="C210" s="86"/>
      <c r="D210" s="86"/>
      <c r="E210" s="86"/>
      <c r="F210" s="86"/>
      <c r="G210" s="85" t="str">
        <f aca="false">IF($A210="","",COUNTIFS(Students!$E$5:$E$304,$A210,Students!$K$5:$K$304,"Active"))</f>
        <v/>
      </c>
      <c r="H210" s="85" t="str">
        <f aca="false">IF($A210="","",COUNTIFS(Teachers!$E$5:$E$304,$A210,Teachers!$I$5:$I$304,"Active"))</f>
        <v/>
      </c>
      <c r="I210" s="85" t="str">
        <f aca="false">IF($A210="","",COUNTIF(Classes!$B$5:$B$304,$A210))</f>
        <v/>
      </c>
      <c r="J210" s="85"/>
    </row>
    <row r="211" customFormat="false" ht="19.5" hidden="false" customHeight="true" outlineLevel="0" collapsed="false">
      <c r="A211" s="85" t="str">
        <f aca="false">IF(B211="","","SCH"&amp;TEXT(ROW()-4,"00"))</f>
        <v/>
      </c>
      <c r="B211" s="86"/>
      <c r="C211" s="86"/>
      <c r="D211" s="86"/>
      <c r="E211" s="86"/>
      <c r="F211" s="86"/>
      <c r="G211" s="85" t="str">
        <f aca="false">IF($A211="","",COUNTIFS(Students!$E$5:$E$304,$A211,Students!$K$5:$K$304,"Active"))</f>
        <v/>
      </c>
      <c r="H211" s="85" t="str">
        <f aca="false">IF($A211="","",COUNTIFS(Teachers!$E$5:$E$304,$A211,Teachers!$I$5:$I$304,"Active"))</f>
        <v/>
      </c>
      <c r="I211" s="85" t="str">
        <f aca="false">IF($A211="","",COUNTIF(Classes!$B$5:$B$304,$A211))</f>
        <v/>
      </c>
      <c r="J211" s="85"/>
    </row>
    <row r="212" customFormat="false" ht="19.5" hidden="false" customHeight="true" outlineLevel="0" collapsed="false">
      <c r="A212" s="85" t="str">
        <f aca="false">IF(B212="","","SCH"&amp;TEXT(ROW()-4,"00"))</f>
        <v/>
      </c>
      <c r="B212" s="86"/>
      <c r="C212" s="86"/>
      <c r="D212" s="86"/>
      <c r="E212" s="86"/>
      <c r="F212" s="86"/>
      <c r="G212" s="85" t="str">
        <f aca="false">IF($A212="","",COUNTIFS(Students!$E$5:$E$304,$A212,Students!$K$5:$K$304,"Active"))</f>
        <v/>
      </c>
      <c r="H212" s="85" t="str">
        <f aca="false">IF($A212="","",COUNTIFS(Teachers!$E$5:$E$304,$A212,Teachers!$I$5:$I$304,"Active"))</f>
        <v/>
      </c>
      <c r="I212" s="85" t="str">
        <f aca="false">IF($A212="","",COUNTIF(Classes!$B$5:$B$304,$A212))</f>
        <v/>
      </c>
      <c r="J212" s="85"/>
    </row>
    <row r="213" customFormat="false" ht="19.5" hidden="false" customHeight="true" outlineLevel="0" collapsed="false">
      <c r="A213" s="85" t="str">
        <f aca="false">IF(B213="","","SCH"&amp;TEXT(ROW()-4,"00"))</f>
        <v/>
      </c>
      <c r="B213" s="86"/>
      <c r="C213" s="86"/>
      <c r="D213" s="86"/>
      <c r="E213" s="86"/>
      <c r="F213" s="86"/>
      <c r="G213" s="85" t="str">
        <f aca="false">IF($A213="","",COUNTIFS(Students!$E$5:$E$304,$A213,Students!$K$5:$K$304,"Active"))</f>
        <v/>
      </c>
      <c r="H213" s="85" t="str">
        <f aca="false">IF($A213="","",COUNTIFS(Teachers!$E$5:$E$304,$A213,Teachers!$I$5:$I$304,"Active"))</f>
        <v/>
      </c>
      <c r="I213" s="85" t="str">
        <f aca="false">IF($A213="","",COUNTIF(Classes!$B$5:$B$304,$A213))</f>
        <v/>
      </c>
      <c r="J213" s="85"/>
    </row>
    <row r="214" customFormat="false" ht="19.5" hidden="false" customHeight="true" outlineLevel="0" collapsed="false">
      <c r="A214" s="85" t="str">
        <f aca="false">IF(B214="","","SCH"&amp;TEXT(ROW()-4,"00"))</f>
        <v/>
      </c>
      <c r="B214" s="86"/>
      <c r="C214" s="86"/>
      <c r="D214" s="86"/>
      <c r="E214" s="86"/>
      <c r="F214" s="86"/>
      <c r="G214" s="85" t="str">
        <f aca="false">IF($A214="","",COUNTIFS(Students!$E$5:$E$304,$A214,Students!$K$5:$K$304,"Active"))</f>
        <v/>
      </c>
      <c r="H214" s="85" t="str">
        <f aca="false">IF($A214="","",COUNTIFS(Teachers!$E$5:$E$304,$A214,Teachers!$I$5:$I$304,"Active"))</f>
        <v/>
      </c>
      <c r="I214" s="85" t="str">
        <f aca="false">IF($A214="","",COUNTIF(Classes!$B$5:$B$304,$A214))</f>
        <v/>
      </c>
      <c r="J214" s="85"/>
    </row>
    <row r="215" customFormat="false" ht="19.5" hidden="false" customHeight="true" outlineLevel="0" collapsed="false">
      <c r="A215" s="85" t="str">
        <f aca="false">IF(B215="","","SCH"&amp;TEXT(ROW()-4,"00"))</f>
        <v/>
      </c>
      <c r="B215" s="86"/>
      <c r="C215" s="86"/>
      <c r="D215" s="86"/>
      <c r="E215" s="86"/>
      <c r="F215" s="86"/>
      <c r="G215" s="85" t="str">
        <f aca="false">IF($A215="","",COUNTIFS(Students!$E$5:$E$304,$A215,Students!$K$5:$K$304,"Active"))</f>
        <v/>
      </c>
      <c r="H215" s="85" t="str">
        <f aca="false">IF($A215="","",COUNTIFS(Teachers!$E$5:$E$304,$A215,Teachers!$I$5:$I$304,"Active"))</f>
        <v/>
      </c>
      <c r="I215" s="85" t="str">
        <f aca="false">IF($A215="","",COUNTIF(Classes!$B$5:$B$304,$A215))</f>
        <v/>
      </c>
      <c r="J215" s="85"/>
    </row>
    <row r="216" customFormat="false" ht="19.5" hidden="false" customHeight="true" outlineLevel="0" collapsed="false">
      <c r="A216" s="85" t="str">
        <f aca="false">IF(B216="","","SCH"&amp;TEXT(ROW()-4,"00"))</f>
        <v/>
      </c>
      <c r="B216" s="86"/>
      <c r="C216" s="86"/>
      <c r="D216" s="86"/>
      <c r="E216" s="86"/>
      <c r="F216" s="86"/>
      <c r="G216" s="85" t="str">
        <f aca="false">IF($A216="","",COUNTIFS(Students!$E$5:$E$304,$A216,Students!$K$5:$K$304,"Active"))</f>
        <v/>
      </c>
      <c r="H216" s="85" t="str">
        <f aca="false">IF($A216="","",COUNTIFS(Teachers!$E$5:$E$304,$A216,Teachers!$I$5:$I$304,"Active"))</f>
        <v/>
      </c>
      <c r="I216" s="85" t="str">
        <f aca="false">IF($A216="","",COUNTIF(Classes!$B$5:$B$304,$A216))</f>
        <v/>
      </c>
      <c r="J216" s="85"/>
    </row>
    <row r="217" customFormat="false" ht="19.5" hidden="false" customHeight="true" outlineLevel="0" collapsed="false">
      <c r="A217" s="85" t="str">
        <f aca="false">IF(B217="","","SCH"&amp;TEXT(ROW()-4,"00"))</f>
        <v/>
      </c>
      <c r="B217" s="86"/>
      <c r="C217" s="86"/>
      <c r="D217" s="86"/>
      <c r="E217" s="86"/>
      <c r="F217" s="86"/>
      <c r="G217" s="85" t="str">
        <f aca="false">IF($A217="","",COUNTIFS(Students!$E$5:$E$304,$A217,Students!$K$5:$K$304,"Active"))</f>
        <v/>
      </c>
      <c r="H217" s="85" t="str">
        <f aca="false">IF($A217="","",COUNTIFS(Teachers!$E$5:$E$304,$A217,Teachers!$I$5:$I$304,"Active"))</f>
        <v/>
      </c>
      <c r="I217" s="85" t="str">
        <f aca="false">IF($A217="","",COUNTIF(Classes!$B$5:$B$304,$A217))</f>
        <v/>
      </c>
      <c r="J217" s="85"/>
    </row>
    <row r="218" customFormat="false" ht="19.5" hidden="false" customHeight="true" outlineLevel="0" collapsed="false">
      <c r="A218" s="85" t="str">
        <f aca="false">IF(B218="","","SCH"&amp;TEXT(ROW()-4,"00"))</f>
        <v/>
      </c>
      <c r="B218" s="86"/>
      <c r="C218" s="86"/>
      <c r="D218" s="86"/>
      <c r="E218" s="86"/>
      <c r="F218" s="86"/>
      <c r="G218" s="85" t="str">
        <f aca="false">IF($A218="","",COUNTIFS(Students!$E$5:$E$304,$A218,Students!$K$5:$K$304,"Active"))</f>
        <v/>
      </c>
      <c r="H218" s="85" t="str">
        <f aca="false">IF($A218="","",COUNTIFS(Teachers!$E$5:$E$304,$A218,Teachers!$I$5:$I$304,"Active"))</f>
        <v/>
      </c>
      <c r="I218" s="85" t="str">
        <f aca="false">IF($A218="","",COUNTIF(Classes!$B$5:$B$304,$A218))</f>
        <v/>
      </c>
      <c r="J218" s="85"/>
    </row>
    <row r="219" customFormat="false" ht="19.5" hidden="false" customHeight="true" outlineLevel="0" collapsed="false">
      <c r="A219" s="85" t="str">
        <f aca="false">IF(B219="","","SCH"&amp;TEXT(ROW()-4,"00"))</f>
        <v/>
      </c>
      <c r="B219" s="86"/>
      <c r="C219" s="86"/>
      <c r="D219" s="86"/>
      <c r="E219" s="86"/>
      <c r="F219" s="86"/>
      <c r="G219" s="85" t="str">
        <f aca="false">IF($A219="","",COUNTIFS(Students!$E$5:$E$304,$A219,Students!$K$5:$K$304,"Active"))</f>
        <v/>
      </c>
      <c r="H219" s="85" t="str">
        <f aca="false">IF($A219="","",COUNTIFS(Teachers!$E$5:$E$304,$A219,Teachers!$I$5:$I$304,"Active"))</f>
        <v/>
      </c>
      <c r="I219" s="85" t="str">
        <f aca="false">IF($A219="","",COUNTIF(Classes!$B$5:$B$304,$A219))</f>
        <v/>
      </c>
      <c r="J219" s="85"/>
    </row>
    <row r="220" customFormat="false" ht="19.5" hidden="false" customHeight="true" outlineLevel="0" collapsed="false">
      <c r="A220" s="85" t="str">
        <f aca="false">IF(B220="","","SCH"&amp;TEXT(ROW()-4,"00"))</f>
        <v/>
      </c>
      <c r="B220" s="86"/>
      <c r="C220" s="86"/>
      <c r="D220" s="86"/>
      <c r="E220" s="86"/>
      <c r="F220" s="86"/>
      <c r="G220" s="85" t="str">
        <f aca="false">IF($A220="","",COUNTIFS(Students!$E$5:$E$304,$A220,Students!$K$5:$K$304,"Active"))</f>
        <v/>
      </c>
      <c r="H220" s="85" t="str">
        <f aca="false">IF($A220="","",COUNTIFS(Teachers!$E$5:$E$304,$A220,Teachers!$I$5:$I$304,"Active"))</f>
        <v/>
      </c>
      <c r="I220" s="85" t="str">
        <f aca="false">IF($A220="","",COUNTIF(Classes!$B$5:$B$304,$A220))</f>
        <v/>
      </c>
      <c r="J220" s="85"/>
    </row>
    <row r="221" customFormat="false" ht="19.5" hidden="false" customHeight="true" outlineLevel="0" collapsed="false">
      <c r="A221" s="85" t="str">
        <f aca="false">IF(B221="","","SCH"&amp;TEXT(ROW()-4,"00"))</f>
        <v/>
      </c>
      <c r="B221" s="86"/>
      <c r="C221" s="86"/>
      <c r="D221" s="86"/>
      <c r="E221" s="86"/>
      <c r="F221" s="86"/>
      <c r="G221" s="85" t="str">
        <f aca="false">IF($A221="","",COUNTIFS(Students!$E$5:$E$304,$A221,Students!$K$5:$K$304,"Active"))</f>
        <v/>
      </c>
      <c r="H221" s="85" t="str">
        <f aca="false">IF($A221="","",COUNTIFS(Teachers!$E$5:$E$304,$A221,Teachers!$I$5:$I$304,"Active"))</f>
        <v/>
      </c>
      <c r="I221" s="85" t="str">
        <f aca="false">IF($A221="","",COUNTIF(Classes!$B$5:$B$304,$A221))</f>
        <v/>
      </c>
      <c r="J221" s="85"/>
    </row>
    <row r="222" customFormat="false" ht="19.5" hidden="false" customHeight="true" outlineLevel="0" collapsed="false">
      <c r="A222" s="85" t="str">
        <f aca="false">IF(B222="","","SCH"&amp;TEXT(ROW()-4,"00"))</f>
        <v/>
      </c>
      <c r="B222" s="86"/>
      <c r="C222" s="86"/>
      <c r="D222" s="86"/>
      <c r="E222" s="86"/>
      <c r="F222" s="86"/>
      <c r="G222" s="85" t="str">
        <f aca="false">IF($A222="","",COUNTIFS(Students!$E$5:$E$304,$A222,Students!$K$5:$K$304,"Active"))</f>
        <v/>
      </c>
      <c r="H222" s="85" t="str">
        <f aca="false">IF($A222="","",COUNTIFS(Teachers!$E$5:$E$304,$A222,Teachers!$I$5:$I$304,"Active"))</f>
        <v/>
      </c>
      <c r="I222" s="85" t="str">
        <f aca="false">IF($A222="","",COUNTIF(Classes!$B$5:$B$304,$A222))</f>
        <v/>
      </c>
      <c r="J222" s="85"/>
    </row>
    <row r="223" customFormat="false" ht="19.5" hidden="false" customHeight="true" outlineLevel="0" collapsed="false">
      <c r="A223" s="85" t="str">
        <f aca="false">IF(B223="","","SCH"&amp;TEXT(ROW()-4,"00"))</f>
        <v/>
      </c>
      <c r="B223" s="86"/>
      <c r="C223" s="86"/>
      <c r="D223" s="86"/>
      <c r="E223" s="86"/>
      <c r="F223" s="86"/>
      <c r="G223" s="85" t="str">
        <f aca="false">IF($A223="","",COUNTIFS(Students!$E$5:$E$304,$A223,Students!$K$5:$K$304,"Active"))</f>
        <v/>
      </c>
      <c r="H223" s="85" t="str">
        <f aca="false">IF($A223="","",COUNTIFS(Teachers!$E$5:$E$304,$A223,Teachers!$I$5:$I$304,"Active"))</f>
        <v/>
      </c>
      <c r="I223" s="85" t="str">
        <f aca="false">IF($A223="","",COUNTIF(Classes!$B$5:$B$304,$A223))</f>
        <v/>
      </c>
      <c r="J223" s="85"/>
    </row>
    <row r="224" customFormat="false" ht="19.5" hidden="false" customHeight="true" outlineLevel="0" collapsed="false">
      <c r="A224" s="85" t="str">
        <f aca="false">IF(B224="","","SCH"&amp;TEXT(ROW()-4,"00"))</f>
        <v/>
      </c>
      <c r="B224" s="86"/>
      <c r="C224" s="86"/>
      <c r="D224" s="86"/>
      <c r="E224" s="86"/>
      <c r="F224" s="86"/>
      <c r="G224" s="85" t="str">
        <f aca="false">IF($A224="","",COUNTIFS(Students!$E$5:$E$304,$A224,Students!$K$5:$K$304,"Active"))</f>
        <v/>
      </c>
      <c r="H224" s="85" t="str">
        <f aca="false">IF($A224="","",COUNTIFS(Teachers!$E$5:$E$304,$A224,Teachers!$I$5:$I$304,"Active"))</f>
        <v/>
      </c>
      <c r="I224" s="85" t="str">
        <f aca="false">IF($A224="","",COUNTIF(Classes!$B$5:$B$304,$A224))</f>
        <v/>
      </c>
      <c r="J224" s="85"/>
    </row>
    <row r="225" customFormat="false" ht="19.5" hidden="false" customHeight="true" outlineLevel="0" collapsed="false">
      <c r="A225" s="85" t="str">
        <f aca="false">IF(B225="","","SCH"&amp;TEXT(ROW()-4,"00"))</f>
        <v/>
      </c>
      <c r="B225" s="86"/>
      <c r="C225" s="86"/>
      <c r="D225" s="86"/>
      <c r="E225" s="86"/>
      <c r="F225" s="86"/>
      <c r="G225" s="85" t="str">
        <f aca="false">IF($A225="","",COUNTIFS(Students!$E$5:$E$304,$A225,Students!$K$5:$K$304,"Active"))</f>
        <v/>
      </c>
      <c r="H225" s="85" t="str">
        <f aca="false">IF($A225="","",COUNTIFS(Teachers!$E$5:$E$304,$A225,Teachers!$I$5:$I$304,"Active"))</f>
        <v/>
      </c>
      <c r="I225" s="85" t="str">
        <f aca="false">IF($A225="","",COUNTIF(Classes!$B$5:$B$304,$A225))</f>
        <v/>
      </c>
      <c r="J225" s="85"/>
    </row>
    <row r="226" customFormat="false" ht="19.5" hidden="false" customHeight="true" outlineLevel="0" collapsed="false">
      <c r="A226" s="85" t="str">
        <f aca="false">IF(B226="","","SCH"&amp;TEXT(ROW()-4,"00"))</f>
        <v/>
      </c>
      <c r="B226" s="86"/>
      <c r="C226" s="86"/>
      <c r="D226" s="86"/>
      <c r="E226" s="86"/>
      <c r="F226" s="86"/>
      <c r="G226" s="85" t="str">
        <f aca="false">IF($A226="","",COUNTIFS(Students!$E$5:$E$304,$A226,Students!$K$5:$K$304,"Active"))</f>
        <v/>
      </c>
      <c r="H226" s="85" t="str">
        <f aca="false">IF($A226="","",COUNTIFS(Teachers!$E$5:$E$304,$A226,Teachers!$I$5:$I$304,"Active"))</f>
        <v/>
      </c>
      <c r="I226" s="85" t="str">
        <f aca="false">IF($A226="","",COUNTIF(Classes!$B$5:$B$304,$A226))</f>
        <v/>
      </c>
      <c r="J226" s="85"/>
    </row>
    <row r="227" customFormat="false" ht="19.5" hidden="false" customHeight="true" outlineLevel="0" collapsed="false">
      <c r="A227" s="85" t="str">
        <f aca="false">IF(B227="","","SCH"&amp;TEXT(ROW()-4,"00"))</f>
        <v/>
      </c>
      <c r="B227" s="86"/>
      <c r="C227" s="86"/>
      <c r="D227" s="86"/>
      <c r="E227" s="86"/>
      <c r="F227" s="86"/>
      <c r="G227" s="85" t="str">
        <f aca="false">IF($A227="","",COUNTIFS(Students!$E$5:$E$304,$A227,Students!$K$5:$K$304,"Active"))</f>
        <v/>
      </c>
      <c r="H227" s="85" t="str">
        <f aca="false">IF($A227="","",COUNTIFS(Teachers!$E$5:$E$304,$A227,Teachers!$I$5:$I$304,"Active"))</f>
        <v/>
      </c>
      <c r="I227" s="85" t="str">
        <f aca="false">IF($A227="","",COUNTIF(Classes!$B$5:$B$304,$A227))</f>
        <v/>
      </c>
      <c r="J227" s="85"/>
    </row>
    <row r="228" customFormat="false" ht="19.5" hidden="false" customHeight="true" outlineLevel="0" collapsed="false">
      <c r="A228" s="85" t="str">
        <f aca="false">IF(B228="","","SCH"&amp;TEXT(ROW()-4,"00"))</f>
        <v/>
      </c>
      <c r="B228" s="86"/>
      <c r="C228" s="86"/>
      <c r="D228" s="86"/>
      <c r="E228" s="86"/>
      <c r="F228" s="86"/>
      <c r="G228" s="85" t="str">
        <f aca="false">IF($A228="","",COUNTIFS(Students!$E$5:$E$304,$A228,Students!$K$5:$K$304,"Active"))</f>
        <v/>
      </c>
      <c r="H228" s="85" t="str">
        <f aca="false">IF($A228="","",COUNTIFS(Teachers!$E$5:$E$304,$A228,Teachers!$I$5:$I$304,"Active"))</f>
        <v/>
      </c>
      <c r="I228" s="85" t="str">
        <f aca="false">IF($A228="","",COUNTIF(Classes!$B$5:$B$304,$A228))</f>
        <v/>
      </c>
      <c r="J228" s="85"/>
    </row>
    <row r="229" customFormat="false" ht="19.5" hidden="false" customHeight="true" outlineLevel="0" collapsed="false">
      <c r="A229" s="85" t="str">
        <f aca="false">IF(B229="","","SCH"&amp;TEXT(ROW()-4,"00"))</f>
        <v/>
      </c>
      <c r="B229" s="86"/>
      <c r="C229" s="86"/>
      <c r="D229" s="86"/>
      <c r="E229" s="86"/>
      <c r="F229" s="86"/>
      <c r="G229" s="85" t="str">
        <f aca="false">IF($A229="","",COUNTIFS(Students!$E$5:$E$304,$A229,Students!$K$5:$K$304,"Active"))</f>
        <v/>
      </c>
      <c r="H229" s="85" t="str">
        <f aca="false">IF($A229="","",COUNTIFS(Teachers!$E$5:$E$304,$A229,Teachers!$I$5:$I$304,"Active"))</f>
        <v/>
      </c>
      <c r="I229" s="85" t="str">
        <f aca="false">IF($A229="","",COUNTIF(Classes!$B$5:$B$304,$A229))</f>
        <v/>
      </c>
      <c r="J229" s="85"/>
    </row>
    <row r="230" customFormat="false" ht="19.5" hidden="false" customHeight="true" outlineLevel="0" collapsed="false">
      <c r="A230" s="85" t="str">
        <f aca="false">IF(B230="","","SCH"&amp;TEXT(ROW()-4,"00"))</f>
        <v/>
      </c>
      <c r="B230" s="86"/>
      <c r="C230" s="86"/>
      <c r="D230" s="86"/>
      <c r="E230" s="86"/>
      <c r="F230" s="86"/>
      <c r="G230" s="85" t="str">
        <f aca="false">IF($A230="","",COUNTIFS(Students!$E$5:$E$304,$A230,Students!$K$5:$K$304,"Active"))</f>
        <v/>
      </c>
      <c r="H230" s="85" t="str">
        <f aca="false">IF($A230="","",COUNTIFS(Teachers!$E$5:$E$304,$A230,Teachers!$I$5:$I$304,"Active"))</f>
        <v/>
      </c>
      <c r="I230" s="85" t="str">
        <f aca="false">IF($A230="","",COUNTIF(Classes!$B$5:$B$304,$A230))</f>
        <v/>
      </c>
      <c r="J230" s="85"/>
    </row>
    <row r="231" customFormat="false" ht="19.5" hidden="false" customHeight="true" outlineLevel="0" collapsed="false">
      <c r="A231" s="85" t="str">
        <f aca="false">IF(B231="","","SCH"&amp;TEXT(ROW()-4,"00"))</f>
        <v/>
      </c>
      <c r="B231" s="86"/>
      <c r="C231" s="86"/>
      <c r="D231" s="86"/>
      <c r="E231" s="86"/>
      <c r="F231" s="86"/>
      <c r="G231" s="85" t="str">
        <f aca="false">IF($A231="","",COUNTIFS(Students!$E$5:$E$304,$A231,Students!$K$5:$K$304,"Active"))</f>
        <v/>
      </c>
      <c r="H231" s="85" t="str">
        <f aca="false">IF($A231="","",COUNTIFS(Teachers!$E$5:$E$304,$A231,Teachers!$I$5:$I$304,"Active"))</f>
        <v/>
      </c>
      <c r="I231" s="85" t="str">
        <f aca="false">IF($A231="","",COUNTIF(Classes!$B$5:$B$304,$A231))</f>
        <v/>
      </c>
      <c r="J231" s="85"/>
    </row>
    <row r="232" customFormat="false" ht="19.5" hidden="false" customHeight="true" outlineLevel="0" collapsed="false">
      <c r="A232" s="85" t="str">
        <f aca="false">IF(B232="","","SCH"&amp;TEXT(ROW()-4,"00"))</f>
        <v/>
      </c>
      <c r="B232" s="86"/>
      <c r="C232" s="86"/>
      <c r="D232" s="86"/>
      <c r="E232" s="86"/>
      <c r="F232" s="86"/>
      <c r="G232" s="85" t="str">
        <f aca="false">IF($A232="","",COUNTIFS(Students!$E$5:$E$304,$A232,Students!$K$5:$K$304,"Active"))</f>
        <v/>
      </c>
      <c r="H232" s="85" t="str">
        <f aca="false">IF($A232="","",COUNTIFS(Teachers!$E$5:$E$304,$A232,Teachers!$I$5:$I$304,"Active"))</f>
        <v/>
      </c>
      <c r="I232" s="85" t="str">
        <f aca="false">IF($A232="","",COUNTIF(Classes!$B$5:$B$304,$A232))</f>
        <v/>
      </c>
      <c r="J232" s="85"/>
    </row>
    <row r="233" customFormat="false" ht="19.5" hidden="false" customHeight="true" outlineLevel="0" collapsed="false">
      <c r="A233" s="85" t="str">
        <f aca="false">IF(B233="","","SCH"&amp;TEXT(ROW()-4,"00"))</f>
        <v/>
      </c>
      <c r="B233" s="86"/>
      <c r="C233" s="86"/>
      <c r="D233" s="86"/>
      <c r="E233" s="86"/>
      <c r="F233" s="86"/>
      <c r="G233" s="85" t="str">
        <f aca="false">IF($A233="","",COUNTIFS(Students!$E$5:$E$304,$A233,Students!$K$5:$K$304,"Active"))</f>
        <v/>
      </c>
      <c r="H233" s="85" t="str">
        <f aca="false">IF($A233="","",COUNTIFS(Teachers!$E$5:$E$304,$A233,Teachers!$I$5:$I$304,"Active"))</f>
        <v/>
      </c>
      <c r="I233" s="85" t="str">
        <f aca="false">IF($A233="","",COUNTIF(Classes!$B$5:$B$304,$A233))</f>
        <v/>
      </c>
      <c r="J233" s="85"/>
    </row>
    <row r="234" customFormat="false" ht="19.5" hidden="false" customHeight="true" outlineLevel="0" collapsed="false">
      <c r="A234" s="85" t="str">
        <f aca="false">IF(B234="","","SCH"&amp;TEXT(ROW()-4,"00"))</f>
        <v/>
      </c>
      <c r="B234" s="86"/>
      <c r="C234" s="86"/>
      <c r="D234" s="86"/>
      <c r="E234" s="86"/>
      <c r="F234" s="86"/>
      <c r="G234" s="85" t="str">
        <f aca="false">IF($A234="","",COUNTIFS(Students!$E$5:$E$304,$A234,Students!$K$5:$K$304,"Active"))</f>
        <v/>
      </c>
      <c r="H234" s="85" t="str">
        <f aca="false">IF($A234="","",COUNTIFS(Teachers!$E$5:$E$304,$A234,Teachers!$I$5:$I$304,"Active"))</f>
        <v/>
      </c>
      <c r="I234" s="85" t="str">
        <f aca="false">IF($A234="","",COUNTIF(Classes!$B$5:$B$304,$A234))</f>
        <v/>
      </c>
      <c r="J234" s="85"/>
    </row>
    <row r="235" customFormat="false" ht="19.5" hidden="false" customHeight="true" outlineLevel="0" collapsed="false">
      <c r="A235" s="85" t="str">
        <f aca="false">IF(B235="","","SCH"&amp;TEXT(ROW()-4,"00"))</f>
        <v/>
      </c>
      <c r="B235" s="86"/>
      <c r="C235" s="86"/>
      <c r="D235" s="86"/>
      <c r="E235" s="86"/>
      <c r="F235" s="86"/>
      <c r="G235" s="85" t="str">
        <f aca="false">IF($A235="","",COUNTIFS(Students!$E$5:$E$304,$A235,Students!$K$5:$K$304,"Active"))</f>
        <v/>
      </c>
      <c r="H235" s="85" t="str">
        <f aca="false">IF($A235="","",COUNTIFS(Teachers!$E$5:$E$304,$A235,Teachers!$I$5:$I$304,"Active"))</f>
        <v/>
      </c>
      <c r="I235" s="85" t="str">
        <f aca="false">IF($A235="","",COUNTIF(Classes!$B$5:$B$304,$A235))</f>
        <v/>
      </c>
      <c r="J235" s="85"/>
    </row>
    <row r="236" customFormat="false" ht="19.5" hidden="false" customHeight="true" outlineLevel="0" collapsed="false">
      <c r="A236" s="85" t="str">
        <f aca="false">IF(B236="","","SCH"&amp;TEXT(ROW()-4,"00"))</f>
        <v/>
      </c>
      <c r="B236" s="86"/>
      <c r="C236" s="86"/>
      <c r="D236" s="86"/>
      <c r="E236" s="86"/>
      <c r="F236" s="86"/>
      <c r="G236" s="85" t="str">
        <f aca="false">IF($A236="","",COUNTIFS(Students!$E$5:$E$304,$A236,Students!$K$5:$K$304,"Active"))</f>
        <v/>
      </c>
      <c r="H236" s="85" t="str">
        <f aca="false">IF($A236="","",COUNTIFS(Teachers!$E$5:$E$304,$A236,Teachers!$I$5:$I$304,"Active"))</f>
        <v/>
      </c>
      <c r="I236" s="85" t="str">
        <f aca="false">IF($A236="","",COUNTIF(Classes!$B$5:$B$304,$A236))</f>
        <v/>
      </c>
      <c r="J236" s="85"/>
    </row>
    <row r="237" customFormat="false" ht="19.5" hidden="false" customHeight="true" outlineLevel="0" collapsed="false">
      <c r="A237" s="85" t="str">
        <f aca="false">IF(B237="","","SCH"&amp;TEXT(ROW()-4,"00"))</f>
        <v/>
      </c>
      <c r="B237" s="86"/>
      <c r="C237" s="86"/>
      <c r="D237" s="86"/>
      <c r="E237" s="86"/>
      <c r="F237" s="86"/>
      <c r="G237" s="85" t="str">
        <f aca="false">IF($A237="","",COUNTIFS(Students!$E$5:$E$304,$A237,Students!$K$5:$K$304,"Active"))</f>
        <v/>
      </c>
      <c r="H237" s="85" t="str">
        <f aca="false">IF($A237="","",COUNTIFS(Teachers!$E$5:$E$304,$A237,Teachers!$I$5:$I$304,"Active"))</f>
        <v/>
      </c>
      <c r="I237" s="85" t="str">
        <f aca="false">IF($A237="","",COUNTIF(Classes!$B$5:$B$304,$A237))</f>
        <v/>
      </c>
      <c r="J237" s="85"/>
    </row>
    <row r="238" customFormat="false" ht="19.5" hidden="false" customHeight="true" outlineLevel="0" collapsed="false">
      <c r="A238" s="85" t="str">
        <f aca="false">IF(B238="","","SCH"&amp;TEXT(ROW()-4,"00"))</f>
        <v/>
      </c>
      <c r="B238" s="86"/>
      <c r="C238" s="86"/>
      <c r="D238" s="86"/>
      <c r="E238" s="86"/>
      <c r="F238" s="86"/>
      <c r="G238" s="85" t="str">
        <f aca="false">IF($A238="","",COUNTIFS(Students!$E$5:$E$304,$A238,Students!$K$5:$K$304,"Active"))</f>
        <v/>
      </c>
      <c r="H238" s="85" t="str">
        <f aca="false">IF($A238="","",COUNTIFS(Teachers!$E$5:$E$304,$A238,Teachers!$I$5:$I$304,"Active"))</f>
        <v/>
      </c>
      <c r="I238" s="85" t="str">
        <f aca="false">IF($A238="","",COUNTIF(Classes!$B$5:$B$304,$A238))</f>
        <v/>
      </c>
      <c r="J238" s="85"/>
    </row>
    <row r="239" customFormat="false" ht="19.5" hidden="false" customHeight="true" outlineLevel="0" collapsed="false">
      <c r="A239" s="85" t="str">
        <f aca="false">IF(B239="","","SCH"&amp;TEXT(ROW()-4,"00"))</f>
        <v/>
      </c>
      <c r="B239" s="86"/>
      <c r="C239" s="86"/>
      <c r="D239" s="86"/>
      <c r="E239" s="86"/>
      <c r="F239" s="86"/>
      <c r="G239" s="85" t="str">
        <f aca="false">IF($A239="","",COUNTIFS(Students!$E$5:$E$304,$A239,Students!$K$5:$K$304,"Active"))</f>
        <v/>
      </c>
      <c r="H239" s="85" t="str">
        <f aca="false">IF($A239="","",COUNTIFS(Teachers!$E$5:$E$304,$A239,Teachers!$I$5:$I$304,"Active"))</f>
        <v/>
      </c>
      <c r="I239" s="85" t="str">
        <f aca="false">IF($A239="","",COUNTIF(Classes!$B$5:$B$304,$A239))</f>
        <v/>
      </c>
      <c r="J239" s="85"/>
    </row>
    <row r="240" customFormat="false" ht="19.5" hidden="false" customHeight="true" outlineLevel="0" collapsed="false">
      <c r="A240" s="85" t="str">
        <f aca="false">IF(B240="","","SCH"&amp;TEXT(ROW()-4,"00"))</f>
        <v/>
      </c>
      <c r="B240" s="86"/>
      <c r="C240" s="86"/>
      <c r="D240" s="86"/>
      <c r="E240" s="86"/>
      <c r="F240" s="86"/>
      <c r="G240" s="85" t="str">
        <f aca="false">IF($A240="","",COUNTIFS(Students!$E$5:$E$304,$A240,Students!$K$5:$K$304,"Active"))</f>
        <v/>
      </c>
      <c r="H240" s="85" t="str">
        <f aca="false">IF($A240="","",COUNTIFS(Teachers!$E$5:$E$304,$A240,Teachers!$I$5:$I$304,"Active"))</f>
        <v/>
      </c>
      <c r="I240" s="85" t="str">
        <f aca="false">IF($A240="","",COUNTIF(Classes!$B$5:$B$304,$A240))</f>
        <v/>
      </c>
      <c r="J240" s="85"/>
    </row>
    <row r="241" customFormat="false" ht="19.5" hidden="false" customHeight="true" outlineLevel="0" collapsed="false">
      <c r="A241" s="85" t="str">
        <f aca="false">IF(B241="","","SCH"&amp;TEXT(ROW()-4,"00"))</f>
        <v/>
      </c>
      <c r="B241" s="86"/>
      <c r="C241" s="86"/>
      <c r="D241" s="86"/>
      <c r="E241" s="86"/>
      <c r="F241" s="86"/>
      <c r="G241" s="85" t="str">
        <f aca="false">IF($A241="","",COUNTIFS(Students!$E$5:$E$304,$A241,Students!$K$5:$K$304,"Active"))</f>
        <v/>
      </c>
      <c r="H241" s="85" t="str">
        <f aca="false">IF($A241="","",COUNTIFS(Teachers!$E$5:$E$304,$A241,Teachers!$I$5:$I$304,"Active"))</f>
        <v/>
      </c>
      <c r="I241" s="85" t="str">
        <f aca="false">IF($A241="","",COUNTIF(Classes!$B$5:$B$304,$A241))</f>
        <v/>
      </c>
      <c r="J241" s="85"/>
    </row>
    <row r="242" customFormat="false" ht="19.5" hidden="false" customHeight="true" outlineLevel="0" collapsed="false">
      <c r="A242" s="85" t="str">
        <f aca="false">IF(B242="","","SCH"&amp;TEXT(ROW()-4,"00"))</f>
        <v/>
      </c>
      <c r="B242" s="86"/>
      <c r="C242" s="86"/>
      <c r="D242" s="86"/>
      <c r="E242" s="86"/>
      <c r="F242" s="86"/>
      <c r="G242" s="85" t="str">
        <f aca="false">IF($A242="","",COUNTIFS(Students!$E$5:$E$304,$A242,Students!$K$5:$K$304,"Active"))</f>
        <v/>
      </c>
      <c r="H242" s="85" t="str">
        <f aca="false">IF($A242="","",COUNTIFS(Teachers!$E$5:$E$304,$A242,Teachers!$I$5:$I$304,"Active"))</f>
        <v/>
      </c>
      <c r="I242" s="85" t="str">
        <f aca="false">IF($A242="","",COUNTIF(Classes!$B$5:$B$304,$A242))</f>
        <v/>
      </c>
      <c r="J242" s="85"/>
    </row>
    <row r="243" customFormat="false" ht="19.5" hidden="false" customHeight="true" outlineLevel="0" collapsed="false">
      <c r="A243" s="85" t="str">
        <f aca="false">IF(B243="","","SCH"&amp;TEXT(ROW()-4,"00"))</f>
        <v/>
      </c>
      <c r="B243" s="86"/>
      <c r="C243" s="86"/>
      <c r="D243" s="86"/>
      <c r="E243" s="86"/>
      <c r="F243" s="86"/>
      <c r="G243" s="85" t="str">
        <f aca="false">IF($A243="","",COUNTIFS(Students!$E$5:$E$304,$A243,Students!$K$5:$K$304,"Active"))</f>
        <v/>
      </c>
      <c r="H243" s="85" t="str">
        <f aca="false">IF($A243="","",COUNTIFS(Teachers!$E$5:$E$304,$A243,Teachers!$I$5:$I$304,"Active"))</f>
        <v/>
      </c>
      <c r="I243" s="85" t="str">
        <f aca="false">IF($A243="","",COUNTIF(Classes!$B$5:$B$304,$A243))</f>
        <v/>
      </c>
      <c r="J243" s="85"/>
    </row>
    <row r="244" customFormat="false" ht="19.5" hidden="false" customHeight="true" outlineLevel="0" collapsed="false">
      <c r="A244" s="85" t="str">
        <f aca="false">IF(B244="","","SCH"&amp;TEXT(ROW()-4,"00"))</f>
        <v/>
      </c>
      <c r="B244" s="86"/>
      <c r="C244" s="86"/>
      <c r="D244" s="86"/>
      <c r="E244" s="86"/>
      <c r="F244" s="86"/>
      <c r="G244" s="85" t="str">
        <f aca="false">IF($A244="","",COUNTIFS(Students!$E$5:$E$304,$A244,Students!$K$5:$K$304,"Active"))</f>
        <v/>
      </c>
      <c r="H244" s="85" t="str">
        <f aca="false">IF($A244="","",COUNTIFS(Teachers!$E$5:$E$304,$A244,Teachers!$I$5:$I$304,"Active"))</f>
        <v/>
      </c>
      <c r="I244" s="85" t="str">
        <f aca="false">IF($A244="","",COUNTIF(Classes!$B$5:$B$304,$A244))</f>
        <v/>
      </c>
      <c r="J244" s="85"/>
    </row>
    <row r="245" customFormat="false" ht="19.5" hidden="false" customHeight="true" outlineLevel="0" collapsed="false">
      <c r="A245" s="85" t="str">
        <f aca="false">IF(B245="","","SCH"&amp;TEXT(ROW()-4,"00"))</f>
        <v/>
      </c>
      <c r="B245" s="86"/>
      <c r="C245" s="86"/>
      <c r="D245" s="86"/>
      <c r="E245" s="86"/>
      <c r="F245" s="86"/>
      <c r="G245" s="85" t="str">
        <f aca="false">IF($A245="","",COUNTIFS(Students!$E$5:$E$304,$A245,Students!$K$5:$K$304,"Active"))</f>
        <v/>
      </c>
      <c r="H245" s="85" t="str">
        <f aca="false">IF($A245="","",COUNTIFS(Teachers!$E$5:$E$304,$A245,Teachers!$I$5:$I$304,"Active"))</f>
        <v/>
      </c>
      <c r="I245" s="85" t="str">
        <f aca="false">IF($A245="","",COUNTIF(Classes!$B$5:$B$304,$A245))</f>
        <v/>
      </c>
      <c r="J245" s="85"/>
    </row>
    <row r="246" customFormat="false" ht="19.5" hidden="false" customHeight="true" outlineLevel="0" collapsed="false">
      <c r="A246" s="85" t="str">
        <f aca="false">IF(B246="","","SCH"&amp;TEXT(ROW()-4,"00"))</f>
        <v/>
      </c>
      <c r="B246" s="86"/>
      <c r="C246" s="86"/>
      <c r="D246" s="86"/>
      <c r="E246" s="86"/>
      <c r="F246" s="86"/>
      <c r="G246" s="85" t="str">
        <f aca="false">IF($A246="","",COUNTIFS(Students!$E$5:$E$304,$A246,Students!$K$5:$K$304,"Active"))</f>
        <v/>
      </c>
      <c r="H246" s="85" t="str">
        <f aca="false">IF($A246="","",COUNTIFS(Teachers!$E$5:$E$304,$A246,Teachers!$I$5:$I$304,"Active"))</f>
        <v/>
      </c>
      <c r="I246" s="85" t="str">
        <f aca="false">IF($A246="","",COUNTIF(Classes!$B$5:$B$304,$A246))</f>
        <v/>
      </c>
      <c r="J246" s="85"/>
    </row>
    <row r="247" customFormat="false" ht="19.5" hidden="false" customHeight="true" outlineLevel="0" collapsed="false">
      <c r="A247" s="85" t="str">
        <f aca="false">IF(B247="","","SCH"&amp;TEXT(ROW()-4,"00"))</f>
        <v/>
      </c>
      <c r="B247" s="86"/>
      <c r="C247" s="86"/>
      <c r="D247" s="86"/>
      <c r="E247" s="86"/>
      <c r="F247" s="86"/>
      <c r="G247" s="85" t="str">
        <f aca="false">IF($A247="","",COUNTIFS(Students!$E$5:$E$304,$A247,Students!$K$5:$K$304,"Active"))</f>
        <v/>
      </c>
      <c r="H247" s="85" t="str">
        <f aca="false">IF($A247="","",COUNTIFS(Teachers!$E$5:$E$304,$A247,Teachers!$I$5:$I$304,"Active"))</f>
        <v/>
      </c>
      <c r="I247" s="85" t="str">
        <f aca="false">IF($A247="","",COUNTIF(Classes!$B$5:$B$304,$A247))</f>
        <v/>
      </c>
      <c r="J247" s="85"/>
    </row>
    <row r="248" customFormat="false" ht="19.5" hidden="false" customHeight="true" outlineLevel="0" collapsed="false">
      <c r="A248" s="85" t="str">
        <f aca="false">IF(B248="","","SCH"&amp;TEXT(ROW()-4,"00"))</f>
        <v/>
      </c>
      <c r="B248" s="86"/>
      <c r="C248" s="86"/>
      <c r="D248" s="86"/>
      <c r="E248" s="86"/>
      <c r="F248" s="86"/>
      <c r="G248" s="85" t="str">
        <f aca="false">IF($A248="","",COUNTIFS(Students!$E$5:$E$304,$A248,Students!$K$5:$K$304,"Active"))</f>
        <v/>
      </c>
      <c r="H248" s="85" t="str">
        <f aca="false">IF($A248="","",COUNTIFS(Teachers!$E$5:$E$304,$A248,Teachers!$I$5:$I$304,"Active"))</f>
        <v/>
      </c>
      <c r="I248" s="85" t="str">
        <f aca="false">IF($A248="","",COUNTIF(Classes!$B$5:$B$304,$A248))</f>
        <v/>
      </c>
      <c r="J248" s="85"/>
    </row>
    <row r="249" customFormat="false" ht="19.5" hidden="false" customHeight="true" outlineLevel="0" collapsed="false">
      <c r="A249" s="85" t="str">
        <f aca="false">IF(B249="","","SCH"&amp;TEXT(ROW()-4,"00"))</f>
        <v/>
      </c>
      <c r="B249" s="86"/>
      <c r="C249" s="86"/>
      <c r="D249" s="86"/>
      <c r="E249" s="86"/>
      <c r="F249" s="86"/>
      <c r="G249" s="85" t="str">
        <f aca="false">IF($A249="","",COUNTIFS(Students!$E$5:$E$304,$A249,Students!$K$5:$K$304,"Active"))</f>
        <v/>
      </c>
      <c r="H249" s="85" t="str">
        <f aca="false">IF($A249="","",COUNTIFS(Teachers!$E$5:$E$304,$A249,Teachers!$I$5:$I$304,"Active"))</f>
        <v/>
      </c>
      <c r="I249" s="85" t="str">
        <f aca="false">IF($A249="","",COUNTIF(Classes!$B$5:$B$304,$A249))</f>
        <v/>
      </c>
      <c r="J249" s="85"/>
    </row>
    <row r="250" customFormat="false" ht="19.5" hidden="false" customHeight="true" outlineLevel="0" collapsed="false">
      <c r="A250" s="85" t="str">
        <f aca="false">IF(B250="","","SCH"&amp;TEXT(ROW()-4,"00"))</f>
        <v/>
      </c>
      <c r="B250" s="86"/>
      <c r="C250" s="86"/>
      <c r="D250" s="86"/>
      <c r="E250" s="86"/>
      <c r="F250" s="86"/>
      <c r="G250" s="85" t="str">
        <f aca="false">IF($A250="","",COUNTIFS(Students!$E$5:$E$304,$A250,Students!$K$5:$K$304,"Active"))</f>
        <v/>
      </c>
      <c r="H250" s="85" t="str">
        <f aca="false">IF($A250="","",COUNTIFS(Teachers!$E$5:$E$304,$A250,Teachers!$I$5:$I$304,"Active"))</f>
        <v/>
      </c>
      <c r="I250" s="85" t="str">
        <f aca="false">IF($A250="","",COUNTIF(Classes!$B$5:$B$304,$A250))</f>
        <v/>
      </c>
      <c r="J250" s="85"/>
    </row>
    <row r="251" customFormat="false" ht="19.5" hidden="false" customHeight="true" outlineLevel="0" collapsed="false">
      <c r="A251" s="85" t="str">
        <f aca="false">IF(B251="","","SCH"&amp;TEXT(ROW()-4,"00"))</f>
        <v/>
      </c>
      <c r="B251" s="86"/>
      <c r="C251" s="86"/>
      <c r="D251" s="86"/>
      <c r="E251" s="86"/>
      <c r="F251" s="86"/>
      <c r="G251" s="85" t="str">
        <f aca="false">IF($A251="","",COUNTIFS(Students!$E$5:$E$304,$A251,Students!$K$5:$K$304,"Active"))</f>
        <v/>
      </c>
      <c r="H251" s="85" t="str">
        <f aca="false">IF($A251="","",COUNTIFS(Teachers!$E$5:$E$304,$A251,Teachers!$I$5:$I$304,"Active"))</f>
        <v/>
      </c>
      <c r="I251" s="85" t="str">
        <f aca="false">IF($A251="","",COUNTIF(Classes!$B$5:$B$304,$A251))</f>
        <v/>
      </c>
      <c r="J251" s="85"/>
    </row>
    <row r="252" customFormat="false" ht="19.5" hidden="false" customHeight="true" outlineLevel="0" collapsed="false">
      <c r="A252" s="85" t="str">
        <f aca="false">IF(B252="","","SCH"&amp;TEXT(ROW()-4,"00"))</f>
        <v/>
      </c>
      <c r="B252" s="86"/>
      <c r="C252" s="86"/>
      <c r="D252" s="86"/>
      <c r="E252" s="86"/>
      <c r="F252" s="86"/>
      <c r="G252" s="85" t="str">
        <f aca="false">IF($A252="","",COUNTIFS(Students!$E$5:$E$304,$A252,Students!$K$5:$K$304,"Active"))</f>
        <v/>
      </c>
      <c r="H252" s="85" t="str">
        <f aca="false">IF($A252="","",COUNTIFS(Teachers!$E$5:$E$304,$A252,Teachers!$I$5:$I$304,"Active"))</f>
        <v/>
      </c>
      <c r="I252" s="85" t="str">
        <f aca="false">IF($A252="","",COUNTIF(Classes!$B$5:$B$304,$A252))</f>
        <v/>
      </c>
      <c r="J252" s="85"/>
    </row>
    <row r="253" customFormat="false" ht="19.5" hidden="false" customHeight="true" outlineLevel="0" collapsed="false">
      <c r="A253" s="85" t="str">
        <f aca="false">IF(B253="","","SCH"&amp;TEXT(ROW()-4,"00"))</f>
        <v/>
      </c>
      <c r="B253" s="86"/>
      <c r="C253" s="86"/>
      <c r="D253" s="86"/>
      <c r="E253" s="86"/>
      <c r="F253" s="86"/>
      <c r="G253" s="85" t="str">
        <f aca="false">IF($A253="","",COUNTIFS(Students!$E$5:$E$304,$A253,Students!$K$5:$K$304,"Active"))</f>
        <v/>
      </c>
      <c r="H253" s="85" t="str">
        <f aca="false">IF($A253="","",COUNTIFS(Teachers!$E$5:$E$304,$A253,Teachers!$I$5:$I$304,"Active"))</f>
        <v/>
      </c>
      <c r="I253" s="85" t="str">
        <f aca="false">IF($A253="","",COUNTIF(Classes!$B$5:$B$304,$A253))</f>
        <v/>
      </c>
      <c r="J253" s="85"/>
    </row>
    <row r="254" customFormat="false" ht="19.5" hidden="false" customHeight="true" outlineLevel="0" collapsed="false">
      <c r="A254" s="85" t="str">
        <f aca="false">IF(B254="","","SCH"&amp;TEXT(ROW()-4,"00"))</f>
        <v/>
      </c>
      <c r="B254" s="86"/>
      <c r="C254" s="86"/>
      <c r="D254" s="86"/>
      <c r="E254" s="86"/>
      <c r="F254" s="86"/>
      <c r="G254" s="85" t="str">
        <f aca="false">IF($A254="","",COUNTIFS(Students!$E$5:$E$304,$A254,Students!$K$5:$K$304,"Active"))</f>
        <v/>
      </c>
      <c r="H254" s="85" t="str">
        <f aca="false">IF($A254="","",COUNTIFS(Teachers!$E$5:$E$304,$A254,Teachers!$I$5:$I$304,"Active"))</f>
        <v/>
      </c>
      <c r="I254" s="85" t="str">
        <f aca="false">IF($A254="","",COUNTIF(Classes!$B$5:$B$304,$A254))</f>
        <v/>
      </c>
      <c r="J254" s="85"/>
    </row>
    <row r="255" customFormat="false" ht="19.5" hidden="false" customHeight="true" outlineLevel="0" collapsed="false">
      <c r="A255" s="85" t="str">
        <f aca="false">IF(B255="","","SCH"&amp;TEXT(ROW()-4,"00"))</f>
        <v/>
      </c>
      <c r="B255" s="86"/>
      <c r="C255" s="86"/>
      <c r="D255" s="86"/>
      <c r="E255" s="86"/>
      <c r="F255" s="86"/>
      <c r="G255" s="85" t="str">
        <f aca="false">IF($A255="","",COUNTIFS(Students!$E$5:$E$304,$A255,Students!$K$5:$K$304,"Active"))</f>
        <v/>
      </c>
      <c r="H255" s="85" t="str">
        <f aca="false">IF($A255="","",COUNTIFS(Teachers!$E$5:$E$304,$A255,Teachers!$I$5:$I$304,"Active"))</f>
        <v/>
      </c>
      <c r="I255" s="85" t="str">
        <f aca="false">IF($A255="","",COUNTIF(Classes!$B$5:$B$304,$A255))</f>
        <v/>
      </c>
      <c r="J255" s="85"/>
    </row>
    <row r="256" customFormat="false" ht="19.5" hidden="false" customHeight="true" outlineLevel="0" collapsed="false">
      <c r="A256" s="85" t="str">
        <f aca="false">IF(B256="","","SCH"&amp;TEXT(ROW()-4,"00"))</f>
        <v/>
      </c>
      <c r="B256" s="86"/>
      <c r="C256" s="86"/>
      <c r="D256" s="86"/>
      <c r="E256" s="86"/>
      <c r="F256" s="86"/>
      <c r="G256" s="85" t="str">
        <f aca="false">IF($A256="","",COUNTIFS(Students!$E$5:$E$304,$A256,Students!$K$5:$K$304,"Active"))</f>
        <v/>
      </c>
      <c r="H256" s="85" t="str">
        <f aca="false">IF($A256="","",COUNTIFS(Teachers!$E$5:$E$304,$A256,Teachers!$I$5:$I$304,"Active"))</f>
        <v/>
      </c>
      <c r="I256" s="85" t="str">
        <f aca="false">IF($A256="","",COUNTIF(Classes!$B$5:$B$304,$A256))</f>
        <v/>
      </c>
      <c r="J256" s="85"/>
    </row>
    <row r="257" customFormat="false" ht="19.5" hidden="false" customHeight="true" outlineLevel="0" collapsed="false">
      <c r="A257" s="85" t="str">
        <f aca="false">IF(B257="","","SCH"&amp;TEXT(ROW()-4,"00"))</f>
        <v/>
      </c>
      <c r="B257" s="86"/>
      <c r="C257" s="86"/>
      <c r="D257" s="86"/>
      <c r="E257" s="86"/>
      <c r="F257" s="86"/>
      <c r="G257" s="85" t="str">
        <f aca="false">IF($A257="","",COUNTIFS(Students!$E$5:$E$304,$A257,Students!$K$5:$K$304,"Active"))</f>
        <v/>
      </c>
      <c r="H257" s="85" t="str">
        <f aca="false">IF($A257="","",COUNTIFS(Teachers!$E$5:$E$304,$A257,Teachers!$I$5:$I$304,"Active"))</f>
        <v/>
      </c>
      <c r="I257" s="85" t="str">
        <f aca="false">IF($A257="","",COUNTIF(Classes!$B$5:$B$304,$A257))</f>
        <v/>
      </c>
      <c r="J257" s="85"/>
    </row>
    <row r="258" customFormat="false" ht="19.5" hidden="false" customHeight="true" outlineLevel="0" collapsed="false">
      <c r="A258" s="85" t="str">
        <f aca="false">IF(B258="","","SCH"&amp;TEXT(ROW()-4,"00"))</f>
        <v/>
      </c>
      <c r="B258" s="86"/>
      <c r="C258" s="86"/>
      <c r="D258" s="86"/>
      <c r="E258" s="86"/>
      <c r="F258" s="86"/>
      <c r="G258" s="85" t="str">
        <f aca="false">IF($A258="","",COUNTIFS(Students!$E$5:$E$304,$A258,Students!$K$5:$K$304,"Active"))</f>
        <v/>
      </c>
      <c r="H258" s="85" t="str">
        <f aca="false">IF($A258="","",COUNTIFS(Teachers!$E$5:$E$304,$A258,Teachers!$I$5:$I$304,"Active"))</f>
        <v/>
      </c>
      <c r="I258" s="85" t="str">
        <f aca="false">IF($A258="","",COUNTIF(Classes!$B$5:$B$304,$A258))</f>
        <v/>
      </c>
      <c r="J258" s="85"/>
    </row>
    <row r="259" customFormat="false" ht="19.5" hidden="false" customHeight="true" outlineLevel="0" collapsed="false">
      <c r="A259" s="85" t="str">
        <f aca="false">IF(B259="","","SCH"&amp;TEXT(ROW()-4,"00"))</f>
        <v/>
      </c>
      <c r="B259" s="86"/>
      <c r="C259" s="86"/>
      <c r="D259" s="86"/>
      <c r="E259" s="86"/>
      <c r="F259" s="86"/>
      <c r="G259" s="85" t="str">
        <f aca="false">IF($A259="","",COUNTIFS(Students!$E$5:$E$304,$A259,Students!$K$5:$K$304,"Active"))</f>
        <v/>
      </c>
      <c r="H259" s="85" t="str">
        <f aca="false">IF($A259="","",COUNTIFS(Teachers!$E$5:$E$304,$A259,Teachers!$I$5:$I$304,"Active"))</f>
        <v/>
      </c>
      <c r="I259" s="85" t="str">
        <f aca="false">IF($A259="","",COUNTIF(Classes!$B$5:$B$304,$A259))</f>
        <v/>
      </c>
      <c r="J259" s="85"/>
    </row>
    <row r="260" customFormat="false" ht="19.5" hidden="false" customHeight="true" outlineLevel="0" collapsed="false">
      <c r="A260" s="85" t="str">
        <f aca="false">IF(B260="","","SCH"&amp;TEXT(ROW()-4,"00"))</f>
        <v/>
      </c>
      <c r="B260" s="86"/>
      <c r="C260" s="86"/>
      <c r="D260" s="86"/>
      <c r="E260" s="86"/>
      <c r="F260" s="86"/>
      <c r="G260" s="85" t="str">
        <f aca="false">IF($A260="","",COUNTIFS(Students!$E$5:$E$304,$A260,Students!$K$5:$K$304,"Active"))</f>
        <v/>
      </c>
      <c r="H260" s="85" t="str">
        <f aca="false">IF($A260="","",COUNTIFS(Teachers!$E$5:$E$304,$A260,Teachers!$I$5:$I$304,"Active"))</f>
        <v/>
      </c>
      <c r="I260" s="85" t="str">
        <f aca="false">IF($A260="","",COUNTIF(Classes!$B$5:$B$304,$A260))</f>
        <v/>
      </c>
      <c r="J260" s="85"/>
    </row>
    <row r="261" customFormat="false" ht="19.5" hidden="false" customHeight="true" outlineLevel="0" collapsed="false">
      <c r="A261" s="85" t="str">
        <f aca="false">IF(B261="","","SCH"&amp;TEXT(ROW()-4,"00"))</f>
        <v/>
      </c>
      <c r="B261" s="86"/>
      <c r="C261" s="86"/>
      <c r="D261" s="86"/>
      <c r="E261" s="86"/>
      <c r="F261" s="86"/>
      <c r="G261" s="85" t="str">
        <f aca="false">IF($A261="","",COUNTIFS(Students!$E$5:$E$304,$A261,Students!$K$5:$K$304,"Active"))</f>
        <v/>
      </c>
      <c r="H261" s="85" t="str">
        <f aca="false">IF($A261="","",COUNTIFS(Teachers!$E$5:$E$304,$A261,Teachers!$I$5:$I$304,"Active"))</f>
        <v/>
      </c>
      <c r="I261" s="85" t="str">
        <f aca="false">IF($A261="","",COUNTIF(Classes!$B$5:$B$304,$A261))</f>
        <v/>
      </c>
      <c r="J261" s="85"/>
    </row>
    <row r="262" customFormat="false" ht="19.5" hidden="false" customHeight="true" outlineLevel="0" collapsed="false">
      <c r="A262" s="85" t="str">
        <f aca="false">IF(B262="","","SCH"&amp;TEXT(ROW()-4,"00"))</f>
        <v/>
      </c>
      <c r="B262" s="86"/>
      <c r="C262" s="86"/>
      <c r="D262" s="86"/>
      <c r="E262" s="86"/>
      <c r="F262" s="86"/>
      <c r="G262" s="85" t="str">
        <f aca="false">IF($A262="","",COUNTIFS(Students!$E$5:$E$304,$A262,Students!$K$5:$K$304,"Active"))</f>
        <v/>
      </c>
      <c r="H262" s="85" t="str">
        <f aca="false">IF($A262="","",COUNTIFS(Teachers!$E$5:$E$304,$A262,Teachers!$I$5:$I$304,"Active"))</f>
        <v/>
      </c>
      <c r="I262" s="85" t="str">
        <f aca="false">IF($A262="","",COUNTIF(Classes!$B$5:$B$304,$A262))</f>
        <v/>
      </c>
      <c r="J262" s="85"/>
    </row>
    <row r="263" customFormat="false" ht="19.5" hidden="false" customHeight="true" outlineLevel="0" collapsed="false">
      <c r="A263" s="85" t="str">
        <f aca="false">IF(B263="","","SCH"&amp;TEXT(ROW()-4,"00"))</f>
        <v/>
      </c>
      <c r="B263" s="86"/>
      <c r="C263" s="86"/>
      <c r="D263" s="86"/>
      <c r="E263" s="86"/>
      <c r="F263" s="86"/>
      <c r="G263" s="85" t="str">
        <f aca="false">IF($A263="","",COUNTIFS(Students!$E$5:$E$304,$A263,Students!$K$5:$K$304,"Active"))</f>
        <v/>
      </c>
      <c r="H263" s="85" t="str">
        <f aca="false">IF($A263="","",COUNTIFS(Teachers!$E$5:$E$304,$A263,Teachers!$I$5:$I$304,"Active"))</f>
        <v/>
      </c>
      <c r="I263" s="85" t="str">
        <f aca="false">IF($A263="","",COUNTIF(Classes!$B$5:$B$304,$A263))</f>
        <v/>
      </c>
      <c r="J263" s="85"/>
    </row>
    <row r="264" customFormat="false" ht="19.5" hidden="false" customHeight="true" outlineLevel="0" collapsed="false">
      <c r="A264" s="85" t="str">
        <f aca="false">IF(B264="","","SCH"&amp;TEXT(ROW()-4,"00"))</f>
        <v/>
      </c>
      <c r="B264" s="86"/>
      <c r="C264" s="86"/>
      <c r="D264" s="86"/>
      <c r="E264" s="86"/>
      <c r="F264" s="86"/>
      <c r="G264" s="85" t="str">
        <f aca="false">IF($A264="","",COUNTIFS(Students!$E$5:$E$304,$A264,Students!$K$5:$K$304,"Active"))</f>
        <v/>
      </c>
      <c r="H264" s="85" t="str">
        <f aca="false">IF($A264="","",COUNTIFS(Teachers!$E$5:$E$304,$A264,Teachers!$I$5:$I$304,"Active"))</f>
        <v/>
      </c>
      <c r="I264" s="85" t="str">
        <f aca="false">IF($A264="","",COUNTIF(Classes!$B$5:$B$304,$A264))</f>
        <v/>
      </c>
      <c r="J264" s="85"/>
    </row>
    <row r="265" customFormat="false" ht="19.5" hidden="false" customHeight="true" outlineLevel="0" collapsed="false">
      <c r="A265" s="85" t="str">
        <f aca="false">IF(B265="","","SCH"&amp;TEXT(ROW()-4,"00"))</f>
        <v/>
      </c>
      <c r="B265" s="86"/>
      <c r="C265" s="86"/>
      <c r="D265" s="86"/>
      <c r="E265" s="86"/>
      <c r="F265" s="86"/>
      <c r="G265" s="85" t="str">
        <f aca="false">IF($A265="","",COUNTIFS(Students!$E$5:$E$304,$A265,Students!$K$5:$K$304,"Active"))</f>
        <v/>
      </c>
      <c r="H265" s="85" t="str">
        <f aca="false">IF($A265="","",COUNTIFS(Teachers!$E$5:$E$304,$A265,Teachers!$I$5:$I$304,"Active"))</f>
        <v/>
      </c>
      <c r="I265" s="85" t="str">
        <f aca="false">IF($A265="","",COUNTIF(Classes!$B$5:$B$304,$A265))</f>
        <v/>
      </c>
      <c r="J265" s="85"/>
    </row>
    <row r="266" customFormat="false" ht="19.5" hidden="false" customHeight="true" outlineLevel="0" collapsed="false">
      <c r="A266" s="85" t="str">
        <f aca="false">IF(B266="","","SCH"&amp;TEXT(ROW()-4,"00"))</f>
        <v/>
      </c>
      <c r="B266" s="86"/>
      <c r="C266" s="86"/>
      <c r="D266" s="86"/>
      <c r="E266" s="86"/>
      <c r="F266" s="86"/>
      <c r="G266" s="85" t="str">
        <f aca="false">IF($A266="","",COUNTIFS(Students!$E$5:$E$304,$A266,Students!$K$5:$K$304,"Active"))</f>
        <v/>
      </c>
      <c r="H266" s="85" t="str">
        <f aca="false">IF($A266="","",COUNTIFS(Teachers!$E$5:$E$304,$A266,Teachers!$I$5:$I$304,"Active"))</f>
        <v/>
      </c>
      <c r="I266" s="85" t="str">
        <f aca="false">IF($A266="","",COUNTIF(Classes!$B$5:$B$304,$A266))</f>
        <v/>
      </c>
      <c r="J266" s="85"/>
    </row>
    <row r="267" customFormat="false" ht="19.5" hidden="false" customHeight="true" outlineLevel="0" collapsed="false">
      <c r="A267" s="85" t="str">
        <f aca="false">IF(B267="","","SCH"&amp;TEXT(ROW()-4,"00"))</f>
        <v/>
      </c>
      <c r="B267" s="86"/>
      <c r="C267" s="86"/>
      <c r="D267" s="86"/>
      <c r="E267" s="86"/>
      <c r="F267" s="86"/>
      <c r="G267" s="85" t="str">
        <f aca="false">IF($A267="","",COUNTIFS(Students!$E$5:$E$304,$A267,Students!$K$5:$K$304,"Active"))</f>
        <v/>
      </c>
      <c r="H267" s="85" t="str">
        <f aca="false">IF($A267="","",COUNTIFS(Teachers!$E$5:$E$304,$A267,Teachers!$I$5:$I$304,"Active"))</f>
        <v/>
      </c>
      <c r="I267" s="85" t="str">
        <f aca="false">IF($A267="","",COUNTIF(Classes!$B$5:$B$304,$A267))</f>
        <v/>
      </c>
      <c r="J267" s="85"/>
    </row>
    <row r="268" customFormat="false" ht="19.5" hidden="false" customHeight="true" outlineLevel="0" collapsed="false">
      <c r="A268" s="85" t="str">
        <f aca="false">IF(B268="","","SCH"&amp;TEXT(ROW()-4,"00"))</f>
        <v/>
      </c>
      <c r="B268" s="86"/>
      <c r="C268" s="86"/>
      <c r="D268" s="86"/>
      <c r="E268" s="86"/>
      <c r="F268" s="86"/>
      <c r="G268" s="85" t="str">
        <f aca="false">IF($A268="","",COUNTIFS(Students!$E$5:$E$304,$A268,Students!$K$5:$K$304,"Active"))</f>
        <v/>
      </c>
      <c r="H268" s="85" t="str">
        <f aca="false">IF($A268="","",COUNTIFS(Teachers!$E$5:$E$304,$A268,Teachers!$I$5:$I$304,"Active"))</f>
        <v/>
      </c>
      <c r="I268" s="85" t="str">
        <f aca="false">IF($A268="","",COUNTIF(Classes!$B$5:$B$304,$A268))</f>
        <v/>
      </c>
      <c r="J268" s="85"/>
    </row>
    <row r="269" customFormat="false" ht="19.5" hidden="false" customHeight="true" outlineLevel="0" collapsed="false">
      <c r="A269" s="85" t="str">
        <f aca="false">IF(B269="","","SCH"&amp;TEXT(ROW()-4,"00"))</f>
        <v/>
      </c>
      <c r="B269" s="86"/>
      <c r="C269" s="86"/>
      <c r="D269" s="86"/>
      <c r="E269" s="86"/>
      <c r="F269" s="86"/>
      <c r="G269" s="85" t="str">
        <f aca="false">IF($A269="","",COUNTIFS(Students!$E$5:$E$304,$A269,Students!$K$5:$K$304,"Active"))</f>
        <v/>
      </c>
      <c r="H269" s="85" t="str">
        <f aca="false">IF($A269="","",COUNTIFS(Teachers!$E$5:$E$304,$A269,Teachers!$I$5:$I$304,"Active"))</f>
        <v/>
      </c>
      <c r="I269" s="85" t="str">
        <f aca="false">IF($A269="","",COUNTIF(Classes!$B$5:$B$304,$A269))</f>
        <v/>
      </c>
      <c r="J269" s="85"/>
    </row>
    <row r="270" customFormat="false" ht="19.5" hidden="false" customHeight="true" outlineLevel="0" collapsed="false">
      <c r="A270" s="85" t="str">
        <f aca="false">IF(B270="","","SCH"&amp;TEXT(ROW()-4,"00"))</f>
        <v/>
      </c>
      <c r="B270" s="86"/>
      <c r="C270" s="86"/>
      <c r="D270" s="86"/>
      <c r="E270" s="86"/>
      <c r="F270" s="86"/>
      <c r="G270" s="85" t="str">
        <f aca="false">IF($A270="","",COUNTIFS(Students!$E$5:$E$304,$A270,Students!$K$5:$K$304,"Active"))</f>
        <v/>
      </c>
      <c r="H270" s="85" t="str">
        <f aca="false">IF($A270="","",COUNTIFS(Teachers!$E$5:$E$304,$A270,Teachers!$I$5:$I$304,"Active"))</f>
        <v/>
      </c>
      <c r="I270" s="85" t="str">
        <f aca="false">IF($A270="","",COUNTIF(Classes!$B$5:$B$304,$A270))</f>
        <v/>
      </c>
      <c r="J270" s="85"/>
    </row>
    <row r="271" customFormat="false" ht="19.5" hidden="false" customHeight="true" outlineLevel="0" collapsed="false">
      <c r="A271" s="85" t="str">
        <f aca="false">IF(B271="","","SCH"&amp;TEXT(ROW()-4,"00"))</f>
        <v/>
      </c>
      <c r="B271" s="86"/>
      <c r="C271" s="86"/>
      <c r="D271" s="86"/>
      <c r="E271" s="86"/>
      <c r="F271" s="86"/>
      <c r="G271" s="85" t="str">
        <f aca="false">IF($A271="","",COUNTIFS(Students!$E$5:$E$304,$A271,Students!$K$5:$K$304,"Active"))</f>
        <v/>
      </c>
      <c r="H271" s="85" t="str">
        <f aca="false">IF($A271="","",COUNTIFS(Teachers!$E$5:$E$304,$A271,Teachers!$I$5:$I$304,"Active"))</f>
        <v/>
      </c>
      <c r="I271" s="85" t="str">
        <f aca="false">IF($A271="","",COUNTIF(Classes!$B$5:$B$304,$A271))</f>
        <v/>
      </c>
      <c r="J271" s="85"/>
    </row>
    <row r="272" customFormat="false" ht="19.5" hidden="false" customHeight="true" outlineLevel="0" collapsed="false">
      <c r="A272" s="85" t="str">
        <f aca="false">IF(B272="","","SCH"&amp;TEXT(ROW()-4,"00"))</f>
        <v/>
      </c>
      <c r="B272" s="86"/>
      <c r="C272" s="86"/>
      <c r="D272" s="86"/>
      <c r="E272" s="86"/>
      <c r="F272" s="86"/>
      <c r="G272" s="85" t="str">
        <f aca="false">IF($A272="","",COUNTIFS(Students!$E$5:$E$304,$A272,Students!$K$5:$K$304,"Active"))</f>
        <v/>
      </c>
      <c r="H272" s="85" t="str">
        <f aca="false">IF($A272="","",COUNTIFS(Teachers!$E$5:$E$304,$A272,Teachers!$I$5:$I$304,"Active"))</f>
        <v/>
      </c>
      <c r="I272" s="85" t="str">
        <f aca="false">IF($A272="","",COUNTIF(Classes!$B$5:$B$304,$A272))</f>
        <v/>
      </c>
      <c r="J272" s="85"/>
    </row>
    <row r="273" customFormat="false" ht="19.5" hidden="false" customHeight="true" outlineLevel="0" collapsed="false">
      <c r="A273" s="85" t="str">
        <f aca="false">IF(B273="","","SCH"&amp;TEXT(ROW()-4,"00"))</f>
        <v/>
      </c>
      <c r="B273" s="86"/>
      <c r="C273" s="86"/>
      <c r="D273" s="86"/>
      <c r="E273" s="86"/>
      <c r="F273" s="86"/>
      <c r="G273" s="85" t="str">
        <f aca="false">IF($A273="","",COUNTIFS(Students!$E$5:$E$304,$A273,Students!$K$5:$K$304,"Active"))</f>
        <v/>
      </c>
      <c r="H273" s="85" t="str">
        <f aca="false">IF($A273="","",COUNTIFS(Teachers!$E$5:$E$304,$A273,Teachers!$I$5:$I$304,"Active"))</f>
        <v/>
      </c>
      <c r="I273" s="85" t="str">
        <f aca="false">IF($A273="","",COUNTIF(Classes!$B$5:$B$304,$A273))</f>
        <v/>
      </c>
      <c r="J273" s="85"/>
    </row>
    <row r="274" customFormat="false" ht="19.5" hidden="false" customHeight="true" outlineLevel="0" collapsed="false">
      <c r="A274" s="85" t="str">
        <f aca="false">IF(B274="","","SCH"&amp;TEXT(ROW()-4,"00"))</f>
        <v/>
      </c>
      <c r="B274" s="86"/>
      <c r="C274" s="86"/>
      <c r="D274" s="86"/>
      <c r="E274" s="86"/>
      <c r="F274" s="86"/>
      <c r="G274" s="85" t="str">
        <f aca="false">IF($A274="","",COUNTIFS(Students!$E$5:$E$304,$A274,Students!$K$5:$K$304,"Active"))</f>
        <v/>
      </c>
      <c r="H274" s="85" t="str">
        <f aca="false">IF($A274="","",COUNTIFS(Teachers!$E$5:$E$304,$A274,Teachers!$I$5:$I$304,"Active"))</f>
        <v/>
      </c>
      <c r="I274" s="85" t="str">
        <f aca="false">IF($A274="","",COUNTIF(Classes!$B$5:$B$304,$A274))</f>
        <v/>
      </c>
      <c r="J274" s="85"/>
    </row>
    <row r="275" customFormat="false" ht="19.5" hidden="false" customHeight="true" outlineLevel="0" collapsed="false">
      <c r="A275" s="85" t="str">
        <f aca="false">IF(B275="","","SCH"&amp;TEXT(ROW()-4,"00"))</f>
        <v/>
      </c>
      <c r="B275" s="86"/>
      <c r="C275" s="86"/>
      <c r="D275" s="86"/>
      <c r="E275" s="86"/>
      <c r="F275" s="86"/>
      <c r="G275" s="85" t="str">
        <f aca="false">IF($A275="","",COUNTIFS(Students!$E$5:$E$304,$A275,Students!$K$5:$K$304,"Active"))</f>
        <v/>
      </c>
      <c r="H275" s="85" t="str">
        <f aca="false">IF($A275="","",COUNTIFS(Teachers!$E$5:$E$304,$A275,Teachers!$I$5:$I$304,"Active"))</f>
        <v/>
      </c>
      <c r="I275" s="85" t="str">
        <f aca="false">IF($A275="","",COUNTIF(Classes!$B$5:$B$304,$A275))</f>
        <v/>
      </c>
      <c r="J275" s="85"/>
    </row>
    <row r="276" customFormat="false" ht="19.5" hidden="false" customHeight="true" outlineLevel="0" collapsed="false">
      <c r="A276" s="85" t="str">
        <f aca="false">IF(B276="","","SCH"&amp;TEXT(ROW()-4,"00"))</f>
        <v/>
      </c>
      <c r="B276" s="86"/>
      <c r="C276" s="86"/>
      <c r="D276" s="86"/>
      <c r="E276" s="86"/>
      <c r="F276" s="86"/>
      <c r="G276" s="85" t="str">
        <f aca="false">IF($A276="","",COUNTIFS(Students!$E$5:$E$304,$A276,Students!$K$5:$K$304,"Active"))</f>
        <v/>
      </c>
      <c r="H276" s="85" t="str">
        <f aca="false">IF($A276="","",COUNTIFS(Teachers!$E$5:$E$304,$A276,Teachers!$I$5:$I$304,"Active"))</f>
        <v/>
      </c>
      <c r="I276" s="85" t="str">
        <f aca="false">IF($A276="","",COUNTIF(Classes!$B$5:$B$304,$A276))</f>
        <v/>
      </c>
      <c r="J276" s="85"/>
    </row>
    <row r="277" customFormat="false" ht="19.5" hidden="false" customHeight="true" outlineLevel="0" collapsed="false">
      <c r="A277" s="85" t="str">
        <f aca="false">IF(B277="","","SCH"&amp;TEXT(ROW()-4,"00"))</f>
        <v/>
      </c>
      <c r="B277" s="86"/>
      <c r="C277" s="86"/>
      <c r="D277" s="86"/>
      <c r="E277" s="86"/>
      <c r="F277" s="86"/>
      <c r="G277" s="85" t="str">
        <f aca="false">IF($A277="","",COUNTIFS(Students!$E$5:$E$304,$A277,Students!$K$5:$K$304,"Active"))</f>
        <v/>
      </c>
      <c r="H277" s="85" t="str">
        <f aca="false">IF($A277="","",COUNTIFS(Teachers!$E$5:$E$304,$A277,Teachers!$I$5:$I$304,"Active"))</f>
        <v/>
      </c>
      <c r="I277" s="85" t="str">
        <f aca="false">IF($A277="","",COUNTIF(Classes!$B$5:$B$304,$A277))</f>
        <v/>
      </c>
      <c r="J277" s="85"/>
    </row>
    <row r="278" customFormat="false" ht="19.5" hidden="false" customHeight="true" outlineLevel="0" collapsed="false">
      <c r="A278" s="85" t="str">
        <f aca="false">IF(B278="","","SCH"&amp;TEXT(ROW()-4,"00"))</f>
        <v/>
      </c>
      <c r="B278" s="86"/>
      <c r="C278" s="86"/>
      <c r="D278" s="86"/>
      <c r="E278" s="86"/>
      <c r="F278" s="86"/>
      <c r="G278" s="85" t="str">
        <f aca="false">IF($A278="","",COUNTIFS(Students!$E$5:$E$304,$A278,Students!$K$5:$K$304,"Active"))</f>
        <v/>
      </c>
      <c r="H278" s="85" t="str">
        <f aca="false">IF($A278="","",COUNTIFS(Teachers!$E$5:$E$304,$A278,Teachers!$I$5:$I$304,"Active"))</f>
        <v/>
      </c>
      <c r="I278" s="85" t="str">
        <f aca="false">IF($A278="","",COUNTIF(Classes!$B$5:$B$304,$A278))</f>
        <v/>
      </c>
      <c r="J278" s="85"/>
    </row>
    <row r="279" customFormat="false" ht="19.5" hidden="false" customHeight="true" outlineLevel="0" collapsed="false">
      <c r="A279" s="85" t="str">
        <f aca="false">IF(B279="","","SCH"&amp;TEXT(ROW()-4,"00"))</f>
        <v/>
      </c>
      <c r="B279" s="86"/>
      <c r="C279" s="86"/>
      <c r="D279" s="86"/>
      <c r="E279" s="86"/>
      <c r="F279" s="86"/>
      <c r="G279" s="85" t="str">
        <f aca="false">IF($A279="","",COUNTIFS(Students!$E$5:$E$304,$A279,Students!$K$5:$K$304,"Active"))</f>
        <v/>
      </c>
      <c r="H279" s="85" t="str">
        <f aca="false">IF($A279="","",COUNTIFS(Teachers!$E$5:$E$304,$A279,Teachers!$I$5:$I$304,"Active"))</f>
        <v/>
      </c>
      <c r="I279" s="85" t="str">
        <f aca="false">IF($A279="","",COUNTIF(Classes!$B$5:$B$304,$A279))</f>
        <v/>
      </c>
      <c r="J279" s="85"/>
    </row>
    <row r="280" customFormat="false" ht="19.5" hidden="false" customHeight="true" outlineLevel="0" collapsed="false">
      <c r="A280" s="85" t="str">
        <f aca="false">IF(B280="","","SCH"&amp;TEXT(ROW()-4,"00"))</f>
        <v/>
      </c>
      <c r="B280" s="86"/>
      <c r="C280" s="86"/>
      <c r="D280" s="86"/>
      <c r="E280" s="86"/>
      <c r="F280" s="86"/>
      <c r="G280" s="85" t="str">
        <f aca="false">IF($A280="","",COUNTIFS(Students!$E$5:$E$304,$A280,Students!$K$5:$K$304,"Active"))</f>
        <v/>
      </c>
      <c r="H280" s="85" t="str">
        <f aca="false">IF($A280="","",COUNTIFS(Teachers!$E$5:$E$304,$A280,Teachers!$I$5:$I$304,"Active"))</f>
        <v/>
      </c>
      <c r="I280" s="85" t="str">
        <f aca="false">IF($A280="","",COUNTIF(Classes!$B$5:$B$304,$A280))</f>
        <v/>
      </c>
      <c r="J280" s="85"/>
    </row>
    <row r="281" customFormat="false" ht="19.5" hidden="false" customHeight="true" outlineLevel="0" collapsed="false">
      <c r="A281" s="85" t="str">
        <f aca="false">IF(B281="","","SCH"&amp;TEXT(ROW()-4,"00"))</f>
        <v/>
      </c>
      <c r="B281" s="86"/>
      <c r="C281" s="86"/>
      <c r="D281" s="86"/>
      <c r="E281" s="86"/>
      <c r="F281" s="86"/>
      <c r="G281" s="85" t="str">
        <f aca="false">IF($A281="","",COUNTIFS(Students!$E$5:$E$304,$A281,Students!$K$5:$K$304,"Active"))</f>
        <v/>
      </c>
      <c r="H281" s="85" t="str">
        <f aca="false">IF($A281="","",COUNTIFS(Teachers!$E$5:$E$304,$A281,Teachers!$I$5:$I$304,"Active"))</f>
        <v/>
      </c>
      <c r="I281" s="85" t="str">
        <f aca="false">IF($A281="","",COUNTIF(Classes!$B$5:$B$304,$A281))</f>
        <v/>
      </c>
      <c r="J281" s="85"/>
    </row>
    <row r="282" customFormat="false" ht="19.5" hidden="false" customHeight="true" outlineLevel="0" collapsed="false">
      <c r="A282" s="85" t="str">
        <f aca="false">IF(B282="","","SCH"&amp;TEXT(ROW()-4,"00"))</f>
        <v/>
      </c>
      <c r="B282" s="86"/>
      <c r="C282" s="86"/>
      <c r="D282" s="86"/>
      <c r="E282" s="86"/>
      <c r="F282" s="86"/>
      <c r="G282" s="85" t="str">
        <f aca="false">IF($A282="","",COUNTIFS(Students!$E$5:$E$304,$A282,Students!$K$5:$K$304,"Active"))</f>
        <v/>
      </c>
      <c r="H282" s="85" t="str">
        <f aca="false">IF($A282="","",COUNTIFS(Teachers!$E$5:$E$304,$A282,Teachers!$I$5:$I$304,"Active"))</f>
        <v/>
      </c>
      <c r="I282" s="85" t="str">
        <f aca="false">IF($A282="","",COUNTIF(Classes!$B$5:$B$304,$A282))</f>
        <v/>
      </c>
      <c r="J282" s="85"/>
    </row>
    <row r="283" customFormat="false" ht="19.5" hidden="false" customHeight="true" outlineLevel="0" collapsed="false">
      <c r="A283" s="85" t="str">
        <f aca="false">IF(B283="","","SCH"&amp;TEXT(ROW()-4,"00"))</f>
        <v/>
      </c>
      <c r="B283" s="86"/>
      <c r="C283" s="86"/>
      <c r="D283" s="86"/>
      <c r="E283" s="86"/>
      <c r="F283" s="86"/>
      <c r="G283" s="85" t="str">
        <f aca="false">IF($A283="","",COUNTIFS(Students!$E$5:$E$304,$A283,Students!$K$5:$K$304,"Active"))</f>
        <v/>
      </c>
      <c r="H283" s="85" t="str">
        <f aca="false">IF($A283="","",COUNTIFS(Teachers!$E$5:$E$304,$A283,Teachers!$I$5:$I$304,"Active"))</f>
        <v/>
      </c>
      <c r="I283" s="85" t="str">
        <f aca="false">IF($A283="","",COUNTIF(Classes!$B$5:$B$304,$A283))</f>
        <v/>
      </c>
      <c r="J283" s="85"/>
    </row>
    <row r="284" customFormat="false" ht="19.5" hidden="false" customHeight="true" outlineLevel="0" collapsed="false">
      <c r="A284" s="85" t="str">
        <f aca="false">IF(B284="","","SCH"&amp;TEXT(ROW()-4,"00"))</f>
        <v/>
      </c>
      <c r="B284" s="86"/>
      <c r="C284" s="86"/>
      <c r="D284" s="86"/>
      <c r="E284" s="86"/>
      <c r="F284" s="86"/>
      <c r="G284" s="85" t="str">
        <f aca="false">IF($A284="","",COUNTIFS(Students!$E$5:$E$304,$A284,Students!$K$5:$K$304,"Active"))</f>
        <v/>
      </c>
      <c r="H284" s="85" t="str">
        <f aca="false">IF($A284="","",COUNTIFS(Teachers!$E$5:$E$304,$A284,Teachers!$I$5:$I$304,"Active"))</f>
        <v/>
      </c>
      <c r="I284" s="85" t="str">
        <f aca="false">IF($A284="","",COUNTIF(Classes!$B$5:$B$304,$A284))</f>
        <v/>
      </c>
      <c r="J284" s="85"/>
    </row>
    <row r="285" customFormat="false" ht="19.5" hidden="false" customHeight="true" outlineLevel="0" collapsed="false">
      <c r="A285" s="85" t="str">
        <f aca="false">IF(B285="","","SCH"&amp;TEXT(ROW()-4,"00"))</f>
        <v/>
      </c>
      <c r="B285" s="86"/>
      <c r="C285" s="86"/>
      <c r="D285" s="86"/>
      <c r="E285" s="86"/>
      <c r="F285" s="86"/>
      <c r="G285" s="85" t="str">
        <f aca="false">IF($A285="","",COUNTIFS(Students!$E$5:$E$304,$A285,Students!$K$5:$K$304,"Active"))</f>
        <v/>
      </c>
      <c r="H285" s="85" t="str">
        <f aca="false">IF($A285="","",COUNTIFS(Teachers!$E$5:$E$304,$A285,Teachers!$I$5:$I$304,"Active"))</f>
        <v/>
      </c>
      <c r="I285" s="85" t="str">
        <f aca="false">IF($A285="","",COUNTIF(Classes!$B$5:$B$304,$A285))</f>
        <v/>
      </c>
      <c r="J285" s="85"/>
    </row>
    <row r="286" customFormat="false" ht="19.5" hidden="false" customHeight="true" outlineLevel="0" collapsed="false">
      <c r="A286" s="85" t="str">
        <f aca="false">IF(B286="","","SCH"&amp;TEXT(ROW()-4,"00"))</f>
        <v/>
      </c>
      <c r="B286" s="86"/>
      <c r="C286" s="86"/>
      <c r="D286" s="86"/>
      <c r="E286" s="86"/>
      <c r="F286" s="86"/>
      <c r="G286" s="85" t="str">
        <f aca="false">IF($A286="","",COUNTIFS(Students!$E$5:$E$304,$A286,Students!$K$5:$K$304,"Active"))</f>
        <v/>
      </c>
      <c r="H286" s="85" t="str">
        <f aca="false">IF($A286="","",COUNTIFS(Teachers!$E$5:$E$304,$A286,Teachers!$I$5:$I$304,"Active"))</f>
        <v/>
      </c>
      <c r="I286" s="85" t="str">
        <f aca="false">IF($A286="","",COUNTIF(Classes!$B$5:$B$304,$A286))</f>
        <v/>
      </c>
      <c r="J286" s="85"/>
    </row>
    <row r="287" customFormat="false" ht="19.5" hidden="false" customHeight="true" outlineLevel="0" collapsed="false">
      <c r="A287" s="85" t="str">
        <f aca="false">IF(B287="","","SCH"&amp;TEXT(ROW()-4,"00"))</f>
        <v/>
      </c>
      <c r="B287" s="86"/>
      <c r="C287" s="86"/>
      <c r="D287" s="86"/>
      <c r="E287" s="86"/>
      <c r="F287" s="86"/>
      <c r="G287" s="85" t="str">
        <f aca="false">IF($A287="","",COUNTIFS(Students!$E$5:$E$304,$A287,Students!$K$5:$K$304,"Active"))</f>
        <v/>
      </c>
      <c r="H287" s="85" t="str">
        <f aca="false">IF($A287="","",COUNTIFS(Teachers!$E$5:$E$304,$A287,Teachers!$I$5:$I$304,"Active"))</f>
        <v/>
      </c>
      <c r="I287" s="85" t="str">
        <f aca="false">IF($A287="","",COUNTIF(Classes!$B$5:$B$304,$A287))</f>
        <v/>
      </c>
      <c r="J287" s="85"/>
    </row>
    <row r="288" customFormat="false" ht="19.5" hidden="false" customHeight="true" outlineLevel="0" collapsed="false">
      <c r="A288" s="85" t="str">
        <f aca="false">IF(B288="","","SCH"&amp;TEXT(ROW()-4,"00"))</f>
        <v/>
      </c>
      <c r="B288" s="86"/>
      <c r="C288" s="86"/>
      <c r="D288" s="86"/>
      <c r="E288" s="86"/>
      <c r="F288" s="86"/>
      <c r="G288" s="85" t="str">
        <f aca="false">IF($A288="","",COUNTIFS(Students!$E$5:$E$304,$A288,Students!$K$5:$K$304,"Active"))</f>
        <v/>
      </c>
      <c r="H288" s="85" t="str">
        <f aca="false">IF($A288="","",COUNTIFS(Teachers!$E$5:$E$304,$A288,Teachers!$I$5:$I$304,"Active"))</f>
        <v/>
      </c>
      <c r="I288" s="85" t="str">
        <f aca="false">IF($A288="","",COUNTIF(Classes!$B$5:$B$304,$A288))</f>
        <v/>
      </c>
      <c r="J288" s="85"/>
    </row>
    <row r="289" customFormat="false" ht="19.5" hidden="false" customHeight="true" outlineLevel="0" collapsed="false">
      <c r="A289" s="85" t="str">
        <f aca="false">IF(B289="","","SCH"&amp;TEXT(ROW()-4,"00"))</f>
        <v/>
      </c>
      <c r="B289" s="86"/>
      <c r="C289" s="86"/>
      <c r="D289" s="86"/>
      <c r="E289" s="86"/>
      <c r="F289" s="86"/>
      <c r="G289" s="85" t="str">
        <f aca="false">IF($A289="","",COUNTIFS(Students!$E$5:$E$304,$A289,Students!$K$5:$K$304,"Active"))</f>
        <v/>
      </c>
      <c r="H289" s="85" t="str">
        <f aca="false">IF($A289="","",COUNTIFS(Teachers!$E$5:$E$304,$A289,Teachers!$I$5:$I$304,"Active"))</f>
        <v/>
      </c>
      <c r="I289" s="85" t="str">
        <f aca="false">IF($A289="","",COUNTIF(Classes!$B$5:$B$304,$A289))</f>
        <v/>
      </c>
      <c r="J289" s="85"/>
    </row>
    <row r="290" customFormat="false" ht="19.5" hidden="false" customHeight="true" outlineLevel="0" collapsed="false">
      <c r="A290" s="85" t="str">
        <f aca="false">IF(B290="","","SCH"&amp;TEXT(ROW()-4,"00"))</f>
        <v/>
      </c>
      <c r="B290" s="86"/>
      <c r="C290" s="86"/>
      <c r="D290" s="86"/>
      <c r="E290" s="86"/>
      <c r="F290" s="86"/>
      <c r="G290" s="85" t="str">
        <f aca="false">IF($A290="","",COUNTIFS(Students!$E$5:$E$304,$A290,Students!$K$5:$K$304,"Active"))</f>
        <v/>
      </c>
      <c r="H290" s="85" t="str">
        <f aca="false">IF($A290="","",COUNTIFS(Teachers!$E$5:$E$304,$A290,Teachers!$I$5:$I$304,"Active"))</f>
        <v/>
      </c>
      <c r="I290" s="85" t="str">
        <f aca="false">IF($A290="","",COUNTIF(Classes!$B$5:$B$304,$A290))</f>
        <v/>
      </c>
      <c r="J290" s="85"/>
    </row>
    <row r="291" customFormat="false" ht="19.5" hidden="false" customHeight="true" outlineLevel="0" collapsed="false">
      <c r="A291" s="85" t="str">
        <f aca="false">IF(B291="","","SCH"&amp;TEXT(ROW()-4,"00"))</f>
        <v/>
      </c>
      <c r="B291" s="86"/>
      <c r="C291" s="86"/>
      <c r="D291" s="86"/>
      <c r="E291" s="86"/>
      <c r="F291" s="86"/>
      <c r="G291" s="85" t="str">
        <f aca="false">IF($A291="","",COUNTIFS(Students!$E$5:$E$304,$A291,Students!$K$5:$K$304,"Active"))</f>
        <v/>
      </c>
      <c r="H291" s="85" t="str">
        <f aca="false">IF($A291="","",COUNTIFS(Teachers!$E$5:$E$304,$A291,Teachers!$I$5:$I$304,"Active"))</f>
        <v/>
      </c>
      <c r="I291" s="85" t="str">
        <f aca="false">IF($A291="","",COUNTIF(Classes!$B$5:$B$304,$A291))</f>
        <v/>
      </c>
      <c r="J291" s="85"/>
    </row>
    <row r="292" customFormat="false" ht="19.5" hidden="false" customHeight="true" outlineLevel="0" collapsed="false">
      <c r="A292" s="85" t="str">
        <f aca="false">IF(B292="","","SCH"&amp;TEXT(ROW()-4,"00"))</f>
        <v/>
      </c>
      <c r="B292" s="86"/>
      <c r="C292" s="86"/>
      <c r="D292" s="86"/>
      <c r="E292" s="86"/>
      <c r="F292" s="86"/>
      <c r="G292" s="85" t="str">
        <f aca="false">IF($A292="","",COUNTIFS(Students!$E$5:$E$304,$A292,Students!$K$5:$K$304,"Active"))</f>
        <v/>
      </c>
      <c r="H292" s="85" t="str">
        <f aca="false">IF($A292="","",COUNTIFS(Teachers!$E$5:$E$304,$A292,Teachers!$I$5:$I$304,"Active"))</f>
        <v/>
      </c>
      <c r="I292" s="85" t="str">
        <f aca="false">IF($A292="","",COUNTIF(Classes!$B$5:$B$304,$A292))</f>
        <v/>
      </c>
      <c r="J292" s="85"/>
    </row>
    <row r="293" customFormat="false" ht="19.5" hidden="false" customHeight="true" outlineLevel="0" collapsed="false">
      <c r="A293" s="85" t="str">
        <f aca="false">IF(B293="","","SCH"&amp;TEXT(ROW()-4,"00"))</f>
        <v/>
      </c>
      <c r="B293" s="86"/>
      <c r="C293" s="86"/>
      <c r="D293" s="86"/>
      <c r="E293" s="86"/>
      <c r="F293" s="86"/>
      <c r="G293" s="85" t="str">
        <f aca="false">IF($A293="","",COUNTIFS(Students!$E$5:$E$304,$A293,Students!$K$5:$K$304,"Active"))</f>
        <v/>
      </c>
      <c r="H293" s="85" t="str">
        <f aca="false">IF($A293="","",COUNTIFS(Teachers!$E$5:$E$304,$A293,Teachers!$I$5:$I$304,"Active"))</f>
        <v/>
      </c>
      <c r="I293" s="85" t="str">
        <f aca="false">IF($A293="","",COUNTIF(Classes!$B$5:$B$304,$A293))</f>
        <v/>
      </c>
      <c r="J293" s="85"/>
    </row>
    <row r="294" customFormat="false" ht="19.5" hidden="false" customHeight="true" outlineLevel="0" collapsed="false">
      <c r="A294" s="85" t="str">
        <f aca="false">IF(B294="","","SCH"&amp;TEXT(ROW()-4,"00"))</f>
        <v/>
      </c>
      <c r="B294" s="86"/>
      <c r="C294" s="86"/>
      <c r="D294" s="86"/>
      <c r="E294" s="86"/>
      <c r="F294" s="86"/>
      <c r="G294" s="85" t="str">
        <f aca="false">IF($A294="","",COUNTIFS(Students!$E$5:$E$304,$A294,Students!$K$5:$K$304,"Active"))</f>
        <v/>
      </c>
      <c r="H294" s="85" t="str">
        <f aca="false">IF($A294="","",COUNTIFS(Teachers!$E$5:$E$304,$A294,Teachers!$I$5:$I$304,"Active"))</f>
        <v/>
      </c>
      <c r="I294" s="85" t="str">
        <f aca="false">IF($A294="","",COUNTIF(Classes!$B$5:$B$304,$A294))</f>
        <v/>
      </c>
      <c r="J294" s="85"/>
    </row>
    <row r="295" customFormat="false" ht="19.5" hidden="false" customHeight="true" outlineLevel="0" collapsed="false">
      <c r="A295" s="85" t="str">
        <f aca="false">IF(B295="","","SCH"&amp;TEXT(ROW()-4,"00"))</f>
        <v/>
      </c>
      <c r="B295" s="86"/>
      <c r="C295" s="86"/>
      <c r="D295" s="86"/>
      <c r="E295" s="86"/>
      <c r="F295" s="86"/>
      <c r="G295" s="85" t="str">
        <f aca="false">IF($A295="","",COUNTIFS(Students!$E$5:$E$304,$A295,Students!$K$5:$K$304,"Active"))</f>
        <v/>
      </c>
      <c r="H295" s="85" t="str">
        <f aca="false">IF($A295="","",COUNTIFS(Teachers!$E$5:$E$304,$A295,Teachers!$I$5:$I$304,"Active"))</f>
        <v/>
      </c>
      <c r="I295" s="85" t="str">
        <f aca="false">IF($A295="","",COUNTIF(Classes!$B$5:$B$304,$A295))</f>
        <v/>
      </c>
      <c r="J295" s="85"/>
    </row>
    <row r="296" customFormat="false" ht="19.5" hidden="false" customHeight="true" outlineLevel="0" collapsed="false">
      <c r="A296" s="85" t="str">
        <f aca="false">IF(B296="","","SCH"&amp;TEXT(ROW()-4,"00"))</f>
        <v/>
      </c>
      <c r="B296" s="86"/>
      <c r="C296" s="86"/>
      <c r="D296" s="86"/>
      <c r="E296" s="86"/>
      <c r="F296" s="86"/>
      <c r="G296" s="85" t="str">
        <f aca="false">IF($A296="","",COUNTIFS(Students!$E$5:$E$304,$A296,Students!$K$5:$K$304,"Active"))</f>
        <v/>
      </c>
      <c r="H296" s="85" t="str">
        <f aca="false">IF($A296="","",COUNTIFS(Teachers!$E$5:$E$304,$A296,Teachers!$I$5:$I$304,"Active"))</f>
        <v/>
      </c>
      <c r="I296" s="85" t="str">
        <f aca="false">IF($A296="","",COUNTIF(Classes!$B$5:$B$304,$A296))</f>
        <v/>
      </c>
      <c r="J296" s="85"/>
    </row>
    <row r="297" customFormat="false" ht="19.5" hidden="false" customHeight="true" outlineLevel="0" collapsed="false">
      <c r="A297" s="85" t="str">
        <f aca="false">IF(B297="","","SCH"&amp;TEXT(ROW()-4,"00"))</f>
        <v/>
      </c>
      <c r="B297" s="86"/>
      <c r="C297" s="86"/>
      <c r="D297" s="86"/>
      <c r="E297" s="86"/>
      <c r="F297" s="86"/>
      <c r="G297" s="85" t="str">
        <f aca="false">IF($A297="","",COUNTIFS(Students!$E$5:$E$304,$A297,Students!$K$5:$K$304,"Active"))</f>
        <v/>
      </c>
      <c r="H297" s="85" t="str">
        <f aca="false">IF($A297="","",COUNTIFS(Teachers!$E$5:$E$304,$A297,Teachers!$I$5:$I$304,"Active"))</f>
        <v/>
      </c>
      <c r="I297" s="85" t="str">
        <f aca="false">IF($A297="","",COUNTIF(Classes!$B$5:$B$304,$A297))</f>
        <v/>
      </c>
      <c r="J297" s="85"/>
    </row>
    <row r="298" customFormat="false" ht="19.5" hidden="false" customHeight="true" outlineLevel="0" collapsed="false">
      <c r="A298" s="85" t="str">
        <f aca="false">IF(B298="","","SCH"&amp;TEXT(ROW()-4,"00"))</f>
        <v/>
      </c>
      <c r="B298" s="86"/>
      <c r="C298" s="86"/>
      <c r="D298" s="86"/>
      <c r="E298" s="86"/>
      <c r="F298" s="86"/>
      <c r="G298" s="85" t="str">
        <f aca="false">IF($A298="","",COUNTIFS(Students!$E$5:$E$304,$A298,Students!$K$5:$K$304,"Active"))</f>
        <v/>
      </c>
      <c r="H298" s="85" t="str">
        <f aca="false">IF($A298="","",COUNTIFS(Teachers!$E$5:$E$304,$A298,Teachers!$I$5:$I$304,"Active"))</f>
        <v/>
      </c>
      <c r="I298" s="85" t="str">
        <f aca="false">IF($A298="","",COUNTIF(Classes!$B$5:$B$304,$A298))</f>
        <v/>
      </c>
      <c r="J298" s="85"/>
    </row>
    <row r="299" customFormat="false" ht="19.5" hidden="false" customHeight="true" outlineLevel="0" collapsed="false">
      <c r="A299" s="85" t="str">
        <f aca="false">IF(B299="","","SCH"&amp;TEXT(ROW()-4,"00"))</f>
        <v/>
      </c>
      <c r="B299" s="86"/>
      <c r="C299" s="86"/>
      <c r="D299" s="86"/>
      <c r="E299" s="86"/>
      <c r="F299" s="86"/>
      <c r="G299" s="85" t="str">
        <f aca="false">IF($A299="","",COUNTIFS(Students!$E$5:$E$304,$A299,Students!$K$5:$K$304,"Active"))</f>
        <v/>
      </c>
      <c r="H299" s="85" t="str">
        <f aca="false">IF($A299="","",COUNTIFS(Teachers!$E$5:$E$304,$A299,Teachers!$I$5:$I$304,"Active"))</f>
        <v/>
      </c>
      <c r="I299" s="85" t="str">
        <f aca="false">IF($A299="","",COUNTIF(Classes!$B$5:$B$304,$A299))</f>
        <v/>
      </c>
      <c r="J299" s="85"/>
    </row>
    <row r="300" customFormat="false" ht="19.5" hidden="false" customHeight="true" outlineLevel="0" collapsed="false">
      <c r="A300" s="85" t="str">
        <f aca="false">IF(B300="","","SCH"&amp;TEXT(ROW()-4,"00"))</f>
        <v/>
      </c>
      <c r="B300" s="86"/>
      <c r="C300" s="86"/>
      <c r="D300" s="86"/>
      <c r="E300" s="86"/>
      <c r="F300" s="86"/>
      <c r="G300" s="85" t="str">
        <f aca="false">IF($A300="","",COUNTIFS(Students!$E$5:$E$304,$A300,Students!$K$5:$K$304,"Active"))</f>
        <v/>
      </c>
      <c r="H300" s="85" t="str">
        <f aca="false">IF($A300="","",COUNTIFS(Teachers!$E$5:$E$304,$A300,Teachers!$I$5:$I$304,"Active"))</f>
        <v/>
      </c>
      <c r="I300" s="85" t="str">
        <f aca="false">IF($A300="","",COUNTIF(Classes!$B$5:$B$304,$A300))</f>
        <v/>
      </c>
      <c r="J300" s="85"/>
    </row>
    <row r="301" customFormat="false" ht="19.5" hidden="false" customHeight="true" outlineLevel="0" collapsed="false">
      <c r="A301" s="85" t="str">
        <f aca="false">IF(B301="","","SCH"&amp;TEXT(ROW()-4,"00"))</f>
        <v/>
      </c>
      <c r="B301" s="86"/>
      <c r="C301" s="86"/>
      <c r="D301" s="86"/>
      <c r="E301" s="86"/>
      <c r="F301" s="86"/>
      <c r="G301" s="85" t="str">
        <f aca="false">IF($A301="","",COUNTIFS(Students!$E$5:$E$304,$A301,Students!$K$5:$K$304,"Active"))</f>
        <v/>
      </c>
      <c r="H301" s="85" t="str">
        <f aca="false">IF($A301="","",COUNTIFS(Teachers!$E$5:$E$304,$A301,Teachers!$I$5:$I$304,"Active"))</f>
        <v/>
      </c>
      <c r="I301" s="85" t="str">
        <f aca="false">IF($A301="","",COUNTIF(Classes!$B$5:$B$304,$A301))</f>
        <v/>
      </c>
      <c r="J301" s="85"/>
    </row>
    <row r="302" customFormat="false" ht="19.5" hidden="false" customHeight="true" outlineLevel="0" collapsed="false">
      <c r="A302" s="85" t="str">
        <f aca="false">IF(B302="","","SCH"&amp;TEXT(ROW()-4,"00"))</f>
        <v/>
      </c>
      <c r="B302" s="86"/>
      <c r="C302" s="86"/>
      <c r="D302" s="86"/>
      <c r="E302" s="86"/>
      <c r="F302" s="86"/>
      <c r="G302" s="85" t="str">
        <f aca="false">IF($A302="","",COUNTIFS(Students!$E$5:$E$304,$A302,Students!$K$5:$K$304,"Active"))</f>
        <v/>
      </c>
      <c r="H302" s="85" t="str">
        <f aca="false">IF($A302="","",COUNTIFS(Teachers!$E$5:$E$304,$A302,Teachers!$I$5:$I$304,"Active"))</f>
        <v/>
      </c>
      <c r="I302" s="85" t="str">
        <f aca="false">IF($A302="","",COUNTIF(Classes!$B$5:$B$304,$A302))</f>
        <v/>
      </c>
      <c r="J302" s="85"/>
    </row>
    <row r="303" customFormat="false" ht="19.5" hidden="false" customHeight="true" outlineLevel="0" collapsed="false">
      <c r="A303" s="85" t="str">
        <f aca="false">IF(B303="","","SCH"&amp;TEXT(ROW()-4,"00"))</f>
        <v/>
      </c>
      <c r="B303" s="86"/>
      <c r="C303" s="86"/>
      <c r="D303" s="86"/>
      <c r="E303" s="86"/>
      <c r="F303" s="86"/>
      <c r="G303" s="85" t="str">
        <f aca="false">IF($A303="","",COUNTIFS(Students!$E$5:$E$304,$A303,Students!$K$5:$K$304,"Active"))</f>
        <v/>
      </c>
      <c r="H303" s="85" t="str">
        <f aca="false">IF($A303="","",COUNTIFS(Teachers!$E$5:$E$304,$A303,Teachers!$I$5:$I$304,"Active"))</f>
        <v/>
      </c>
      <c r="I303" s="85" t="str">
        <f aca="false">IF($A303="","",COUNTIF(Classes!$B$5:$B$304,$A303))</f>
        <v/>
      </c>
      <c r="J303" s="85"/>
    </row>
    <row r="304" customFormat="false" ht="19.5" hidden="false" customHeight="true" outlineLevel="0" collapsed="false">
      <c r="A304" s="85" t="str">
        <f aca="false">IF(B304="","","SCH"&amp;TEXT(ROW()-4,"00"))</f>
        <v/>
      </c>
      <c r="B304" s="86"/>
      <c r="C304" s="86"/>
      <c r="D304" s="86"/>
      <c r="E304" s="86"/>
      <c r="F304" s="86"/>
      <c r="G304" s="85" t="str">
        <f aca="false">IF($A304="","",COUNTIFS(Students!$E$5:$E$304,$A304,Students!$K$5:$K$304,"Active"))</f>
        <v/>
      </c>
      <c r="H304" s="85" t="str">
        <f aca="false">IF($A304="","",COUNTIFS(Teachers!$E$5:$E$304,$A304,Teachers!$I$5:$I$304,"Active"))</f>
        <v/>
      </c>
      <c r="I304" s="85" t="str">
        <f aca="false">IF($A304="","",COUNTIF(Classes!$B$5:$B$304,$A304))</f>
        <v/>
      </c>
      <c r="J304" s="85"/>
    </row>
  </sheetData>
  <mergeCells count="3">
    <mergeCell ref="A1:J1"/>
    <mergeCell ref="A2:J2"/>
    <mergeCell ref="A3:J3"/>
  </mergeCells>
  <conditionalFormatting sqref="A5:J304">
    <cfRule type="expression" priority="2" aboveAverage="0" equalAverage="0" bottom="0" percent="0" rank="0" text="" dxfId="0">
      <formula>AND(MOD(ROW(),2)=0,$A5&lt;&gt;"")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355B"/>
    <pageSetUpPr fitToPage="true"/>
  </sheetPr>
  <dimension ref="A1:I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4" min="3" style="1" width="16"/>
    <col collapsed="false" customWidth="true" hidden="false" outlineLevel="0" max="5" min="5" style="1" width="26"/>
    <col collapsed="false" customWidth="true" hidden="false" outlineLevel="0" max="6" min="6" style="1" width="12"/>
    <col collapsed="false" customWidth="true" hidden="false" outlineLevel="0" max="8" min="7" style="1" width="14"/>
    <col collapsed="false" customWidth="true" hidden="false" outlineLevel="0" max="9" min="9" style="1" width="12"/>
  </cols>
  <sheetData>
    <row r="1" customFormat="false" ht="42" hidden="false" customHeight="true" outlineLevel="0" collapsed="false">
      <c r="A1" s="2" t="s">
        <v>315</v>
      </c>
      <c r="B1" s="2"/>
      <c r="C1" s="2"/>
      <c r="D1" s="2"/>
      <c r="E1" s="2"/>
      <c r="F1" s="2"/>
      <c r="G1" s="2"/>
      <c r="H1" s="2"/>
      <c r="I1" s="2"/>
    </row>
    <row r="2" customFormat="false" ht="19.5" hidden="false" customHeight="true" outlineLevel="0" collapsed="false">
      <c r="A2" s="3" t="s">
        <v>316</v>
      </c>
      <c r="B2" s="3"/>
      <c r="C2" s="3"/>
      <c r="D2" s="3"/>
      <c r="E2" s="3"/>
      <c r="F2" s="3"/>
      <c r="G2" s="3"/>
      <c r="H2" s="3"/>
      <c r="I2" s="3"/>
    </row>
    <row r="3" customFormat="false" ht="3.75" hidden="false" customHeight="true" outlineLevel="0" collapsed="false">
      <c r="A3" s="4"/>
      <c r="B3" s="4"/>
      <c r="C3" s="4"/>
      <c r="D3" s="4"/>
      <c r="E3" s="4"/>
      <c r="F3" s="4"/>
      <c r="G3" s="4"/>
      <c r="H3" s="4"/>
      <c r="I3" s="4"/>
    </row>
    <row r="4" customFormat="false" ht="33.75" hidden="false" customHeight="true" outlineLevel="0" collapsed="false">
      <c r="A4" s="15" t="s">
        <v>317</v>
      </c>
      <c r="B4" s="15" t="s">
        <v>99</v>
      </c>
      <c r="C4" s="15" t="s">
        <v>318</v>
      </c>
      <c r="D4" s="15" t="s">
        <v>319</v>
      </c>
      <c r="E4" s="15" t="s">
        <v>320</v>
      </c>
      <c r="F4" s="15" t="s">
        <v>321</v>
      </c>
      <c r="G4" s="15" t="s">
        <v>306</v>
      </c>
      <c r="H4" s="15" t="s">
        <v>322</v>
      </c>
      <c r="I4" s="15" t="s">
        <v>323</v>
      </c>
    </row>
    <row r="5" customFormat="false" ht="19.5" hidden="false" customHeight="true" outlineLevel="0" collapsed="false">
      <c r="A5" s="83" t="str">
        <f aca="false">IF(C5="","","C"&amp;TEXT(ROW()-4,"000"))</f>
        <v>C001</v>
      </c>
      <c r="B5" s="87" t="s">
        <v>143</v>
      </c>
      <c r="C5" s="87" t="s">
        <v>145</v>
      </c>
      <c r="D5" s="87" t="s">
        <v>324</v>
      </c>
      <c r="E5" s="88" t="str">
        <f aca="false">IF(D5="","",IFERROR(INDEX(Teachers!$B$5:$B$304,MATCH(D5,Teachers!$A$5:$A$304,0)),""))</f>
        <v>John Sesay</v>
      </c>
      <c r="F5" s="84" t="s">
        <v>325</v>
      </c>
      <c r="G5" s="83" t="n">
        <f aca="false">IF($A5="","",COUNTIFS(Students!$E$5:$E$304,$B5,Students!$F$5:$F$304,$C5,Students!$K$5:$K$304,"Active"))</f>
        <v>1</v>
      </c>
      <c r="H5" s="83" t="n">
        <f aca="false">IF($A5="","",MAX(0,Settings!$B$7-G5))</f>
        <v>39</v>
      </c>
      <c r="I5" s="83" t="str">
        <f aca="false">IF($A5="","",IF(G5&gt;=Settings!$B$7,"Full","Open"))</f>
        <v>Open</v>
      </c>
    </row>
    <row r="6" customFormat="false" ht="19.5" hidden="false" customHeight="true" outlineLevel="0" collapsed="false">
      <c r="A6" s="85" t="str">
        <f aca="false">IF(C6="","","C"&amp;TEXT(ROW()-4,"000"))</f>
        <v/>
      </c>
      <c r="B6" s="52"/>
      <c r="C6" s="52"/>
      <c r="D6" s="52"/>
      <c r="E6" s="89" t="str">
        <f aca="false">IF(D6="","",IFERROR(INDEX(Teachers!$B$5:$B$304,MATCH(D6,Teachers!$A$5:$A$304,0)),""))</f>
        <v/>
      </c>
      <c r="F6" s="86"/>
      <c r="G6" s="85" t="str">
        <f aca="false">IF($A6="","",COUNTIFS(Students!$E$5:$E$304,$B6,Students!$F$5:$F$304,$C6,Students!$K$5:$K$304,"Active"))</f>
        <v/>
      </c>
      <c r="H6" s="85" t="str">
        <f aca="false">IF($A6="","",MAX(0,Settings!$B$7-G6))</f>
        <v/>
      </c>
      <c r="I6" s="85" t="str">
        <f aca="false">IF($A6="","",IF(G6&gt;=Settings!$B$7,"Full","Open"))</f>
        <v/>
      </c>
    </row>
    <row r="7" customFormat="false" ht="19.5" hidden="false" customHeight="true" outlineLevel="0" collapsed="false">
      <c r="A7" s="85" t="str">
        <f aca="false">IF(C7="","","C"&amp;TEXT(ROW()-4,"000"))</f>
        <v/>
      </c>
      <c r="B7" s="52"/>
      <c r="C7" s="52"/>
      <c r="D7" s="52"/>
      <c r="E7" s="89" t="str">
        <f aca="false">IF(D7="","",IFERROR(INDEX(Teachers!$B$5:$B$304,MATCH(D7,Teachers!$A$5:$A$304,0)),""))</f>
        <v/>
      </c>
      <c r="F7" s="86"/>
      <c r="G7" s="85" t="str">
        <f aca="false">IF($A7="","",COUNTIFS(Students!$E$5:$E$304,$B7,Students!$F$5:$F$304,$C7,Students!$K$5:$K$304,"Active"))</f>
        <v/>
      </c>
      <c r="H7" s="85" t="str">
        <f aca="false">IF($A7="","",MAX(0,Settings!$B$7-G7))</f>
        <v/>
      </c>
      <c r="I7" s="85" t="str">
        <f aca="false">IF($A7="","",IF(G7&gt;=Settings!$B$7,"Full","Open"))</f>
        <v/>
      </c>
    </row>
    <row r="8" customFormat="false" ht="19.5" hidden="false" customHeight="true" outlineLevel="0" collapsed="false">
      <c r="A8" s="85" t="str">
        <f aca="false">IF(C8="","","C"&amp;TEXT(ROW()-4,"000"))</f>
        <v/>
      </c>
      <c r="B8" s="52"/>
      <c r="C8" s="52"/>
      <c r="D8" s="52"/>
      <c r="E8" s="89" t="str">
        <f aca="false">IF(D8="","",IFERROR(INDEX(Teachers!$B$5:$B$304,MATCH(D8,Teachers!$A$5:$A$304,0)),""))</f>
        <v/>
      </c>
      <c r="F8" s="86"/>
      <c r="G8" s="85" t="str">
        <f aca="false">IF($A8="","",COUNTIFS(Students!$E$5:$E$304,$B8,Students!$F$5:$F$304,$C8,Students!$K$5:$K$304,"Active"))</f>
        <v/>
      </c>
      <c r="H8" s="85" t="str">
        <f aca="false">IF($A8="","",MAX(0,Settings!$B$7-G8))</f>
        <v/>
      </c>
      <c r="I8" s="85" t="str">
        <f aca="false">IF($A8="","",IF(G8&gt;=Settings!$B$7,"Full","Open"))</f>
        <v/>
      </c>
    </row>
    <row r="9" customFormat="false" ht="19.5" hidden="false" customHeight="true" outlineLevel="0" collapsed="false">
      <c r="A9" s="85" t="str">
        <f aca="false">IF(C9="","","C"&amp;TEXT(ROW()-4,"000"))</f>
        <v/>
      </c>
      <c r="B9" s="52"/>
      <c r="C9" s="52"/>
      <c r="D9" s="52"/>
      <c r="E9" s="89" t="str">
        <f aca="false">IF(D9="","",IFERROR(INDEX(Teachers!$B$5:$B$304,MATCH(D9,Teachers!$A$5:$A$304,0)),""))</f>
        <v/>
      </c>
      <c r="F9" s="86"/>
      <c r="G9" s="85" t="str">
        <f aca="false">IF($A9="","",COUNTIFS(Students!$E$5:$E$304,$B9,Students!$F$5:$F$304,$C9,Students!$K$5:$K$304,"Active"))</f>
        <v/>
      </c>
      <c r="H9" s="85" t="str">
        <f aca="false">IF($A9="","",MAX(0,Settings!$B$7-G9))</f>
        <v/>
      </c>
      <c r="I9" s="85" t="str">
        <f aca="false">IF($A9="","",IF(G9&gt;=Settings!$B$7,"Full","Open"))</f>
        <v/>
      </c>
    </row>
    <row r="10" customFormat="false" ht="19.5" hidden="false" customHeight="true" outlineLevel="0" collapsed="false">
      <c r="A10" s="85" t="str">
        <f aca="false">IF(C10="","","C"&amp;TEXT(ROW()-4,"000"))</f>
        <v/>
      </c>
      <c r="B10" s="52"/>
      <c r="C10" s="52"/>
      <c r="D10" s="52"/>
      <c r="E10" s="89" t="str">
        <f aca="false">IF(D10="","",IFERROR(INDEX(Teachers!$B$5:$B$304,MATCH(D10,Teachers!$A$5:$A$304,0)),""))</f>
        <v/>
      </c>
      <c r="F10" s="86"/>
      <c r="G10" s="85" t="str">
        <f aca="false">IF($A10="","",COUNTIFS(Students!$E$5:$E$304,$B10,Students!$F$5:$F$304,$C10,Students!$K$5:$K$304,"Active"))</f>
        <v/>
      </c>
      <c r="H10" s="85" t="str">
        <f aca="false">IF($A10="","",MAX(0,Settings!$B$7-G10))</f>
        <v/>
      </c>
      <c r="I10" s="85" t="str">
        <f aca="false">IF($A10="","",IF(G10&gt;=Settings!$B$7,"Full","Open"))</f>
        <v/>
      </c>
    </row>
    <row r="11" customFormat="false" ht="19.5" hidden="false" customHeight="true" outlineLevel="0" collapsed="false">
      <c r="A11" s="85" t="str">
        <f aca="false">IF(C11="","","C"&amp;TEXT(ROW()-4,"000"))</f>
        <v/>
      </c>
      <c r="B11" s="52"/>
      <c r="C11" s="52"/>
      <c r="D11" s="52"/>
      <c r="E11" s="89" t="str">
        <f aca="false">IF(D11="","",IFERROR(INDEX(Teachers!$B$5:$B$304,MATCH(D11,Teachers!$A$5:$A$304,0)),""))</f>
        <v/>
      </c>
      <c r="F11" s="86"/>
      <c r="G11" s="85" t="str">
        <f aca="false">IF($A11="","",COUNTIFS(Students!$E$5:$E$304,$B11,Students!$F$5:$F$304,$C11,Students!$K$5:$K$304,"Active"))</f>
        <v/>
      </c>
      <c r="H11" s="85" t="str">
        <f aca="false">IF($A11="","",MAX(0,Settings!$B$7-G11))</f>
        <v/>
      </c>
      <c r="I11" s="85" t="str">
        <f aca="false">IF($A11="","",IF(G11&gt;=Settings!$B$7,"Full","Open"))</f>
        <v/>
      </c>
    </row>
    <row r="12" customFormat="false" ht="19.5" hidden="false" customHeight="true" outlineLevel="0" collapsed="false">
      <c r="A12" s="85" t="str">
        <f aca="false">IF(C12="","","C"&amp;TEXT(ROW()-4,"000"))</f>
        <v/>
      </c>
      <c r="B12" s="52"/>
      <c r="C12" s="52"/>
      <c r="D12" s="52"/>
      <c r="E12" s="89" t="str">
        <f aca="false">IF(D12="","",IFERROR(INDEX(Teachers!$B$5:$B$304,MATCH(D12,Teachers!$A$5:$A$304,0)),""))</f>
        <v/>
      </c>
      <c r="F12" s="86"/>
      <c r="G12" s="85" t="str">
        <f aca="false">IF($A12="","",COUNTIFS(Students!$E$5:$E$304,$B12,Students!$F$5:$F$304,$C12,Students!$K$5:$K$304,"Active"))</f>
        <v/>
      </c>
      <c r="H12" s="85" t="str">
        <f aca="false">IF($A12="","",MAX(0,Settings!$B$7-G12))</f>
        <v/>
      </c>
      <c r="I12" s="85" t="str">
        <f aca="false">IF($A12="","",IF(G12&gt;=Settings!$B$7,"Full","Open"))</f>
        <v/>
      </c>
    </row>
    <row r="13" customFormat="false" ht="19.5" hidden="false" customHeight="true" outlineLevel="0" collapsed="false">
      <c r="A13" s="85" t="str">
        <f aca="false">IF(C13="","","C"&amp;TEXT(ROW()-4,"000"))</f>
        <v/>
      </c>
      <c r="B13" s="52"/>
      <c r="C13" s="52"/>
      <c r="D13" s="52"/>
      <c r="E13" s="89" t="str">
        <f aca="false">IF(D13="","",IFERROR(INDEX(Teachers!$B$5:$B$304,MATCH(D13,Teachers!$A$5:$A$304,0)),""))</f>
        <v/>
      </c>
      <c r="F13" s="86"/>
      <c r="G13" s="85" t="str">
        <f aca="false">IF($A13="","",COUNTIFS(Students!$E$5:$E$304,$B13,Students!$F$5:$F$304,$C13,Students!$K$5:$K$304,"Active"))</f>
        <v/>
      </c>
      <c r="H13" s="85" t="str">
        <f aca="false">IF($A13="","",MAX(0,Settings!$B$7-G13))</f>
        <v/>
      </c>
      <c r="I13" s="85" t="str">
        <f aca="false">IF($A13="","",IF(G13&gt;=Settings!$B$7,"Full","Open"))</f>
        <v/>
      </c>
    </row>
    <row r="14" customFormat="false" ht="19.5" hidden="false" customHeight="true" outlineLevel="0" collapsed="false">
      <c r="A14" s="85" t="str">
        <f aca="false">IF(C14="","","C"&amp;TEXT(ROW()-4,"000"))</f>
        <v/>
      </c>
      <c r="B14" s="52"/>
      <c r="C14" s="52"/>
      <c r="D14" s="52"/>
      <c r="E14" s="89" t="str">
        <f aca="false">IF(D14="","",IFERROR(INDEX(Teachers!$B$5:$B$304,MATCH(D14,Teachers!$A$5:$A$304,0)),""))</f>
        <v/>
      </c>
      <c r="F14" s="86"/>
      <c r="G14" s="85" t="str">
        <f aca="false">IF($A14="","",COUNTIFS(Students!$E$5:$E$304,$B14,Students!$F$5:$F$304,$C14,Students!$K$5:$K$304,"Active"))</f>
        <v/>
      </c>
      <c r="H14" s="85" t="str">
        <f aca="false">IF($A14="","",MAX(0,Settings!$B$7-G14))</f>
        <v/>
      </c>
      <c r="I14" s="85" t="str">
        <f aca="false">IF($A14="","",IF(G14&gt;=Settings!$B$7,"Full","Open"))</f>
        <v/>
      </c>
    </row>
    <row r="15" customFormat="false" ht="19.5" hidden="false" customHeight="true" outlineLevel="0" collapsed="false">
      <c r="A15" s="85" t="str">
        <f aca="false">IF(C15="","","C"&amp;TEXT(ROW()-4,"000"))</f>
        <v/>
      </c>
      <c r="B15" s="52"/>
      <c r="C15" s="52"/>
      <c r="D15" s="52"/>
      <c r="E15" s="89" t="str">
        <f aca="false">IF(D15="","",IFERROR(INDEX(Teachers!$B$5:$B$304,MATCH(D15,Teachers!$A$5:$A$304,0)),""))</f>
        <v/>
      </c>
      <c r="F15" s="86"/>
      <c r="G15" s="85" t="str">
        <f aca="false">IF($A15="","",COUNTIFS(Students!$E$5:$E$304,$B15,Students!$F$5:$F$304,$C15,Students!$K$5:$K$304,"Active"))</f>
        <v/>
      </c>
      <c r="H15" s="85" t="str">
        <f aca="false">IF($A15="","",MAX(0,Settings!$B$7-G15))</f>
        <v/>
      </c>
      <c r="I15" s="85" t="str">
        <f aca="false">IF($A15="","",IF(G15&gt;=Settings!$B$7,"Full","Open"))</f>
        <v/>
      </c>
    </row>
    <row r="16" customFormat="false" ht="19.5" hidden="false" customHeight="true" outlineLevel="0" collapsed="false">
      <c r="A16" s="85" t="str">
        <f aca="false">IF(C16="","","C"&amp;TEXT(ROW()-4,"000"))</f>
        <v/>
      </c>
      <c r="B16" s="52"/>
      <c r="C16" s="52"/>
      <c r="D16" s="52"/>
      <c r="E16" s="89" t="str">
        <f aca="false">IF(D16="","",IFERROR(INDEX(Teachers!$B$5:$B$304,MATCH(D16,Teachers!$A$5:$A$304,0)),""))</f>
        <v/>
      </c>
      <c r="F16" s="86"/>
      <c r="G16" s="85" t="str">
        <f aca="false">IF($A16="","",COUNTIFS(Students!$E$5:$E$304,$B16,Students!$F$5:$F$304,$C16,Students!$K$5:$K$304,"Active"))</f>
        <v/>
      </c>
      <c r="H16" s="85" t="str">
        <f aca="false">IF($A16="","",MAX(0,Settings!$B$7-G16))</f>
        <v/>
      </c>
      <c r="I16" s="85" t="str">
        <f aca="false">IF($A16="","",IF(G16&gt;=Settings!$B$7,"Full","Open"))</f>
        <v/>
      </c>
    </row>
    <row r="17" customFormat="false" ht="19.5" hidden="false" customHeight="true" outlineLevel="0" collapsed="false">
      <c r="A17" s="85" t="str">
        <f aca="false">IF(C17="","","C"&amp;TEXT(ROW()-4,"000"))</f>
        <v/>
      </c>
      <c r="B17" s="52"/>
      <c r="C17" s="52"/>
      <c r="D17" s="52"/>
      <c r="E17" s="89" t="str">
        <f aca="false">IF(D17="","",IFERROR(INDEX(Teachers!$B$5:$B$304,MATCH(D17,Teachers!$A$5:$A$304,0)),""))</f>
        <v/>
      </c>
      <c r="F17" s="86"/>
      <c r="G17" s="85" t="str">
        <f aca="false">IF($A17="","",COUNTIFS(Students!$E$5:$E$304,$B17,Students!$F$5:$F$304,$C17,Students!$K$5:$K$304,"Active"))</f>
        <v/>
      </c>
      <c r="H17" s="85" t="str">
        <f aca="false">IF($A17="","",MAX(0,Settings!$B$7-G17))</f>
        <v/>
      </c>
      <c r="I17" s="85" t="str">
        <f aca="false">IF($A17="","",IF(G17&gt;=Settings!$B$7,"Full","Open"))</f>
        <v/>
      </c>
    </row>
    <row r="18" customFormat="false" ht="19.5" hidden="false" customHeight="true" outlineLevel="0" collapsed="false">
      <c r="A18" s="85" t="str">
        <f aca="false">IF(C18="","","C"&amp;TEXT(ROW()-4,"000"))</f>
        <v/>
      </c>
      <c r="B18" s="52"/>
      <c r="C18" s="52"/>
      <c r="D18" s="52"/>
      <c r="E18" s="89" t="str">
        <f aca="false">IF(D18="","",IFERROR(INDEX(Teachers!$B$5:$B$304,MATCH(D18,Teachers!$A$5:$A$304,0)),""))</f>
        <v/>
      </c>
      <c r="F18" s="86"/>
      <c r="G18" s="85" t="str">
        <f aca="false">IF($A18="","",COUNTIFS(Students!$E$5:$E$304,$B18,Students!$F$5:$F$304,$C18,Students!$K$5:$K$304,"Active"))</f>
        <v/>
      </c>
      <c r="H18" s="85" t="str">
        <f aca="false">IF($A18="","",MAX(0,Settings!$B$7-G18))</f>
        <v/>
      </c>
      <c r="I18" s="85" t="str">
        <f aca="false">IF($A18="","",IF(G18&gt;=Settings!$B$7,"Full","Open"))</f>
        <v/>
      </c>
    </row>
    <row r="19" customFormat="false" ht="19.5" hidden="false" customHeight="true" outlineLevel="0" collapsed="false">
      <c r="A19" s="85" t="str">
        <f aca="false">IF(C19="","","C"&amp;TEXT(ROW()-4,"000"))</f>
        <v/>
      </c>
      <c r="B19" s="52"/>
      <c r="C19" s="52"/>
      <c r="D19" s="52"/>
      <c r="E19" s="89" t="str">
        <f aca="false">IF(D19="","",IFERROR(INDEX(Teachers!$B$5:$B$304,MATCH(D19,Teachers!$A$5:$A$304,0)),""))</f>
        <v/>
      </c>
      <c r="F19" s="86"/>
      <c r="G19" s="85" t="str">
        <f aca="false">IF($A19="","",COUNTIFS(Students!$E$5:$E$304,$B19,Students!$F$5:$F$304,$C19,Students!$K$5:$K$304,"Active"))</f>
        <v/>
      </c>
      <c r="H19" s="85" t="str">
        <f aca="false">IF($A19="","",MAX(0,Settings!$B$7-G19))</f>
        <v/>
      </c>
      <c r="I19" s="85" t="str">
        <f aca="false">IF($A19="","",IF(G19&gt;=Settings!$B$7,"Full","Open"))</f>
        <v/>
      </c>
    </row>
    <row r="20" customFormat="false" ht="19.5" hidden="false" customHeight="true" outlineLevel="0" collapsed="false">
      <c r="A20" s="85" t="str">
        <f aca="false">IF(C20="","","C"&amp;TEXT(ROW()-4,"000"))</f>
        <v/>
      </c>
      <c r="B20" s="52"/>
      <c r="C20" s="52"/>
      <c r="D20" s="52"/>
      <c r="E20" s="89" t="str">
        <f aca="false">IF(D20="","",IFERROR(INDEX(Teachers!$B$5:$B$304,MATCH(D20,Teachers!$A$5:$A$304,0)),""))</f>
        <v/>
      </c>
      <c r="F20" s="86"/>
      <c r="G20" s="85" t="str">
        <f aca="false">IF($A20="","",COUNTIFS(Students!$E$5:$E$304,$B20,Students!$F$5:$F$304,$C20,Students!$K$5:$K$304,"Active"))</f>
        <v/>
      </c>
      <c r="H20" s="85" t="str">
        <f aca="false">IF($A20="","",MAX(0,Settings!$B$7-G20))</f>
        <v/>
      </c>
      <c r="I20" s="85" t="str">
        <f aca="false">IF($A20="","",IF(G20&gt;=Settings!$B$7,"Full","Open"))</f>
        <v/>
      </c>
    </row>
    <row r="21" customFormat="false" ht="19.5" hidden="false" customHeight="true" outlineLevel="0" collapsed="false">
      <c r="A21" s="85" t="str">
        <f aca="false">IF(C21="","","C"&amp;TEXT(ROW()-4,"000"))</f>
        <v/>
      </c>
      <c r="B21" s="52"/>
      <c r="C21" s="52"/>
      <c r="D21" s="52"/>
      <c r="E21" s="89" t="str">
        <f aca="false">IF(D21="","",IFERROR(INDEX(Teachers!$B$5:$B$304,MATCH(D21,Teachers!$A$5:$A$304,0)),""))</f>
        <v/>
      </c>
      <c r="F21" s="86"/>
      <c r="G21" s="85" t="str">
        <f aca="false">IF($A21="","",COUNTIFS(Students!$E$5:$E$304,$B21,Students!$F$5:$F$304,$C21,Students!$K$5:$K$304,"Active"))</f>
        <v/>
      </c>
      <c r="H21" s="85" t="str">
        <f aca="false">IF($A21="","",MAX(0,Settings!$B$7-G21))</f>
        <v/>
      </c>
      <c r="I21" s="85" t="str">
        <f aca="false">IF($A21="","",IF(G21&gt;=Settings!$B$7,"Full","Open"))</f>
        <v/>
      </c>
    </row>
    <row r="22" customFormat="false" ht="19.5" hidden="false" customHeight="true" outlineLevel="0" collapsed="false">
      <c r="A22" s="85" t="str">
        <f aca="false">IF(C22="","","C"&amp;TEXT(ROW()-4,"000"))</f>
        <v/>
      </c>
      <c r="B22" s="52"/>
      <c r="C22" s="52"/>
      <c r="D22" s="52"/>
      <c r="E22" s="89" t="str">
        <f aca="false">IF(D22="","",IFERROR(INDEX(Teachers!$B$5:$B$304,MATCH(D22,Teachers!$A$5:$A$304,0)),""))</f>
        <v/>
      </c>
      <c r="F22" s="86"/>
      <c r="G22" s="85" t="str">
        <f aca="false">IF($A22="","",COUNTIFS(Students!$E$5:$E$304,$B22,Students!$F$5:$F$304,$C22,Students!$K$5:$K$304,"Active"))</f>
        <v/>
      </c>
      <c r="H22" s="85" t="str">
        <f aca="false">IF($A22="","",MAX(0,Settings!$B$7-G22))</f>
        <v/>
      </c>
      <c r="I22" s="85" t="str">
        <f aca="false">IF($A22="","",IF(G22&gt;=Settings!$B$7,"Full","Open"))</f>
        <v/>
      </c>
    </row>
    <row r="23" customFormat="false" ht="19.5" hidden="false" customHeight="true" outlineLevel="0" collapsed="false">
      <c r="A23" s="85" t="str">
        <f aca="false">IF(C23="","","C"&amp;TEXT(ROW()-4,"000"))</f>
        <v/>
      </c>
      <c r="B23" s="52"/>
      <c r="C23" s="52"/>
      <c r="D23" s="52"/>
      <c r="E23" s="89" t="str">
        <f aca="false">IF(D23="","",IFERROR(INDEX(Teachers!$B$5:$B$304,MATCH(D23,Teachers!$A$5:$A$304,0)),""))</f>
        <v/>
      </c>
      <c r="F23" s="86"/>
      <c r="G23" s="85" t="str">
        <f aca="false">IF($A23="","",COUNTIFS(Students!$E$5:$E$304,$B23,Students!$F$5:$F$304,$C23,Students!$K$5:$K$304,"Active"))</f>
        <v/>
      </c>
      <c r="H23" s="85" t="str">
        <f aca="false">IF($A23="","",MAX(0,Settings!$B$7-G23))</f>
        <v/>
      </c>
      <c r="I23" s="85" t="str">
        <f aca="false">IF($A23="","",IF(G23&gt;=Settings!$B$7,"Full","Open"))</f>
        <v/>
      </c>
    </row>
    <row r="24" customFormat="false" ht="19.5" hidden="false" customHeight="true" outlineLevel="0" collapsed="false">
      <c r="A24" s="85" t="str">
        <f aca="false">IF(C24="","","C"&amp;TEXT(ROW()-4,"000"))</f>
        <v/>
      </c>
      <c r="B24" s="52"/>
      <c r="C24" s="52"/>
      <c r="D24" s="52"/>
      <c r="E24" s="89" t="str">
        <f aca="false">IF(D24="","",IFERROR(INDEX(Teachers!$B$5:$B$304,MATCH(D24,Teachers!$A$5:$A$304,0)),""))</f>
        <v/>
      </c>
      <c r="F24" s="86"/>
      <c r="G24" s="85" t="str">
        <f aca="false">IF($A24="","",COUNTIFS(Students!$E$5:$E$304,$B24,Students!$F$5:$F$304,$C24,Students!$K$5:$K$304,"Active"))</f>
        <v/>
      </c>
      <c r="H24" s="85" t="str">
        <f aca="false">IF($A24="","",MAX(0,Settings!$B$7-G24))</f>
        <v/>
      </c>
      <c r="I24" s="85" t="str">
        <f aca="false">IF($A24="","",IF(G24&gt;=Settings!$B$7,"Full","Open"))</f>
        <v/>
      </c>
    </row>
    <row r="25" customFormat="false" ht="19.5" hidden="false" customHeight="true" outlineLevel="0" collapsed="false">
      <c r="A25" s="85" t="str">
        <f aca="false">IF(C25="","","C"&amp;TEXT(ROW()-4,"000"))</f>
        <v/>
      </c>
      <c r="B25" s="52"/>
      <c r="C25" s="52"/>
      <c r="D25" s="52"/>
      <c r="E25" s="89" t="str">
        <f aca="false">IF(D25="","",IFERROR(INDEX(Teachers!$B$5:$B$304,MATCH(D25,Teachers!$A$5:$A$304,0)),""))</f>
        <v/>
      </c>
      <c r="F25" s="86"/>
      <c r="G25" s="85" t="str">
        <f aca="false">IF($A25="","",COUNTIFS(Students!$E$5:$E$304,$B25,Students!$F$5:$F$304,$C25,Students!$K$5:$K$304,"Active"))</f>
        <v/>
      </c>
      <c r="H25" s="85" t="str">
        <f aca="false">IF($A25="","",MAX(0,Settings!$B$7-G25))</f>
        <v/>
      </c>
      <c r="I25" s="85" t="str">
        <f aca="false">IF($A25="","",IF(G25&gt;=Settings!$B$7,"Full","Open"))</f>
        <v/>
      </c>
    </row>
    <row r="26" customFormat="false" ht="19.5" hidden="false" customHeight="true" outlineLevel="0" collapsed="false">
      <c r="A26" s="85" t="str">
        <f aca="false">IF(C26="","","C"&amp;TEXT(ROW()-4,"000"))</f>
        <v/>
      </c>
      <c r="B26" s="52"/>
      <c r="C26" s="52"/>
      <c r="D26" s="52"/>
      <c r="E26" s="89" t="str">
        <f aca="false">IF(D26="","",IFERROR(INDEX(Teachers!$B$5:$B$304,MATCH(D26,Teachers!$A$5:$A$304,0)),""))</f>
        <v/>
      </c>
      <c r="F26" s="86"/>
      <c r="G26" s="85" t="str">
        <f aca="false">IF($A26="","",COUNTIFS(Students!$E$5:$E$304,$B26,Students!$F$5:$F$304,$C26,Students!$K$5:$K$304,"Active"))</f>
        <v/>
      </c>
      <c r="H26" s="85" t="str">
        <f aca="false">IF($A26="","",MAX(0,Settings!$B$7-G26))</f>
        <v/>
      </c>
      <c r="I26" s="85" t="str">
        <f aca="false">IF($A26="","",IF(G26&gt;=Settings!$B$7,"Full","Open"))</f>
        <v/>
      </c>
    </row>
    <row r="27" customFormat="false" ht="19.5" hidden="false" customHeight="true" outlineLevel="0" collapsed="false">
      <c r="A27" s="85" t="str">
        <f aca="false">IF(C27="","","C"&amp;TEXT(ROW()-4,"000"))</f>
        <v/>
      </c>
      <c r="B27" s="52"/>
      <c r="C27" s="52"/>
      <c r="D27" s="52"/>
      <c r="E27" s="89" t="str">
        <f aca="false">IF(D27="","",IFERROR(INDEX(Teachers!$B$5:$B$304,MATCH(D27,Teachers!$A$5:$A$304,0)),""))</f>
        <v/>
      </c>
      <c r="F27" s="86"/>
      <c r="G27" s="85" t="str">
        <f aca="false">IF($A27="","",COUNTIFS(Students!$E$5:$E$304,$B27,Students!$F$5:$F$304,$C27,Students!$K$5:$K$304,"Active"))</f>
        <v/>
      </c>
      <c r="H27" s="85" t="str">
        <f aca="false">IF($A27="","",MAX(0,Settings!$B$7-G27))</f>
        <v/>
      </c>
      <c r="I27" s="85" t="str">
        <f aca="false">IF($A27="","",IF(G27&gt;=Settings!$B$7,"Full","Open"))</f>
        <v/>
      </c>
    </row>
    <row r="28" customFormat="false" ht="19.5" hidden="false" customHeight="true" outlineLevel="0" collapsed="false">
      <c r="A28" s="85" t="str">
        <f aca="false">IF(C28="","","C"&amp;TEXT(ROW()-4,"000"))</f>
        <v/>
      </c>
      <c r="B28" s="52"/>
      <c r="C28" s="52"/>
      <c r="D28" s="52"/>
      <c r="E28" s="89" t="str">
        <f aca="false">IF(D28="","",IFERROR(INDEX(Teachers!$B$5:$B$304,MATCH(D28,Teachers!$A$5:$A$304,0)),""))</f>
        <v/>
      </c>
      <c r="F28" s="86"/>
      <c r="G28" s="85" t="str">
        <f aca="false">IF($A28="","",COUNTIFS(Students!$E$5:$E$304,$B28,Students!$F$5:$F$304,$C28,Students!$K$5:$K$304,"Active"))</f>
        <v/>
      </c>
      <c r="H28" s="85" t="str">
        <f aca="false">IF($A28="","",MAX(0,Settings!$B$7-G28))</f>
        <v/>
      </c>
      <c r="I28" s="85" t="str">
        <f aca="false">IF($A28="","",IF(G28&gt;=Settings!$B$7,"Full","Open"))</f>
        <v/>
      </c>
    </row>
    <row r="29" customFormat="false" ht="19.5" hidden="false" customHeight="true" outlineLevel="0" collapsed="false">
      <c r="A29" s="85" t="str">
        <f aca="false">IF(C29="","","C"&amp;TEXT(ROW()-4,"000"))</f>
        <v/>
      </c>
      <c r="B29" s="52"/>
      <c r="C29" s="52"/>
      <c r="D29" s="52"/>
      <c r="E29" s="89" t="str">
        <f aca="false">IF(D29="","",IFERROR(INDEX(Teachers!$B$5:$B$304,MATCH(D29,Teachers!$A$5:$A$304,0)),""))</f>
        <v/>
      </c>
      <c r="F29" s="86"/>
      <c r="G29" s="85" t="str">
        <f aca="false">IF($A29="","",COUNTIFS(Students!$E$5:$E$304,$B29,Students!$F$5:$F$304,$C29,Students!$K$5:$K$304,"Active"))</f>
        <v/>
      </c>
      <c r="H29" s="85" t="str">
        <f aca="false">IF($A29="","",MAX(0,Settings!$B$7-G29))</f>
        <v/>
      </c>
      <c r="I29" s="85" t="str">
        <f aca="false">IF($A29="","",IF(G29&gt;=Settings!$B$7,"Full","Open"))</f>
        <v/>
      </c>
    </row>
    <row r="30" customFormat="false" ht="19.5" hidden="false" customHeight="true" outlineLevel="0" collapsed="false">
      <c r="A30" s="85" t="str">
        <f aca="false">IF(C30="","","C"&amp;TEXT(ROW()-4,"000"))</f>
        <v/>
      </c>
      <c r="B30" s="52"/>
      <c r="C30" s="52"/>
      <c r="D30" s="52"/>
      <c r="E30" s="89" t="str">
        <f aca="false">IF(D30="","",IFERROR(INDEX(Teachers!$B$5:$B$304,MATCH(D30,Teachers!$A$5:$A$304,0)),""))</f>
        <v/>
      </c>
      <c r="F30" s="86"/>
      <c r="G30" s="85" t="str">
        <f aca="false">IF($A30="","",COUNTIFS(Students!$E$5:$E$304,$B30,Students!$F$5:$F$304,$C30,Students!$K$5:$K$304,"Active"))</f>
        <v/>
      </c>
      <c r="H30" s="85" t="str">
        <f aca="false">IF($A30="","",MAX(0,Settings!$B$7-G30))</f>
        <v/>
      </c>
      <c r="I30" s="85" t="str">
        <f aca="false">IF($A30="","",IF(G30&gt;=Settings!$B$7,"Full","Open"))</f>
        <v/>
      </c>
    </row>
    <row r="31" customFormat="false" ht="19.5" hidden="false" customHeight="true" outlineLevel="0" collapsed="false">
      <c r="A31" s="85" t="str">
        <f aca="false">IF(C31="","","C"&amp;TEXT(ROW()-4,"000"))</f>
        <v/>
      </c>
      <c r="B31" s="52"/>
      <c r="C31" s="52"/>
      <c r="D31" s="52"/>
      <c r="E31" s="89" t="str">
        <f aca="false">IF(D31="","",IFERROR(INDEX(Teachers!$B$5:$B$304,MATCH(D31,Teachers!$A$5:$A$304,0)),""))</f>
        <v/>
      </c>
      <c r="F31" s="86"/>
      <c r="G31" s="85" t="str">
        <f aca="false">IF($A31="","",COUNTIFS(Students!$E$5:$E$304,$B31,Students!$F$5:$F$304,$C31,Students!$K$5:$K$304,"Active"))</f>
        <v/>
      </c>
      <c r="H31" s="85" t="str">
        <f aca="false">IF($A31="","",MAX(0,Settings!$B$7-G31))</f>
        <v/>
      </c>
      <c r="I31" s="85" t="str">
        <f aca="false">IF($A31="","",IF(G31&gt;=Settings!$B$7,"Full","Open"))</f>
        <v/>
      </c>
    </row>
    <row r="32" customFormat="false" ht="19.5" hidden="false" customHeight="true" outlineLevel="0" collapsed="false">
      <c r="A32" s="85" t="str">
        <f aca="false">IF(C32="","","C"&amp;TEXT(ROW()-4,"000"))</f>
        <v/>
      </c>
      <c r="B32" s="52"/>
      <c r="C32" s="52"/>
      <c r="D32" s="52"/>
      <c r="E32" s="89" t="str">
        <f aca="false">IF(D32="","",IFERROR(INDEX(Teachers!$B$5:$B$304,MATCH(D32,Teachers!$A$5:$A$304,0)),""))</f>
        <v/>
      </c>
      <c r="F32" s="86"/>
      <c r="G32" s="85" t="str">
        <f aca="false">IF($A32="","",COUNTIFS(Students!$E$5:$E$304,$B32,Students!$F$5:$F$304,$C32,Students!$K$5:$K$304,"Active"))</f>
        <v/>
      </c>
      <c r="H32" s="85" t="str">
        <f aca="false">IF($A32="","",MAX(0,Settings!$B$7-G32))</f>
        <v/>
      </c>
      <c r="I32" s="85" t="str">
        <f aca="false">IF($A32="","",IF(G32&gt;=Settings!$B$7,"Full","Open"))</f>
        <v/>
      </c>
    </row>
    <row r="33" customFormat="false" ht="19.5" hidden="false" customHeight="true" outlineLevel="0" collapsed="false">
      <c r="A33" s="85" t="str">
        <f aca="false">IF(C33="","","C"&amp;TEXT(ROW()-4,"000"))</f>
        <v/>
      </c>
      <c r="B33" s="52"/>
      <c r="C33" s="52"/>
      <c r="D33" s="52"/>
      <c r="E33" s="89" t="str">
        <f aca="false">IF(D33="","",IFERROR(INDEX(Teachers!$B$5:$B$304,MATCH(D33,Teachers!$A$5:$A$304,0)),""))</f>
        <v/>
      </c>
      <c r="F33" s="86"/>
      <c r="G33" s="85" t="str">
        <f aca="false">IF($A33="","",COUNTIFS(Students!$E$5:$E$304,$B33,Students!$F$5:$F$304,$C33,Students!$K$5:$K$304,"Active"))</f>
        <v/>
      </c>
      <c r="H33" s="85" t="str">
        <f aca="false">IF($A33="","",MAX(0,Settings!$B$7-G33))</f>
        <v/>
      </c>
      <c r="I33" s="85" t="str">
        <f aca="false">IF($A33="","",IF(G33&gt;=Settings!$B$7,"Full","Open"))</f>
        <v/>
      </c>
    </row>
    <row r="34" customFormat="false" ht="19.5" hidden="false" customHeight="true" outlineLevel="0" collapsed="false">
      <c r="A34" s="85" t="str">
        <f aca="false">IF(C34="","","C"&amp;TEXT(ROW()-4,"000"))</f>
        <v/>
      </c>
      <c r="B34" s="52"/>
      <c r="C34" s="52"/>
      <c r="D34" s="52"/>
      <c r="E34" s="89" t="str">
        <f aca="false">IF(D34="","",IFERROR(INDEX(Teachers!$B$5:$B$304,MATCH(D34,Teachers!$A$5:$A$304,0)),""))</f>
        <v/>
      </c>
      <c r="F34" s="86"/>
      <c r="G34" s="85" t="str">
        <f aca="false">IF($A34="","",COUNTIFS(Students!$E$5:$E$304,$B34,Students!$F$5:$F$304,$C34,Students!$K$5:$K$304,"Active"))</f>
        <v/>
      </c>
      <c r="H34" s="85" t="str">
        <f aca="false">IF($A34="","",MAX(0,Settings!$B$7-G34))</f>
        <v/>
      </c>
      <c r="I34" s="85" t="str">
        <f aca="false">IF($A34="","",IF(G34&gt;=Settings!$B$7,"Full","Open"))</f>
        <v/>
      </c>
    </row>
    <row r="35" customFormat="false" ht="19.5" hidden="false" customHeight="true" outlineLevel="0" collapsed="false">
      <c r="A35" s="85" t="str">
        <f aca="false">IF(C35="","","C"&amp;TEXT(ROW()-4,"000"))</f>
        <v/>
      </c>
      <c r="B35" s="52"/>
      <c r="C35" s="52"/>
      <c r="D35" s="52"/>
      <c r="E35" s="89" t="str">
        <f aca="false">IF(D35="","",IFERROR(INDEX(Teachers!$B$5:$B$304,MATCH(D35,Teachers!$A$5:$A$304,0)),""))</f>
        <v/>
      </c>
      <c r="F35" s="86"/>
      <c r="G35" s="85" t="str">
        <f aca="false">IF($A35="","",COUNTIFS(Students!$E$5:$E$304,$B35,Students!$F$5:$F$304,$C35,Students!$K$5:$K$304,"Active"))</f>
        <v/>
      </c>
      <c r="H35" s="85" t="str">
        <f aca="false">IF($A35="","",MAX(0,Settings!$B$7-G35))</f>
        <v/>
      </c>
      <c r="I35" s="85" t="str">
        <f aca="false">IF($A35="","",IF(G35&gt;=Settings!$B$7,"Full","Open"))</f>
        <v/>
      </c>
    </row>
    <row r="36" customFormat="false" ht="19.5" hidden="false" customHeight="true" outlineLevel="0" collapsed="false">
      <c r="A36" s="85" t="str">
        <f aca="false">IF(C36="","","C"&amp;TEXT(ROW()-4,"000"))</f>
        <v/>
      </c>
      <c r="B36" s="52"/>
      <c r="C36" s="52"/>
      <c r="D36" s="52"/>
      <c r="E36" s="89" t="str">
        <f aca="false">IF(D36="","",IFERROR(INDEX(Teachers!$B$5:$B$304,MATCH(D36,Teachers!$A$5:$A$304,0)),""))</f>
        <v/>
      </c>
      <c r="F36" s="86"/>
      <c r="G36" s="85" t="str">
        <f aca="false">IF($A36="","",COUNTIFS(Students!$E$5:$E$304,$B36,Students!$F$5:$F$304,$C36,Students!$K$5:$K$304,"Active"))</f>
        <v/>
      </c>
      <c r="H36" s="85" t="str">
        <f aca="false">IF($A36="","",MAX(0,Settings!$B$7-G36))</f>
        <v/>
      </c>
      <c r="I36" s="85" t="str">
        <f aca="false">IF($A36="","",IF(G36&gt;=Settings!$B$7,"Full","Open"))</f>
        <v/>
      </c>
    </row>
    <row r="37" customFormat="false" ht="19.5" hidden="false" customHeight="true" outlineLevel="0" collapsed="false">
      <c r="A37" s="85" t="str">
        <f aca="false">IF(C37="","","C"&amp;TEXT(ROW()-4,"000"))</f>
        <v/>
      </c>
      <c r="B37" s="52"/>
      <c r="C37" s="52"/>
      <c r="D37" s="52"/>
      <c r="E37" s="89" t="str">
        <f aca="false">IF(D37="","",IFERROR(INDEX(Teachers!$B$5:$B$304,MATCH(D37,Teachers!$A$5:$A$304,0)),""))</f>
        <v/>
      </c>
      <c r="F37" s="86"/>
      <c r="G37" s="85" t="str">
        <f aca="false">IF($A37="","",COUNTIFS(Students!$E$5:$E$304,$B37,Students!$F$5:$F$304,$C37,Students!$K$5:$K$304,"Active"))</f>
        <v/>
      </c>
      <c r="H37" s="85" t="str">
        <f aca="false">IF($A37="","",MAX(0,Settings!$B$7-G37))</f>
        <v/>
      </c>
      <c r="I37" s="85" t="str">
        <f aca="false">IF($A37="","",IF(G37&gt;=Settings!$B$7,"Full","Open"))</f>
        <v/>
      </c>
    </row>
    <row r="38" customFormat="false" ht="19.5" hidden="false" customHeight="true" outlineLevel="0" collapsed="false">
      <c r="A38" s="85" t="str">
        <f aca="false">IF(C38="","","C"&amp;TEXT(ROW()-4,"000"))</f>
        <v/>
      </c>
      <c r="B38" s="52"/>
      <c r="C38" s="52"/>
      <c r="D38" s="52"/>
      <c r="E38" s="89" t="str">
        <f aca="false">IF(D38="","",IFERROR(INDEX(Teachers!$B$5:$B$304,MATCH(D38,Teachers!$A$5:$A$304,0)),""))</f>
        <v/>
      </c>
      <c r="F38" s="86"/>
      <c r="G38" s="85" t="str">
        <f aca="false">IF($A38="","",COUNTIFS(Students!$E$5:$E$304,$B38,Students!$F$5:$F$304,$C38,Students!$K$5:$K$304,"Active"))</f>
        <v/>
      </c>
      <c r="H38" s="85" t="str">
        <f aca="false">IF($A38="","",MAX(0,Settings!$B$7-G38))</f>
        <v/>
      </c>
      <c r="I38" s="85" t="str">
        <f aca="false">IF($A38="","",IF(G38&gt;=Settings!$B$7,"Full","Open"))</f>
        <v/>
      </c>
    </row>
    <row r="39" customFormat="false" ht="19.5" hidden="false" customHeight="true" outlineLevel="0" collapsed="false">
      <c r="A39" s="85" t="str">
        <f aca="false">IF(C39="","","C"&amp;TEXT(ROW()-4,"000"))</f>
        <v/>
      </c>
      <c r="B39" s="52"/>
      <c r="C39" s="52"/>
      <c r="D39" s="52"/>
      <c r="E39" s="89" t="str">
        <f aca="false">IF(D39="","",IFERROR(INDEX(Teachers!$B$5:$B$304,MATCH(D39,Teachers!$A$5:$A$304,0)),""))</f>
        <v/>
      </c>
      <c r="F39" s="86"/>
      <c r="G39" s="85" t="str">
        <f aca="false">IF($A39="","",COUNTIFS(Students!$E$5:$E$304,$B39,Students!$F$5:$F$304,$C39,Students!$K$5:$K$304,"Active"))</f>
        <v/>
      </c>
      <c r="H39" s="85" t="str">
        <f aca="false">IF($A39="","",MAX(0,Settings!$B$7-G39))</f>
        <v/>
      </c>
      <c r="I39" s="85" t="str">
        <f aca="false">IF($A39="","",IF(G39&gt;=Settings!$B$7,"Full","Open"))</f>
        <v/>
      </c>
    </row>
    <row r="40" customFormat="false" ht="19.5" hidden="false" customHeight="true" outlineLevel="0" collapsed="false">
      <c r="A40" s="85" t="str">
        <f aca="false">IF(C40="","","C"&amp;TEXT(ROW()-4,"000"))</f>
        <v/>
      </c>
      <c r="B40" s="52"/>
      <c r="C40" s="52"/>
      <c r="D40" s="52"/>
      <c r="E40" s="89" t="str">
        <f aca="false">IF(D40="","",IFERROR(INDEX(Teachers!$B$5:$B$304,MATCH(D40,Teachers!$A$5:$A$304,0)),""))</f>
        <v/>
      </c>
      <c r="F40" s="86"/>
      <c r="G40" s="85" t="str">
        <f aca="false">IF($A40="","",COUNTIFS(Students!$E$5:$E$304,$B40,Students!$F$5:$F$304,$C40,Students!$K$5:$K$304,"Active"))</f>
        <v/>
      </c>
      <c r="H40" s="85" t="str">
        <f aca="false">IF($A40="","",MAX(0,Settings!$B$7-G40))</f>
        <v/>
      </c>
      <c r="I40" s="85" t="str">
        <f aca="false">IF($A40="","",IF(G40&gt;=Settings!$B$7,"Full","Open"))</f>
        <v/>
      </c>
    </row>
    <row r="41" customFormat="false" ht="19.5" hidden="false" customHeight="true" outlineLevel="0" collapsed="false">
      <c r="A41" s="85" t="str">
        <f aca="false">IF(C41="","","C"&amp;TEXT(ROW()-4,"000"))</f>
        <v/>
      </c>
      <c r="B41" s="52"/>
      <c r="C41" s="52"/>
      <c r="D41" s="52"/>
      <c r="E41" s="89" t="str">
        <f aca="false">IF(D41="","",IFERROR(INDEX(Teachers!$B$5:$B$304,MATCH(D41,Teachers!$A$5:$A$304,0)),""))</f>
        <v/>
      </c>
      <c r="F41" s="86"/>
      <c r="G41" s="85" t="str">
        <f aca="false">IF($A41="","",COUNTIFS(Students!$E$5:$E$304,$B41,Students!$F$5:$F$304,$C41,Students!$K$5:$K$304,"Active"))</f>
        <v/>
      </c>
      <c r="H41" s="85" t="str">
        <f aca="false">IF($A41="","",MAX(0,Settings!$B$7-G41))</f>
        <v/>
      </c>
      <c r="I41" s="85" t="str">
        <f aca="false">IF($A41="","",IF(G41&gt;=Settings!$B$7,"Full","Open"))</f>
        <v/>
      </c>
    </row>
    <row r="42" customFormat="false" ht="19.5" hidden="false" customHeight="true" outlineLevel="0" collapsed="false">
      <c r="A42" s="85" t="str">
        <f aca="false">IF(C42="","","C"&amp;TEXT(ROW()-4,"000"))</f>
        <v/>
      </c>
      <c r="B42" s="52"/>
      <c r="C42" s="52"/>
      <c r="D42" s="52"/>
      <c r="E42" s="89" t="str">
        <f aca="false">IF(D42="","",IFERROR(INDEX(Teachers!$B$5:$B$304,MATCH(D42,Teachers!$A$5:$A$304,0)),""))</f>
        <v/>
      </c>
      <c r="F42" s="86"/>
      <c r="G42" s="85" t="str">
        <f aca="false">IF($A42="","",COUNTIFS(Students!$E$5:$E$304,$B42,Students!$F$5:$F$304,$C42,Students!$K$5:$K$304,"Active"))</f>
        <v/>
      </c>
      <c r="H42" s="85" t="str">
        <f aca="false">IF($A42="","",MAX(0,Settings!$B$7-G42))</f>
        <v/>
      </c>
      <c r="I42" s="85" t="str">
        <f aca="false">IF($A42="","",IF(G42&gt;=Settings!$B$7,"Full","Open"))</f>
        <v/>
      </c>
    </row>
    <row r="43" customFormat="false" ht="19.5" hidden="false" customHeight="true" outlineLevel="0" collapsed="false">
      <c r="A43" s="85" t="str">
        <f aca="false">IF(C43="","","C"&amp;TEXT(ROW()-4,"000"))</f>
        <v/>
      </c>
      <c r="B43" s="52"/>
      <c r="C43" s="52"/>
      <c r="D43" s="52"/>
      <c r="E43" s="89" t="str">
        <f aca="false">IF(D43="","",IFERROR(INDEX(Teachers!$B$5:$B$304,MATCH(D43,Teachers!$A$5:$A$304,0)),""))</f>
        <v/>
      </c>
      <c r="F43" s="86"/>
      <c r="G43" s="85" t="str">
        <f aca="false">IF($A43="","",COUNTIFS(Students!$E$5:$E$304,$B43,Students!$F$5:$F$304,$C43,Students!$K$5:$K$304,"Active"))</f>
        <v/>
      </c>
      <c r="H43" s="85" t="str">
        <f aca="false">IF($A43="","",MAX(0,Settings!$B$7-G43))</f>
        <v/>
      </c>
      <c r="I43" s="85" t="str">
        <f aca="false">IF($A43="","",IF(G43&gt;=Settings!$B$7,"Full","Open"))</f>
        <v/>
      </c>
    </row>
    <row r="44" customFormat="false" ht="19.5" hidden="false" customHeight="true" outlineLevel="0" collapsed="false">
      <c r="A44" s="85" t="str">
        <f aca="false">IF(C44="","","C"&amp;TEXT(ROW()-4,"000"))</f>
        <v/>
      </c>
      <c r="B44" s="52"/>
      <c r="C44" s="52"/>
      <c r="D44" s="52"/>
      <c r="E44" s="89" t="str">
        <f aca="false">IF(D44="","",IFERROR(INDEX(Teachers!$B$5:$B$304,MATCH(D44,Teachers!$A$5:$A$304,0)),""))</f>
        <v/>
      </c>
      <c r="F44" s="86"/>
      <c r="G44" s="85" t="str">
        <f aca="false">IF($A44="","",COUNTIFS(Students!$E$5:$E$304,$B44,Students!$F$5:$F$304,$C44,Students!$K$5:$K$304,"Active"))</f>
        <v/>
      </c>
      <c r="H44" s="85" t="str">
        <f aca="false">IF($A44="","",MAX(0,Settings!$B$7-G44))</f>
        <v/>
      </c>
      <c r="I44" s="85" t="str">
        <f aca="false">IF($A44="","",IF(G44&gt;=Settings!$B$7,"Full","Open"))</f>
        <v/>
      </c>
    </row>
    <row r="45" customFormat="false" ht="19.5" hidden="false" customHeight="true" outlineLevel="0" collapsed="false">
      <c r="A45" s="85" t="str">
        <f aca="false">IF(C45="","","C"&amp;TEXT(ROW()-4,"000"))</f>
        <v/>
      </c>
      <c r="B45" s="52"/>
      <c r="C45" s="52"/>
      <c r="D45" s="52"/>
      <c r="E45" s="89" t="str">
        <f aca="false">IF(D45="","",IFERROR(INDEX(Teachers!$B$5:$B$304,MATCH(D45,Teachers!$A$5:$A$304,0)),""))</f>
        <v/>
      </c>
      <c r="F45" s="86"/>
      <c r="G45" s="85" t="str">
        <f aca="false">IF($A45="","",COUNTIFS(Students!$E$5:$E$304,$B45,Students!$F$5:$F$304,$C45,Students!$K$5:$K$304,"Active"))</f>
        <v/>
      </c>
      <c r="H45" s="85" t="str">
        <f aca="false">IF($A45="","",MAX(0,Settings!$B$7-G45))</f>
        <v/>
      </c>
      <c r="I45" s="85" t="str">
        <f aca="false">IF($A45="","",IF(G45&gt;=Settings!$B$7,"Full","Open"))</f>
        <v/>
      </c>
    </row>
    <row r="46" customFormat="false" ht="19.5" hidden="false" customHeight="true" outlineLevel="0" collapsed="false">
      <c r="A46" s="85" t="str">
        <f aca="false">IF(C46="","","C"&amp;TEXT(ROW()-4,"000"))</f>
        <v/>
      </c>
      <c r="B46" s="52"/>
      <c r="C46" s="52"/>
      <c r="D46" s="52"/>
      <c r="E46" s="89" t="str">
        <f aca="false">IF(D46="","",IFERROR(INDEX(Teachers!$B$5:$B$304,MATCH(D46,Teachers!$A$5:$A$304,0)),""))</f>
        <v/>
      </c>
      <c r="F46" s="86"/>
      <c r="G46" s="85" t="str">
        <f aca="false">IF($A46="","",COUNTIFS(Students!$E$5:$E$304,$B46,Students!$F$5:$F$304,$C46,Students!$K$5:$K$304,"Active"))</f>
        <v/>
      </c>
      <c r="H46" s="85" t="str">
        <f aca="false">IF($A46="","",MAX(0,Settings!$B$7-G46))</f>
        <v/>
      </c>
      <c r="I46" s="85" t="str">
        <f aca="false">IF($A46="","",IF(G46&gt;=Settings!$B$7,"Full","Open"))</f>
        <v/>
      </c>
    </row>
    <row r="47" customFormat="false" ht="19.5" hidden="false" customHeight="true" outlineLevel="0" collapsed="false">
      <c r="A47" s="85" t="str">
        <f aca="false">IF(C47="","","C"&amp;TEXT(ROW()-4,"000"))</f>
        <v/>
      </c>
      <c r="B47" s="52"/>
      <c r="C47" s="52"/>
      <c r="D47" s="52"/>
      <c r="E47" s="89" t="str">
        <f aca="false">IF(D47="","",IFERROR(INDEX(Teachers!$B$5:$B$304,MATCH(D47,Teachers!$A$5:$A$304,0)),""))</f>
        <v/>
      </c>
      <c r="F47" s="86"/>
      <c r="G47" s="85" t="str">
        <f aca="false">IF($A47="","",COUNTIFS(Students!$E$5:$E$304,$B47,Students!$F$5:$F$304,$C47,Students!$K$5:$K$304,"Active"))</f>
        <v/>
      </c>
      <c r="H47" s="85" t="str">
        <f aca="false">IF($A47="","",MAX(0,Settings!$B$7-G47))</f>
        <v/>
      </c>
      <c r="I47" s="85" t="str">
        <f aca="false">IF($A47="","",IF(G47&gt;=Settings!$B$7,"Full","Open"))</f>
        <v/>
      </c>
    </row>
    <row r="48" customFormat="false" ht="19.5" hidden="false" customHeight="true" outlineLevel="0" collapsed="false">
      <c r="A48" s="85" t="str">
        <f aca="false">IF(C48="","","C"&amp;TEXT(ROW()-4,"000"))</f>
        <v/>
      </c>
      <c r="B48" s="52"/>
      <c r="C48" s="52"/>
      <c r="D48" s="52"/>
      <c r="E48" s="89" t="str">
        <f aca="false">IF(D48="","",IFERROR(INDEX(Teachers!$B$5:$B$304,MATCH(D48,Teachers!$A$5:$A$304,0)),""))</f>
        <v/>
      </c>
      <c r="F48" s="86"/>
      <c r="G48" s="85" t="str">
        <f aca="false">IF($A48="","",COUNTIFS(Students!$E$5:$E$304,$B48,Students!$F$5:$F$304,$C48,Students!$K$5:$K$304,"Active"))</f>
        <v/>
      </c>
      <c r="H48" s="85" t="str">
        <f aca="false">IF($A48="","",MAX(0,Settings!$B$7-G48))</f>
        <v/>
      </c>
      <c r="I48" s="85" t="str">
        <f aca="false">IF($A48="","",IF(G48&gt;=Settings!$B$7,"Full","Open"))</f>
        <v/>
      </c>
    </row>
    <row r="49" customFormat="false" ht="19.5" hidden="false" customHeight="true" outlineLevel="0" collapsed="false">
      <c r="A49" s="85" t="str">
        <f aca="false">IF(C49="","","C"&amp;TEXT(ROW()-4,"000"))</f>
        <v/>
      </c>
      <c r="B49" s="52"/>
      <c r="C49" s="52"/>
      <c r="D49" s="52"/>
      <c r="E49" s="89" t="str">
        <f aca="false">IF(D49="","",IFERROR(INDEX(Teachers!$B$5:$B$304,MATCH(D49,Teachers!$A$5:$A$304,0)),""))</f>
        <v/>
      </c>
      <c r="F49" s="86"/>
      <c r="G49" s="85" t="str">
        <f aca="false">IF($A49="","",COUNTIFS(Students!$E$5:$E$304,$B49,Students!$F$5:$F$304,$C49,Students!$K$5:$K$304,"Active"))</f>
        <v/>
      </c>
      <c r="H49" s="85" t="str">
        <f aca="false">IF($A49="","",MAX(0,Settings!$B$7-G49))</f>
        <v/>
      </c>
      <c r="I49" s="85" t="str">
        <f aca="false">IF($A49="","",IF(G49&gt;=Settings!$B$7,"Full","Open"))</f>
        <v/>
      </c>
    </row>
    <row r="50" customFormat="false" ht="19.5" hidden="false" customHeight="true" outlineLevel="0" collapsed="false">
      <c r="A50" s="85" t="str">
        <f aca="false">IF(C50="","","C"&amp;TEXT(ROW()-4,"000"))</f>
        <v/>
      </c>
      <c r="B50" s="52"/>
      <c r="C50" s="52"/>
      <c r="D50" s="52"/>
      <c r="E50" s="89" t="str">
        <f aca="false">IF(D50="","",IFERROR(INDEX(Teachers!$B$5:$B$304,MATCH(D50,Teachers!$A$5:$A$304,0)),""))</f>
        <v/>
      </c>
      <c r="F50" s="86"/>
      <c r="G50" s="85" t="str">
        <f aca="false">IF($A50="","",COUNTIFS(Students!$E$5:$E$304,$B50,Students!$F$5:$F$304,$C50,Students!$K$5:$K$304,"Active"))</f>
        <v/>
      </c>
      <c r="H50" s="85" t="str">
        <f aca="false">IF($A50="","",MAX(0,Settings!$B$7-G50))</f>
        <v/>
      </c>
      <c r="I50" s="85" t="str">
        <f aca="false">IF($A50="","",IF(G50&gt;=Settings!$B$7,"Full","Open"))</f>
        <v/>
      </c>
    </row>
    <row r="51" customFormat="false" ht="19.5" hidden="false" customHeight="true" outlineLevel="0" collapsed="false">
      <c r="A51" s="85" t="str">
        <f aca="false">IF(C51="","","C"&amp;TEXT(ROW()-4,"000"))</f>
        <v/>
      </c>
      <c r="B51" s="52"/>
      <c r="C51" s="52"/>
      <c r="D51" s="52"/>
      <c r="E51" s="89" t="str">
        <f aca="false">IF(D51="","",IFERROR(INDEX(Teachers!$B$5:$B$304,MATCH(D51,Teachers!$A$5:$A$304,0)),""))</f>
        <v/>
      </c>
      <c r="F51" s="86"/>
      <c r="G51" s="85" t="str">
        <f aca="false">IF($A51="","",COUNTIFS(Students!$E$5:$E$304,$B51,Students!$F$5:$F$304,$C51,Students!$K$5:$K$304,"Active"))</f>
        <v/>
      </c>
      <c r="H51" s="85" t="str">
        <f aca="false">IF($A51="","",MAX(0,Settings!$B$7-G51))</f>
        <v/>
      </c>
      <c r="I51" s="85" t="str">
        <f aca="false">IF($A51="","",IF(G51&gt;=Settings!$B$7,"Full","Open"))</f>
        <v/>
      </c>
    </row>
    <row r="52" customFormat="false" ht="19.5" hidden="false" customHeight="true" outlineLevel="0" collapsed="false">
      <c r="A52" s="85" t="str">
        <f aca="false">IF(C52="","","C"&amp;TEXT(ROW()-4,"000"))</f>
        <v/>
      </c>
      <c r="B52" s="52"/>
      <c r="C52" s="52"/>
      <c r="D52" s="52"/>
      <c r="E52" s="89" t="str">
        <f aca="false">IF(D52="","",IFERROR(INDEX(Teachers!$B$5:$B$304,MATCH(D52,Teachers!$A$5:$A$304,0)),""))</f>
        <v/>
      </c>
      <c r="F52" s="86"/>
      <c r="G52" s="85" t="str">
        <f aca="false">IF($A52="","",COUNTIFS(Students!$E$5:$E$304,$B52,Students!$F$5:$F$304,$C52,Students!$K$5:$K$304,"Active"))</f>
        <v/>
      </c>
      <c r="H52" s="85" t="str">
        <f aca="false">IF($A52="","",MAX(0,Settings!$B$7-G52))</f>
        <v/>
      </c>
      <c r="I52" s="85" t="str">
        <f aca="false">IF($A52="","",IF(G52&gt;=Settings!$B$7,"Full","Open"))</f>
        <v/>
      </c>
    </row>
    <row r="53" customFormat="false" ht="19.5" hidden="false" customHeight="true" outlineLevel="0" collapsed="false">
      <c r="A53" s="85" t="str">
        <f aca="false">IF(C53="","","C"&amp;TEXT(ROW()-4,"000"))</f>
        <v/>
      </c>
      <c r="B53" s="52"/>
      <c r="C53" s="52"/>
      <c r="D53" s="52"/>
      <c r="E53" s="89" t="str">
        <f aca="false">IF(D53="","",IFERROR(INDEX(Teachers!$B$5:$B$304,MATCH(D53,Teachers!$A$5:$A$304,0)),""))</f>
        <v/>
      </c>
      <c r="F53" s="86"/>
      <c r="G53" s="85" t="str">
        <f aca="false">IF($A53="","",COUNTIFS(Students!$E$5:$E$304,$B53,Students!$F$5:$F$304,$C53,Students!$K$5:$K$304,"Active"))</f>
        <v/>
      </c>
      <c r="H53" s="85" t="str">
        <f aca="false">IF($A53="","",MAX(0,Settings!$B$7-G53))</f>
        <v/>
      </c>
      <c r="I53" s="85" t="str">
        <f aca="false">IF($A53="","",IF(G53&gt;=Settings!$B$7,"Full","Open"))</f>
        <v/>
      </c>
    </row>
    <row r="54" customFormat="false" ht="19.5" hidden="false" customHeight="true" outlineLevel="0" collapsed="false">
      <c r="A54" s="85" t="str">
        <f aca="false">IF(C54="","","C"&amp;TEXT(ROW()-4,"000"))</f>
        <v/>
      </c>
      <c r="B54" s="52"/>
      <c r="C54" s="52"/>
      <c r="D54" s="52"/>
      <c r="E54" s="89" t="str">
        <f aca="false">IF(D54="","",IFERROR(INDEX(Teachers!$B$5:$B$304,MATCH(D54,Teachers!$A$5:$A$304,0)),""))</f>
        <v/>
      </c>
      <c r="F54" s="86"/>
      <c r="G54" s="85" t="str">
        <f aca="false">IF($A54="","",COUNTIFS(Students!$E$5:$E$304,$B54,Students!$F$5:$F$304,$C54,Students!$K$5:$K$304,"Active"))</f>
        <v/>
      </c>
      <c r="H54" s="85" t="str">
        <f aca="false">IF($A54="","",MAX(0,Settings!$B$7-G54))</f>
        <v/>
      </c>
      <c r="I54" s="85" t="str">
        <f aca="false">IF($A54="","",IF(G54&gt;=Settings!$B$7,"Full","Open"))</f>
        <v/>
      </c>
    </row>
    <row r="55" customFormat="false" ht="19.5" hidden="false" customHeight="true" outlineLevel="0" collapsed="false">
      <c r="A55" s="85" t="str">
        <f aca="false">IF(C55="","","C"&amp;TEXT(ROW()-4,"000"))</f>
        <v/>
      </c>
      <c r="B55" s="52"/>
      <c r="C55" s="52"/>
      <c r="D55" s="52"/>
      <c r="E55" s="89" t="str">
        <f aca="false">IF(D55="","",IFERROR(INDEX(Teachers!$B$5:$B$304,MATCH(D55,Teachers!$A$5:$A$304,0)),""))</f>
        <v/>
      </c>
      <c r="F55" s="86"/>
      <c r="G55" s="85" t="str">
        <f aca="false">IF($A55="","",COUNTIFS(Students!$E$5:$E$304,$B55,Students!$F$5:$F$304,$C55,Students!$K$5:$K$304,"Active"))</f>
        <v/>
      </c>
      <c r="H55" s="85" t="str">
        <f aca="false">IF($A55="","",MAX(0,Settings!$B$7-G55))</f>
        <v/>
      </c>
      <c r="I55" s="85" t="str">
        <f aca="false">IF($A55="","",IF(G55&gt;=Settings!$B$7,"Full","Open"))</f>
        <v/>
      </c>
    </row>
    <row r="56" customFormat="false" ht="19.5" hidden="false" customHeight="true" outlineLevel="0" collapsed="false">
      <c r="A56" s="85" t="str">
        <f aca="false">IF(C56="","","C"&amp;TEXT(ROW()-4,"000"))</f>
        <v/>
      </c>
      <c r="B56" s="52"/>
      <c r="C56" s="52"/>
      <c r="D56" s="52"/>
      <c r="E56" s="89" t="str">
        <f aca="false">IF(D56="","",IFERROR(INDEX(Teachers!$B$5:$B$304,MATCH(D56,Teachers!$A$5:$A$304,0)),""))</f>
        <v/>
      </c>
      <c r="F56" s="86"/>
      <c r="G56" s="85" t="str">
        <f aca="false">IF($A56="","",COUNTIFS(Students!$E$5:$E$304,$B56,Students!$F$5:$F$304,$C56,Students!$K$5:$K$304,"Active"))</f>
        <v/>
      </c>
      <c r="H56" s="85" t="str">
        <f aca="false">IF($A56="","",MAX(0,Settings!$B$7-G56))</f>
        <v/>
      </c>
      <c r="I56" s="85" t="str">
        <f aca="false">IF($A56="","",IF(G56&gt;=Settings!$B$7,"Full","Open"))</f>
        <v/>
      </c>
    </row>
    <row r="57" customFormat="false" ht="19.5" hidden="false" customHeight="true" outlineLevel="0" collapsed="false">
      <c r="A57" s="85" t="str">
        <f aca="false">IF(C57="","","C"&amp;TEXT(ROW()-4,"000"))</f>
        <v/>
      </c>
      <c r="B57" s="52"/>
      <c r="C57" s="52"/>
      <c r="D57" s="52"/>
      <c r="E57" s="89" t="str">
        <f aca="false">IF(D57="","",IFERROR(INDEX(Teachers!$B$5:$B$304,MATCH(D57,Teachers!$A$5:$A$304,0)),""))</f>
        <v/>
      </c>
      <c r="F57" s="86"/>
      <c r="G57" s="85" t="str">
        <f aca="false">IF($A57="","",COUNTIFS(Students!$E$5:$E$304,$B57,Students!$F$5:$F$304,$C57,Students!$K$5:$K$304,"Active"))</f>
        <v/>
      </c>
      <c r="H57" s="85" t="str">
        <f aca="false">IF($A57="","",MAX(0,Settings!$B$7-G57))</f>
        <v/>
      </c>
      <c r="I57" s="85" t="str">
        <f aca="false">IF($A57="","",IF(G57&gt;=Settings!$B$7,"Full","Open"))</f>
        <v/>
      </c>
    </row>
    <row r="58" customFormat="false" ht="19.5" hidden="false" customHeight="true" outlineLevel="0" collapsed="false">
      <c r="A58" s="85" t="str">
        <f aca="false">IF(C58="","","C"&amp;TEXT(ROW()-4,"000"))</f>
        <v/>
      </c>
      <c r="B58" s="52"/>
      <c r="C58" s="52"/>
      <c r="D58" s="52"/>
      <c r="E58" s="89" t="str">
        <f aca="false">IF(D58="","",IFERROR(INDEX(Teachers!$B$5:$B$304,MATCH(D58,Teachers!$A$5:$A$304,0)),""))</f>
        <v/>
      </c>
      <c r="F58" s="86"/>
      <c r="G58" s="85" t="str">
        <f aca="false">IF($A58="","",COUNTIFS(Students!$E$5:$E$304,$B58,Students!$F$5:$F$304,$C58,Students!$K$5:$K$304,"Active"))</f>
        <v/>
      </c>
      <c r="H58" s="85" t="str">
        <f aca="false">IF($A58="","",MAX(0,Settings!$B$7-G58))</f>
        <v/>
      </c>
      <c r="I58" s="85" t="str">
        <f aca="false">IF($A58="","",IF(G58&gt;=Settings!$B$7,"Full","Open"))</f>
        <v/>
      </c>
    </row>
    <row r="59" customFormat="false" ht="19.5" hidden="false" customHeight="true" outlineLevel="0" collapsed="false">
      <c r="A59" s="85" t="str">
        <f aca="false">IF(C59="","","C"&amp;TEXT(ROW()-4,"000"))</f>
        <v/>
      </c>
      <c r="B59" s="52"/>
      <c r="C59" s="52"/>
      <c r="D59" s="52"/>
      <c r="E59" s="89" t="str">
        <f aca="false">IF(D59="","",IFERROR(INDEX(Teachers!$B$5:$B$304,MATCH(D59,Teachers!$A$5:$A$304,0)),""))</f>
        <v/>
      </c>
      <c r="F59" s="86"/>
      <c r="G59" s="85" t="str">
        <f aca="false">IF($A59="","",COUNTIFS(Students!$E$5:$E$304,$B59,Students!$F$5:$F$304,$C59,Students!$K$5:$K$304,"Active"))</f>
        <v/>
      </c>
      <c r="H59" s="85" t="str">
        <f aca="false">IF($A59="","",MAX(0,Settings!$B$7-G59))</f>
        <v/>
      </c>
      <c r="I59" s="85" t="str">
        <f aca="false">IF($A59="","",IF(G59&gt;=Settings!$B$7,"Full","Open"))</f>
        <v/>
      </c>
    </row>
    <row r="60" customFormat="false" ht="19.5" hidden="false" customHeight="true" outlineLevel="0" collapsed="false">
      <c r="A60" s="85" t="str">
        <f aca="false">IF(C60="","","C"&amp;TEXT(ROW()-4,"000"))</f>
        <v/>
      </c>
      <c r="B60" s="52"/>
      <c r="C60" s="52"/>
      <c r="D60" s="52"/>
      <c r="E60" s="89" t="str">
        <f aca="false">IF(D60="","",IFERROR(INDEX(Teachers!$B$5:$B$304,MATCH(D60,Teachers!$A$5:$A$304,0)),""))</f>
        <v/>
      </c>
      <c r="F60" s="86"/>
      <c r="G60" s="85" t="str">
        <f aca="false">IF($A60="","",COUNTIFS(Students!$E$5:$E$304,$B60,Students!$F$5:$F$304,$C60,Students!$K$5:$K$304,"Active"))</f>
        <v/>
      </c>
      <c r="H60" s="85" t="str">
        <f aca="false">IF($A60="","",MAX(0,Settings!$B$7-G60))</f>
        <v/>
      </c>
      <c r="I60" s="85" t="str">
        <f aca="false">IF($A60="","",IF(G60&gt;=Settings!$B$7,"Full","Open"))</f>
        <v/>
      </c>
    </row>
    <row r="61" customFormat="false" ht="19.5" hidden="false" customHeight="true" outlineLevel="0" collapsed="false">
      <c r="A61" s="85" t="str">
        <f aca="false">IF(C61="","","C"&amp;TEXT(ROW()-4,"000"))</f>
        <v/>
      </c>
      <c r="B61" s="52"/>
      <c r="C61" s="52"/>
      <c r="D61" s="52"/>
      <c r="E61" s="89" t="str">
        <f aca="false">IF(D61="","",IFERROR(INDEX(Teachers!$B$5:$B$304,MATCH(D61,Teachers!$A$5:$A$304,0)),""))</f>
        <v/>
      </c>
      <c r="F61" s="86"/>
      <c r="G61" s="85" t="str">
        <f aca="false">IF($A61="","",COUNTIFS(Students!$E$5:$E$304,$B61,Students!$F$5:$F$304,$C61,Students!$K$5:$K$304,"Active"))</f>
        <v/>
      </c>
      <c r="H61" s="85" t="str">
        <f aca="false">IF($A61="","",MAX(0,Settings!$B$7-G61))</f>
        <v/>
      </c>
      <c r="I61" s="85" t="str">
        <f aca="false">IF($A61="","",IF(G61&gt;=Settings!$B$7,"Full","Open"))</f>
        <v/>
      </c>
    </row>
    <row r="62" customFormat="false" ht="19.5" hidden="false" customHeight="true" outlineLevel="0" collapsed="false">
      <c r="A62" s="85" t="str">
        <f aca="false">IF(C62="","","C"&amp;TEXT(ROW()-4,"000"))</f>
        <v/>
      </c>
      <c r="B62" s="52"/>
      <c r="C62" s="52"/>
      <c r="D62" s="52"/>
      <c r="E62" s="89" t="str">
        <f aca="false">IF(D62="","",IFERROR(INDEX(Teachers!$B$5:$B$304,MATCH(D62,Teachers!$A$5:$A$304,0)),""))</f>
        <v/>
      </c>
      <c r="F62" s="86"/>
      <c r="G62" s="85" t="str">
        <f aca="false">IF($A62="","",COUNTIFS(Students!$E$5:$E$304,$B62,Students!$F$5:$F$304,$C62,Students!$K$5:$K$304,"Active"))</f>
        <v/>
      </c>
      <c r="H62" s="85" t="str">
        <f aca="false">IF($A62="","",MAX(0,Settings!$B$7-G62))</f>
        <v/>
      </c>
      <c r="I62" s="85" t="str">
        <f aca="false">IF($A62="","",IF(G62&gt;=Settings!$B$7,"Full","Open"))</f>
        <v/>
      </c>
    </row>
    <row r="63" customFormat="false" ht="19.5" hidden="false" customHeight="true" outlineLevel="0" collapsed="false">
      <c r="A63" s="85" t="str">
        <f aca="false">IF(C63="","","C"&amp;TEXT(ROW()-4,"000"))</f>
        <v/>
      </c>
      <c r="B63" s="52"/>
      <c r="C63" s="52"/>
      <c r="D63" s="52"/>
      <c r="E63" s="89" t="str">
        <f aca="false">IF(D63="","",IFERROR(INDEX(Teachers!$B$5:$B$304,MATCH(D63,Teachers!$A$5:$A$304,0)),""))</f>
        <v/>
      </c>
      <c r="F63" s="86"/>
      <c r="G63" s="85" t="str">
        <f aca="false">IF($A63="","",COUNTIFS(Students!$E$5:$E$304,$B63,Students!$F$5:$F$304,$C63,Students!$K$5:$K$304,"Active"))</f>
        <v/>
      </c>
      <c r="H63" s="85" t="str">
        <f aca="false">IF($A63="","",MAX(0,Settings!$B$7-G63))</f>
        <v/>
      </c>
      <c r="I63" s="85" t="str">
        <f aca="false">IF($A63="","",IF(G63&gt;=Settings!$B$7,"Full","Open"))</f>
        <v/>
      </c>
    </row>
    <row r="64" customFormat="false" ht="19.5" hidden="false" customHeight="true" outlineLevel="0" collapsed="false">
      <c r="A64" s="85" t="str">
        <f aca="false">IF(C64="","","C"&amp;TEXT(ROW()-4,"000"))</f>
        <v/>
      </c>
      <c r="B64" s="52"/>
      <c r="C64" s="52"/>
      <c r="D64" s="52"/>
      <c r="E64" s="89" t="str">
        <f aca="false">IF(D64="","",IFERROR(INDEX(Teachers!$B$5:$B$304,MATCH(D64,Teachers!$A$5:$A$304,0)),""))</f>
        <v/>
      </c>
      <c r="F64" s="86"/>
      <c r="G64" s="85" t="str">
        <f aca="false">IF($A64="","",COUNTIFS(Students!$E$5:$E$304,$B64,Students!$F$5:$F$304,$C64,Students!$K$5:$K$304,"Active"))</f>
        <v/>
      </c>
      <c r="H64" s="85" t="str">
        <f aca="false">IF($A64="","",MAX(0,Settings!$B$7-G64))</f>
        <v/>
      </c>
      <c r="I64" s="85" t="str">
        <f aca="false">IF($A64="","",IF(G64&gt;=Settings!$B$7,"Full","Open"))</f>
        <v/>
      </c>
    </row>
    <row r="65" customFormat="false" ht="19.5" hidden="false" customHeight="true" outlineLevel="0" collapsed="false">
      <c r="A65" s="85" t="str">
        <f aca="false">IF(C65="","","C"&amp;TEXT(ROW()-4,"000"))</f>
        <v/>
      </c>
      <c r="B65" s="52"/>
      <c r="C65" s="52"/>
      <c r="D65" s="52"/>
      <c r="E65" s="89" t="str">
        <f aca="false">IF(D65="","",IFERROR(INDEX(Teachers!$B$5:$B$304,MATCH(D65,Teachers!$A$5:$A$304,0)),""))</f>
        <v/>
      </c>
      <c r="F65" s="86"/>
      <c r="G65" s="85" t="str">
        <f aca="false">IF($A65="","",COUNTIFS(Students!$E$5:$E$304,$B65,Students!$F$5:$F$304,$C65,Students!$K$5:$K$304,"Active"))</f>
        <v/>
      </c>
      <c r="H65" s="85" t="str">
        <f aca="false">IF($A65="","",MAX(0,Settings!$B$7-G65))</f>
        <v/>
      </c>
      <c r="I65" s="85" t="str">
        <f aca="false">IF($A65="","",IF(G65&gt;=Settings!$B$7,"Full","Open"))</f>
        <v/>
      </c>
    </row>
    <row r="66" customFormat="false" ht="19.5" hidden="false" customHeight="true" outlineLevel="0" collapsed="false">
      <c r="A66" s="85" t="str">
        <f aca="false">IF(C66="","","C"&amp;TEXT(ROW()-4,"000"))</f>
        <v/>
      </c>
      <c r="B66" s="52"/>
      <c r="C66" s="52"/>
      <c r="D66" s="52"/>
      <c r="E66" s="89" t="str">
        <f aca="false">IF(D66="","",IFERROR(INDEX(Teachers!$B$5:$B$304,MATCH(D66,Teachers!$A$5:$A$304,0)),""))</f>
        <v/>
      </c>
      <c r="F66" s="86"/>
      <c r="G66" s="85" t="str">
        <f aca="false">IF($A66="","",COUNTIFS(Students!$E$5:$E$304,$B66,Students!$F$5:$F$304,$C66,Students!$K$5:$K$304,"Active"))</f>
        <v/>
      </c>
      <c r="H66" s="85" t="str">
        <f aca="false">IF($A66="","",MAX(0,Settings!$B$7-G66))</f>
        <v/>
      </c>
      <c r="I66" s="85" t="str">
        <f aca="false">IF($A66="","",IF(G66&gt;=Settings!$B$7,"Full","Open"))</f>
        <v/>
      </c>
    </row>
    <row r="67" customFormat="false" ht="19.5" hidden="false" customHeight="true" outlineLevel="0" collapsed="false">
      <c r="A67" s="85" t="str">
        <f aca="false">IF(C67="","","C"&amp;TEXT(ROW()-4,"000"))</f>
        <v/>
      </c>
      <c r="B67" s="52"/>
      <c r="C67" s="52"/>
      <c r="D67" s="52"/>
      <c r="E67" s="89" t="str">
        <f aca="false">IF(D67="","",IFERROR(INDEX(Teachers!$B$5:$B$304,MATCH(D67,Teachers!$A$5:$A$304,0)),""))</f>
        <v/>
      </c>
      <c r="F67" s="86"/>
      <c r="G67" s="85" t="str">
        <f aca="false">IF($A67="","",COUNTIFS(Students!$E$5:$E$304,$B67,Students!$F$5:$F$304,$C67,Students!$K$5:$K$304,"Active"))</f>
        <v/>
      </c>
      <c r="H67" s="85" t="str">
        <f aca="false">IF($A67="","",MAX(0,Settings!$B$7-G67))</f>
        <v/>
      </c>
      <c r="I67" s="85" t="str">
        <f aca="false">IF($A67="","",IF(G67&gt;=Settings!$B$7,"Full","Open"))</f>
        <v/>
      </c>
    </row>
    <row r="68" customFormat="false" ht="19.5" hidden="false" customHeight="true" outlineLevel="0" collapsed="false">
      <c r="A68" s="85" t="str">
        <f aca="false">IF(C68="","","C"&amp;TEXT(ROW()-4,"000"))</f>
        <v/>
      </c>
      <c r="B68" s="52"/>
      <c r="C68" s="52"/>
      <c r="D68" s="52"/>
      <c r="E68" s="89" t="str">
        <f aca="false">IF(D68="","",IFERROR(INDEX(Teachers!$B$5:$B$304,MATCH(D68,Teachers!$A$5:$A$304,0)),""))</f>
        <v/>
      </c>
      <c r="F68" s="86"/>
      <c r="G68" s="85" t="str">
        <f aca="false">IF($A68="","",COUNTIFS(Students!$E$5:$E$304,$B68,Students!$F$5:$F$304,$C68,Students!$K$5:$K$304,"Active"))</f>
        <v/>
      </c>
      <c r="H68" s="85" t="str">
        <f aca="false">IF($A68="","",MAX(0,Settings!$B$7-G68))</f>
        <v/>
      </c>
      <c r="I68" s="85" t="str">
        <f aca="false">IF($A68="","",IF(G68&gt;=Settings!$B$7,"Full","Open"))</f>
        <v/>
      </c>
    </row>
    <row r="69" customFormat="false" ht="19.5" hidden="false" customHeight="true" outlineLevel="0" collapsed="false">
      <c r="A69" s="85" t="str">
        <f aca="false">IF(C69="","","C"&amp;TEXT(ROW()-4,"000"))</f>
        <v/>
      </c>
      <c r="B69" s="52"/>
      <c r="C69" s="52"/>
      <c r="D69" s="52"/>
      <c r="E69" s="89" t="str">
        <f aca="false">IF(D69="","",IFERROR(INDEX(Teachers!$B$5:$B$304,MATCH(D69,Teachers!$A$5:$A$304,0)),""))</f>
        <v/>
      </c>
      <c r="F69" s="86"/>
      <c r="G69" s="85" t="str">
        <f aca="false">IF($A69="","",COUNTIFS(Students!$E$5:$E$304,$B69,Students!$F$5:$F$304,$C69,Students!$K$5:$K$304,"Active"))</f>
        <v/>
      </c>
      <c r="H69" s="85" t="str">
        <f aca="false">IF($A69="","",MAX(0,Settings!$B$7-G69))</f>
        <v/>
      </c>
      <c r="I69" s="85" t="str">
        <f aca="false">IF($A69="","",IF(G69&gt;=Settings!$B$7,"Full","Open"))</f>
        <v/>
      </c>
    </row>
    <row r="70" customFormat="false" ht="19.5" hidden="false" customHeight="true" outlineLevel="0" collapsed="false">
      <c r="A70" s="85" t="str">
        <f aca="false">IF(C70="","","C"&amp;TEXT(ROW()-4,"000"))</f>
        <v/>
      </c>
      <c r="B70" s="52"/>
      <c r="C70" s="52"/>
      <c r="D70" s="52"/>
      <c r="E70" s="89" t="str">
        <f aca="false">IF(D70="","",IFERROR(INDEX(Teachers!$B$5:$B$304,MATCH(D70,Teachers!$A$5:$A$304,0)),""))</f>
        <v/>
      </c>
      <c r="F70" s="86"/>
      <c r="G70" s="85" t="str">
        <f aca="false">IF($A70="","",COUNTIFS(Students!$E$5:$E$304,$B70,Students!$F$5:$F$304,$C70,Students!$K$5:$K$304,"Active"))</f>
        <v/>
      </c>
      <c r="H70" s="85" t="str">
        <f aca="false">IF($A70="","",MAX(0,Settings!$B$7-G70))</f>
        <v/>
      </c>
      <c r="I70" s="85" t="str">
        <f aca="false">IF($A70="","",IF(G70&gt;=Settings!$B$7,"Full","Open"))</f>
        <v/>
      </c>
    </row>
    <row r="71" customFormat="false" ht="19.5" hidden="false" customHeight="true" outlineLevel="0" collapsed="false">
      <c r="A71" s="85" t="str">
        <f aca="false">IF(C71="","","C"&amp;TEXT(ROW()-4,"000"))</f>
        <v/>
      </c>
      <c r="B71" s="52"/>
      <c r="C71" s="52"/>
      <c r="D71" s="52"/>
      <c r="E71" s="89" t="str">
        <f aca="false">IF(D71="","",IFERROR(INDEX(Teachers!$B$5:$B$304,MATCH(D71,Teachers!$A$5:$A$304,0)),""))</f>
        <v/>
      </c>
      <c r="F71" s="86"/>
      <c r="G71" s="85" t="str">
        <f aca="false">IF($A71="","",COUNTIFS(Students!$E$5:$E$304,$B71,Students!$F$5:$F$304,$C71,Students!$K$5:$K$304,"Active"))</f>
        <v/>
      </c>
      <c r="H71" s="85" t="str">
        <f aca="false">IF($A71="","",MAX(0,Settings!$B$7-G71))</f>
        <v/>
      </c>
      <c r="I71" s="85" t="str">
        <f aca="false">IF($A71="","",IF(G71&gt;=Settings!$B$7,"Full","Open"))</f>
        <v/>
      </c>
    </row>
    <row r="72" customFormat="false" ht="19.5" hidden="false" customHeight="true" outlineLevel="0" collapsed="false">
      <c r="A72" s="85" t="str">
        <f aca="false">IF(C72="","","C"&amp;TEXT(ROW()-4,"000"))</f>
        <v/>
      </c>
      <c r="B72" s="52"/>
      <c r="C72" s="52"/>
      <c r="D72" s="52"/>
      <c r="E72" s="89" t="str">
        <f aca="false">IF(D72="","",IFERROR(INDEX(Teachers!$B$5:$B$304,MATCH(D72,Teachers!$A$5:$A$304,0)),""))</f>
        <v/>
      </c>
      <c r="F72" s="86"/>
      <c r="G72" s="85" t="str">
        <f aca="false">IF($A72="","",COUNTIFS(Students!$E$5:$E$304,$B72,Students!$F$5:$F$304,$C72,Students!$K$5:$K$304,"Active"))</f>
        <v/>
      </c>
      <c r="H72" s="85" t="str">
        <f aca="false">IF($A72="","",MAX(0,Settings!$B$7-G72))</f>
        <v/>
      </c>
      <c r="I72" s="85" t="str">
        <f aca="false">IF($A72="","",IF(G72&gt;=Settings!$B$7,"Full","Open"))</f>
        <v/>
      </c>
    </row>
    <row r="73" customFormat="false" ht="19.5" hidden="false" customHeight="true" outlineLevel="0" collapsed="false">
      <c r="A73" s="85" t="str">
        <f aca="false">IF(C73="","","C"&amp;TEXT(ROW()-4,"000"))</f>
        <v/>
      </c>
      <c r="B73" s="52"/>
      <c r="C73" s="52"/>
      <c r="D73" s="52"/>
      <c r="E73" s="89" t="str">
        <f aca="false">IF(D73="","",IFERROR(INDEX(Teachers!$B$5:$B$304,MATCH(D73,Teachers!$A$5:$A$304,0)),""))</f>
        <v/>
      </c>
      <c r="F73" s="86"/>
      <c r="G73" s="85" t="str">
        <f aca="false">IF($A73="","",COUNTIFS(Students!$E$5:$E$304,$B73,Students!$F$5:$F$304,$C73,Students!$K$5:$K$304,"Active"))</f>
        <v/>
      </c>
      <c r="H73" s="85" t="str">
        <f aca="false">IF($A73="","",MAX(0,Settings!$B$7-G73))</f>
        <v/>
      </c>
      <c r="I73" s="85" t="str">
        <f aca="false">IF($A73="","",IF(G73&gt;=Settings!$B$7,"Full","Open"))</f>
        <v/>
      </c>
    </row>
    <row r="74" customFormat="false" ht="19.5" hidden="false" customHeight="true" outlineLevel="0" collapsed="false">
      <c r="A74" s="85" t="str">
        <f aca="false">IF(C74="","","C"&amp;TEXT(ROW()-4,"000"))</f>
        <v/>
      </c>
      <c r="B74" s="52"/>
      <c r="C74" s="52"/>
      <c r="D74" s="52"/>
      <c r="E74" s="89" t="str">
        <f aca="false">IF(D74="","",IFERROR(INDEX(Teachers!$B$5:$B$304,MATCH(D74,Teachers!$A$5:$A$304,0)),""))</f>
        <v/>
      </c>
      <c r="F74" s="86"/>
      <c r="G74" s="85" t="str">
        <f aca="false">IF($A74="","",COUNTIFS(Students!$E$5:$E$304,$B74,Students!$F$5:$F$304,$C74,Students!$K$5:$K$304,"Active"))</f>
        <v/>
      </c>
      <c r="H74" s="85" t="str">
        <f aca="false">IF($A74="","",MAX(0,Settings!$B$7-G74))</f>
        <v/>
      </c>
      <c r="I74" s="85" t="str">
        <f aca="false">IF($A74="","",IF(G74&gt;=Settings!$B$7,"Full","Open"))</f>
        <v/>
      </c>
    </row>
    <row r="75" customFormat="false" ht="19.5" hidden="false" customHeight="true" outlineLevel="0" collapsed="false">
      <c r="A75" s="85" t="str">
        <f aca="false">IF(C75="","","C"&amp;TEXT(ROW()-4,"000"))</f>
        <v/>
      </c>
      <c r="B75" s="52"/>
      <c r="C75" s="52"/>
      <c r="D75" s="52"/>
      <c r="E75" s="89" t="str">
        <f aca="false">IF(D75="","",IFERROR(INDEX(Teachers!$B$5:$B$304,MATCH(D75,Teachers!$A$5:$A$304,0)),""))</f>
        <v/>
      </c>
      <c r="F75" s="86"/>
      <c r="G75" s="85" t="str">
        <f aca="false">IF($A75="","",COUNTIFS(Students!$E$5:$E$304,$B75,Students!$F$5:$F$304,$C75,Students!$K$5:$K$304,"Active"))</f>
        <v/>
      </c>
      <c r="H75" s="85" t="str">
        <f aca="false">IF($A75="","",MAX(0,Settings!$B$7-G75))</f>
        <v/>
      </c>
      <c r="I75" s="85" t="str">
        <f aca="false">IF($A75="","",IF(G75&gt;=Settings!$B$7,"Full","Open"))</f>
        <v/>
      </c>
    </row>
    <row r="76" customFormat="false" ht="19.5" hidden="false" customHeight="true" outlineLevel="0" collapsed="false">
      <c r="A76" s="85" t="str">
        <f aca="false">IF(C76="","","C"&amp;TEXT(ROW()-4,"000"))</f>
        <v/>
      </c>
      <c r="B76" s="52"/>
      <c r="C76" s="52"/>
      <c r="D76" s="52"/>
      <c r="E76" s="89" t="str">
        <f aca="false">IF(D76="","",IFERROR(INDEX(Teachers!$B$5:$B$304,MATCH(D76,Teachers!$A$5:$A$304,0)),""))</f>
        <v/>
      </c>
      <c r="F76" s="86"/>
      <c r="G76" s="85" t="str">
        <f aca="false">IF($A76="","",COUNTIFS(Students!$E$5:$E$304,$B76,Students!$F$5:$F$304,$C76,Students!$K$5:$K$304,"Active"))</f>
        <v/>
      </c>
      <c r="H76" s="85" t="str">
        <f aca="false">IF($A76="","",MAX(0,Settings!$B$7-G76))</f>
        <v/>
      </c>
      <c r="I76" s="85" t="str">
        <f aca="false">IF($A76="","",IF(G76&gt;=Settings!$B$7,"Full","Open"))</f>
        <v/>
      </c>
    </row>
    <row r="77" customFormat="false" ht="19.5" hidden="false" customHeight="true" outlineLevel="0" collapsed="false">
      <c r="A77" s="85" t="str">
        <f aca="false">IF(C77="","","C"&amp;TEXT(ROW()-4,"000"))</f>
        <v/>
      </c>
      <c r="B77" s="52"/>
      <c r="C77" s="52"/>
      <c r="D77" s="52"/>
      <c r="E77" s="89" t="str">
        <f aca="false">IF(D77="","",IFERROR(INDEX(Teachers!$B$5:$B$304,MATCH(D77,Teachers!$A$5:$A$304,0)),""))</f>
        <v/>
      </c>
      <c r="F77" s="86"/>
      <c r="G77" s="85" t="str">
        <f aca="false">IF($A77="","",COUNTIFS(Students!$E$5:$E$304,$B77,Students!$F$5:$F$304,$C77,Students!$K$5:$K$304,"Active"))</f>
        <v/>
      </c>
      <c r="H77" s="85" t="str">
        <f aca="false">IF($A77="","",MAX(0,Settings!$B$7-G77))</f>
        <v/>
      </c>
      <c r="I77" s="85" t="str">
        <f aca="false">IF($A77="","",IF(G77&gt;=Settings!$B$7,"Full","Open"))</f>
        <v/>
      </c>
    </row>
    <row r="78" customFormat="false" ht="19.5" hidden="false" customHeight="true" outlineLevel="0" collapsed="false">
      <c r="A78" s="85" t="str">
        <f aca="false">IF(C78="","","C"&amp;TEXT(ROW()-4,"000"))</f>
        <v/>
      </c>
      <c r="B78" s="52"/>
      <c r="C78" s="52"/>
      <c r="D78" s="52"/>
      <c r="E78" s="89" t="str">
        <f aca="false">IF(D78="","",IFERROR(INDEX(Teachers!$B$5:$B$304,MATCH(D78,Teachers!$A$5:$A$304,0)),""))</f>
        <v/>
      </c>
      <c r="F78" s="86"/>
      <c r="G78" s="85" t="str">
        <f aca="false">IF($A78="","",COUNTIFS(Students!$E$5:$E$304,$B78,Students!$F$5:$F$304,$C78,Students!$K$5:$K$304,"Active"))</f>
        <v/>
      </c>
      <c r="H78" s="85" t="str">
        <f aca="false">IF($A78="","",MAX(0,Settings!$B$7-G78))</f>
        <v/>
      </c>
      <c r="I78" s="85" t="str">
        <f aca="false">IF($A78="","",IF(G78&gt;=Settings!$B$7,"Full","Open"))</f>
        <v/>
      </c>
    </row>
    <row r="79" customFormat="false" ht="19.5" hidden="false" customHeight="true" outlineLevel="0" collapsed="false">
      <c r="A79" s="85" t="str">
        <f aca="false">IF(C79="","","C"&amp;TEXT(ROW()-4,"000"))</f>
        <v/>
      </c>
      <c r="B79" s="52"/>
      <c r="C79" s="52"/>
      <c r="D79" s="52"/>
      <c r="E79" s="89" t="str">
        <f aca="false">IF(D79="","",IFERROR(INDEX(Teachers!$B$5:$B$304,MATCH(D79,Teachers!$A$5:$A$304,0)),""))</f>
        <v/>
      </c>
      <c r="F79" s="86"/>
      <c r="G79" s="85" t="str">
        <f aca="false">IF($A79="","",COUNTIFS(Students!$E$5:$E$304,$B79,Students!$F$5:$F$304,$C79,Students!$K$5:$K$304,"Active"))</f>
        <v/>
      </c>
      <c r="H79" s="85" t="str">
        <f aca="false">IF($A79="","",MAX(0,Settings!$B$7-G79))</f>
        <v/>
      </c>
      <c r="I79" s="85" t="str">
        <f aca="false">IF($A79="","",IF(G79&gt;=Settings!$B$7,"Full","Open"))</f>
        <v/>
      </c>
    </row>
    <row r="80" customFormat="false" ht="19.5" hidden="false" customHeight="true" outlineLevel="0" collapsed="false">
      <c r="A80" s="85" t="str">
        <f aca="false">IF(C80="","","C"&amp;TEXT(ROW()-4,"000"))</f>
        <v/>
      </c>
      <c r="B80" s="52"/>
      <c r="C80" s="52"/>
      <c r="D80" s="52"/>
      <c r="E80" s="89" t="str">
        <f aca="false">IF(D80="","",IFERROR(INDEX(Teachers!$B$5:$B$304,MATCH(D80,Teachers!$A$5:$A$304,0)),""))</f>
        <v/>
      </c>
      <c r="F80" s="86"/>
      <c r="G80" s="85" t="str">
        <f aca="false">IF($A80="","",COUNTIFS(Students!$E$5:$E$304,$B80,Students!$F$5:$F$304,$C80,Students!$K$5:$K$304,"Active"))</f>
        <v/>
      </c>
      <c r="H80" s="85" t="str">
        <f aca="false">IF($A80="","",MAX(0,Settings!$B$7-G80))</f>
        <v/>
      </c>
      <c r="I80" s="85" t="str">
        <f aca="false">IF($A80="","",IF(G80&gt;=Settings!$B$7,"Full","Open"))</f>
        <v/>
      </c>
    </row>
    <row r="81" customFormat="false" ht="19.5" hidden="false" customHeight="true" outlineLevel="0" collapsed="false">
      <c r="A81" s="85" t="str">
        <f aca="false">IF(C81="","","C"&amp;TEXT(ROW()-4,"000"))</f>
        <v/>
      </c>
      <c r="B81" s="52"/>
      <c r="C81" s="52"/>
      <c r="D81" s="52"/>
      <c r="E81" s="89" t="str">
        <f aca="false">IF(D81="","",IFERROR(INDEX(Teachers!$B$5:$B$304,MATCH(D81,Teachers!$A$5:$A$304,0)),""))</f>
        <v/>
      </c>
      <c r="F81" s="86"/>
      <c r="G81" s="85" t="str">
        <f aca="false">IF($A81="","",COUNTIFS(Students!$E$5:$E$304,$B81,Students!$F$5:$F$304,$C81,Students!$K$5:$K$304,"Active"))</f>
        <v/>
      </c>
      <c r="H81" s="85" t="str">
        <f aca="false">IF($A81="","",MAX(0,Settings!$B$7-G81))</f>
        <v/>
      </c>
      <c r="I81" s="85" t="str">
        <f aca="false">IF($A81="","",IF(G81&gt;=Settings!$B$7,"Full","Open"))</f>
        <v/>
      </c>
    </row>
    <row r="82" customFormat="false" ht="19.5" hidden="false" customHeight="true" outlineLevel="0" collapsed="false">
      <c r="A82" s="85" t="str">
        <f aca="false">IF(C82="","","C"&amp;TEXT(ROW()-4,"000"))</f>
        <v/>
      </c>
      <c r="B82" s="52"/>
      <c r="C82" s="52"/>
      <c r="D82" s="52"/>
      <c r="E82" s="89" t="str">
        <f aca="false">IF(D82="","",IFERROR(INDEX(Teachers!$B$5:$B$304,MATCH(D82,Teachers!$A$5:$A$304,0)),""))</f>
        <v/>
      </c>
      <c r="F82" s="86"/>
      <c r="G82" s="85" t="str">
        <f aca="false">IF($A82="","",COUNTIFS(Students!$E$5:$E$304,$B82,Students!$F$5:$F$304,$C82,Students!$K$5:$K$304,"Active"))</f>
        <v/>
      </c>
      <c r="H82" s="85" t="str">
        <f aca="false">IF($A82="","",MAX(0,Settings!$B$7-G82))</f>
        <v/>
      </c>
      <c r="I82" s="85" t="str">
        <f aca="false">IF($A82="","",IF(G82&gt;=Settings!$B$7,"Full","Open"))</f>
        <v/>
      </c>
    </row>
    <row r="83" customFormat="false" ht="19.5" hidden="false" customHeight="true" outlineLevel="0" collapsed="false">
      <c r="A83" s="85" t="str">
        <f aca="false">IF(C83="","","C"&amp;TEXT(ROW()-4,"000"))</f>
        <v/>
      </c>
      <c r="B83" s="52"/>
      <c r="C83" s="52"/>
      <c r="D83" s="52"/>
      <c r="E83" s="89" t="str">
        <f aca="false">IF(D83="","",IFERROR(INDEX(Teachers!$B$5:$B$304,MATCH(D83,Teachers!$A$5:$A$304,0)),""))</f>
        <v/>
      </c>
      <c r="F83" s="86"/>
      <c r="G83" s="85" t="str">
        <f aca="false">IF($A83="","",COUNTIFS(Students!$E$5:$E$304,$B83,Students!$F$5:$F$304,$C83,Students!$K$5:$K$304,"Active"))</f>
        <v/>
      </c>
      <c r="H83" s="85" t="str">
        <f aca="false">IF($A83="","",MAX(0,Settings!$B$7-G83))</f>
        <v/>
      </c>
      <c r="I83" s="85" t="str">
        <f aca="false">IF($A83="","",IF(G83&gt;=Settings!$B$7,"Full","Open"))</f>
        <v/>
      </c>
    </row>
    <row r="84" customFormat="false" ht="19.5" hidden="false" customHeight="true" outlineLevel="0" collapsed="false">
      <c r="A84" s="85" t="str">
        <f aca="false">IF(C84="","","C"&amp;TEXT(ROW()-4,"000"))</f>
        <v/>
      </c>
      <c r="B84" s="52"/>
      <c r="C84" s="52"/>
      <c r="D84" s="52"/>
      <c r="E84" s="89" t="str">
        <f aca="false">IF(D84="","",IFERROR(INDEX(Teachers!$B$5:$B$304,MATCH(D84,Teachers!$A$5:$A$304,0)),""))</f>
        <v/>
      </c>
      <c r="F84" s="86"/>
      <c r="G84" s="85" t="str">
        <f aca="false">IF($A84="","",COUNTIFS(Students!$E$5:$E$304,$B84,Students!$F$5:$F$304,$C84,Students!$K$5:$K$304,"Active"))</f>
        <v/>
      </c>
      <c r="H84" s="85" t="str">
        <f aca="false">IF($A84="","",MAX(0,Settings!$B$7-G84))</f>
        <v/>
      </c>
      <c r="I84" s="85" t="str">
        <f aca="false">IF($A84="","",IF(G84&gt;=Settings!$B$7,"Full","Open"))</f>
        <v/>
      </c>
    </row>
    <row r="85" customFormat="false" ht="19.5" hidden="false" customHeight="true" outlineLevel="0" collapsed="false">
      <c r="A85" s="85" t="str">
        <f aca="false">IF(C85="","","C"&amp;TEXT(ROW()-4,"000"))</f>
        <v/>
      </c>
      <c r="B85" s="52"/>
      <c r="C85" s="52"/>
      <c r="D85" s="52"/>
      <c r="E85" s="89" t="str">
        <f aca="false">IF(D85="","",IFERROR(INDEX(Teachers!$B$5:$B$304,MATCH(D85,Teachers!$A$5:$A$304,0)),""))</f>
        <v/>
      </c>
      <c r="F85" s="86"/>
      <c r="G85" s="85" t="str">
        <f aca="false">IF($A85="","",COUNTIFS(Students!$E$5:$E$304,$B85,Students!$F$5:$F$304,$C85,Students!$K$5:$K$304,"Active"))</f>
        <v/>
      </c>
      <c r="H85" s="85" t="str">
        <f aca="false">IF($A85="","",MAX(0,Settings!$B$7-G85))</f>
        <v/>
      </c>
      <c r="I85" s="85" t="str">
        <f aca="false">IF($A85="","",IF(G85&gt;=Settings!$B$7,"Full","Open"))</f>
        <v/>
      </c>
    </row>
    <row r="86" customFormat="false" ht="19.5" hidden="false" customHeight="true" outlineLevel="0" collapsed="false">
      <c r="A86" s="85" t="str">
        <f aca="false">IF(C86="","","C"&amp;TEXT(ROW()-4,"000"))</f>
        <v/>
      </c>
      <c r="B86" s="52"/>
      <c r="C86" s="52"/>
      <c r="D86" s="52"/>
      <c r="E86" s="89" t="str">
        <f aca="false">IF(D86="","",IFERROR(INDEX(Teachers!$B$5:$B$304,MATCH(D86,Teachers!$A$5:$A$304,0)),""))</f>
        <v/>
      </c>
      <c r="F86" s="86"/>
      <c r="G86" s="85" t="str">
        <f aca="false">IF($A86="","",COUNTIFS(Students!$E$5:$E$304,$B86,Students!$F$5:$F$304,$C86,Students!$K$5:$K$304,"Active"))</f>
        <v/>
      </c>
      <c r="H86" s="85" t="str">
        <f aca="false">IF($A86="","",MAX(0,Settings!$B$7-G86))</f>
        <v/>
      </c>
      <c r="I86" s="85" t="str">
        <f aca="false">IF($A86="","",IF(G86&gt;=Settings!$B$7,"Full","Open"))</f>
        <v/>
      </c>
    </row>
    <row r="87" customFormat="false" ht="19.5" hidden="false" customHeight="true" outlineLevel="0" collapsed="false">
      <c r="A87" s="85" t="str">
        <f aca="false">IF(C87="","","C"&amp;TEXT(ROW()-4,"000"))</f>
        <v/>
      </c>
      <c r="B87" s="52"/>
      <c r="C87" s="52"/>
      <c r="D87" s="52"/>
      <c r="E87" s="89" t="str">
        <f aca="false">IF(D87="","",IFERROR(INDEX(Teachers!$B$5:$B$304,MATCH(D87,Teachers!$A$5:$A$304,0)),""))</f>
        <v/>
      </c>
      <c r="F87" s="86"/>
      <c r="G87" s="85" t="str">
        <f aca="false">IF($A87="","",COUNTIFS(Students!$E$5:$E$304,$B87,Students!$F$5:$F$304,$C87,Students!$K$5:$K$304,"Active"))</f>
        <v/>
      </c>
      <c r="H87" s="85" t="str">
        <f aca="false">IF($A87="","",MAX(0,Settings!$B$7-G87))</f>
        <v/>
      </c>
      <c r="I87" s="85" t="str">
        <f aca="false">IF($A87="","",IF(G87&gt;=Settings!$B$7,"Full","Open"))</f>
        <v/>
      </c>
    </row>
    <row r="88" customFormat="false" ht="19.5" hidden="false" customHeight="true" outlineLevel="0" collapsed="false">
      <c r="A88" s="85" t="str">
        <f aca="false">IF(C88="","","C"&amp;TEXT(ROW()-4,"000"))</f>
        <v/>
      </c>
      <c r="B88" s="52"/>
      <c r="C88" s="52"/>
      <c r="D88" s="52"/>
      <c r="E88" s="89" t="str">
        <f aca="false">IF(D88="","",IFERROR(INDEX(Teachers!$B$5:$B$304,MATCH(D88,Teachers!$A$5:$A$304,0)),""))</f>
        <v/>
      </c>
      <c r="F88" s="86"/>
      <c r="G88" s="85" t="str">
        <f aca="false">IF($A88="","",COUNTIFS(Students!$E$5:$E$304,$B88,Students!$F$5:$F$304,$C88,Students!$K$5:$K$304,"Active"))</f>
        <v/>
      </c>
      <c r="H88" s="85" t="str">
        <f aca="false">IF($A88="","",MAX(0,Settings!$B$7-G88))</f>
        <v/>
      </c>
      <c r="I88" s="85" t="str">
        <f aca="false">IF($A88="","",IF(G88&gt;=Settings!$B$7,"Full","Open"))</f>
        <v/>
      </c>
    </row>
    <row r="89" customFormat="false" ht="19.5" hidden="false" customHeight="true" outlineLevel="0" collapsed="false">
      <c r="A89" s="85" t="str">
        <f aca="false">IF(C89="","","C"&amp;TEXT(ROW()-4,"000"))</f>
        <v/>
      </c>
      <c r="B89" s="52"/>
      <c r="C89" s="52"/>
      <c r="D89" s="52"/>
      <c r="E89" s="89" t="str">
        <f aca="false">IF(D89="","",IFERROR(INDEX(Teachers!$B$5:$B$304,MATCH(D89,Teachers!$A$5:$A$304,0)),""))</f>
        <v/>
      </c>
      <c r="F89" s="86"/>
      <c r="G89" s="85" t="str">
        <f aca="false">IF($A89="","",COUNTIFS(Students!$E$5:$E$304,$B89,Students!$F$5:$F$304,$C89,Students!$K$5:$K$304,"Active"))</f>
        <v/>
      </c>
      <c r="H89" s="85" t="str">
        <f aca="false">IF($A89="","",MAX(0,Settings!$B$7-G89))</f>
        <v/>
      </c>
      <c r="I89" s="85" t="str">
        <f aca="false">IF($A89="","",IF(G89&gt;=Settings!$B$7,"Full","Open"))</f>
        <v/>
      </c>
    </row>
    <row r="90" customFormat="false" ht="19.5" hidden="false" customHeight="true" outlineLevel="0" collapsed="false">
      <c r="A90" s="85" t="str">
        <f aca="false">IF(C90="","","C"&amp;TEXT(ROW()-4,"000"))</f>
        <v/>
      </c>
      <c r="B90" s="52"/>
      <c r="C90" s="52"/>
      <c r="D90" s="52"/>
      <c r="E90" s="89" t="str">
        <f aca="false">IF(D90="","",IFERROR(INDEX(Teachers!$B$5:$B$304,MATCH(D90,Teachers!$A$5:$A$304,0)),""))</f>
        <v/>
      </c>
      <c r="F90" s="86"/>
      <c r="G90" s="85" t="str">
        <f aca="false">IF($A90="","",COUNTIFS(Students!$E$5:$E$304,$B90,Students!$F$5:$F$304,$C90,Students!$K$5:$K$304,"Active"))</f>
        <v/>
      </c>
      <c r="H90" s="85" t="str">
        <f aca="false">IF($A90="","",MAX(0,Settings!$B$7-G90))</f>
        <v/>
      </c>
      <c r="I90" s="85" t="str">
        <f aca="false">IF($A90="","",IF(G90&gt;=Settings!$B$7,"Full","Open"))</f>
        <v/>
      </c>
    </row>
    <row r="91" customFormat="false" ht="19.5" hidden="false" customHeight="true" outlineLevel="0" collapsed="false">
      <c r="A91" s="85" t="str">
        <f aca="false">IF(C91="","","C"&amp;TEXT(ROW()-4,"000"))</f>
        <v/>
      </c>
      <c r="B91" s="52"/>
      <c r="C91" s="52"/>
      <c r="D91" s="52"/>
      <c r="E91" s="89" t="str">
        <f aca="false">IF(D91="","",IFERROR(INDEX(Teachers!$B$5:$B$304,MATCH(D91,Teachers!$A$5:$A$304,0)),""))</f>
        <v/>
      </c>
      <c r="F91" s="86"/>
      <c r="G91" s="85" t="str">
        <f aca="false">IF($A91="","",COUNTIFS(Students!$E$5:$E$304,$B91,Students!$F$5:$F$304,$C91,Students!$K$5:$K$304,"Active"))</f>
        <v/>
      </c>
      <c r="H91" s="85" t="str">
        <f aca="false">IF($A91="","",MAX(0,Settings!$B$7-G91))</f>
        <v/>
      </c>
      <c r="I91" s="85" t="str">
        <f aca="false">IF($A91="","",IF(G91&gt;=Settings!$B$7,"Full","Open"))</f>
        <v/>
      </c>
    </row>
    <row r="92" customFormat="false" ht="19.5" hidden="false" customHeight="true" outlineLevel="0" collapsed="false">
      <c r="A92" s="85" t="str">
        <f aca="false">IF(C92="","","C"&amp;TEXT(ROW()-4,"000"))</f>
        <v/>
      </c>
      <c r="B92" s="52"/>
      <c r="C92" s="52"/>
      <c r="D92" s="52"/>
      <c r="E92" s="89" t="str">
        <f aca="false">IF(D92="","",IFERROR(INDEX(Teachers!$B$5:$B$304,MATCH(D92,Teachers!$A$5:$A$304,0)),""))</f>
        <v/>
      </c>
      <c r="F92" s="86"/>
      <c r="G92" s="85" t="str">
        <f aca="false">IF($A92="","",COUNTIFS(Students!$E$5:$E$304,$B92,Students!$F$5:$F$304,$C92,Students!$K$5:$K$304,"Active"))</f>
        <v/>
      </c>
      <c r="H92" s="85" t="str">
        <f aca="false">IF($A92="","",MAX(0,Settings!$B$7-G92))</f>
        <v/>
      </c>
      <c r="I92" s="85" t="str">
        <f aca="false">IF($A92="","",IF(G92&gt;=Settings!$B$7,"Full","Open"))</f>
        <v/>
      </c>
    </row>
    <row r="93" customFormat="false" ht="19.5" hidden="false" customHeight="true" outlineLevel="0" collapsed="false">
      <c r="A93" s="85" t="str">
        <f aca="false">IF(C93="","","C"&amp;TEXT(ROW()-4,"000"))</f>
        <v/>
      </c>
      <c r="B93" s="52"/>
      <c r="C93" s="52"/>
      <c r="D93" s="52"/>
      <c r="E93" s="89" t="str">
        <f aca="false">IF(D93="","",IFERROR(INDEX(Teachers!$B$5:$B$304,MATCH(D93,Teachers!$A$5:$A$304,0)),""))</f>
        <v/>
      </c>
      <c r="F93" s="86"/>
      <c r="G93" s="85" t="str">
        <f aca="false">IF($A93="","",COUNTIFS(Students!$E$5:$E$304,$B93,Students!$F$5:$F$304,$C93,Students!$K$5:$K$304,"Active"))</f>
        <v/>
      </c>
      <c r="H93" s="85" t="str">
        <f aca="false">IF($A93="","",MAX(0,Settings!$B$7-G93))</f>
        <v/>
      </c>
      <c r="I93" s="85" t="str">
        <f aca="false">IF($A93="","",IF(G93&gt;=Settings!$B$7,"Full","Open"))</f>
        <v/>
      </c>
    </row>
    <row r="94" customFormat="false" ht="19.5" hidden="false" customHeight="true" outlineLevel="0" collapsed="false">
      <c r="A94" s="85" t="str">
        <f aca="false">IF(C94="","","C"&amp;TEXT(ROW()-4,"000"))</f>
        <v/>
      </c>
      <c r="B94" s="52"/>
      <c r="C94" s="52"/>
      <c r="D94" s="52"/>
      <c r="E94" s="89" t="str">
        <f aca="false">IF(D94="","",IFERROR(INDEX(Teachers!$B$5:$B$304,MATCH(D94,Teachers!$A$5:$A$304,0)),""))</f>
        <v/>
      </c>
      <c r="F94" s="86"/>
      <c r="G94" s="85" t="str">
        <f aca="false">IF($A94="","",COUNTIFS(Students!$E$5:$E$304,$B94,Students!$F$5:$F$304,$C94,Students!$K$5:$K$304,"Active"))</f>
        <v/>
      </c>
      <c r="H94" s="85" t="str">
        <f aca="false">IF($A94="","",MAX(0,Settings!$B$7-G94))</f>
        <v/>
      </c>
      <c r="I94" s="85" t="str">
        <f aca="false">IF($A94="","",IF(G94&gt;=Settings!$B$7,"Full","Open"))</f>
        <v/>
      </c>
    </row>
    <row r="95" customFormat="false" ht="19.5" hidden="false" customHeight="true" outlineLevel="0" collapsed="false">
      <c r="A95" s="85" t="str">
        <f aca="false">IF(C95="","","C"&amp;TEXT(ROW()-4,"000"))</f>
        <v/>
      </c>
      <c r="B95" s="52"/>
      <c r="C95" s="52"/>
      <c r="D95" s="52"/>
      <c r="E95" s="89" t="str">
        <f aca="false">IF(D95="","",IFERROR(INDEX(Teachers!$B$5:$B$304,MATCH(D95,Teachers!$A$5:$A$304,0)),""))</f>
        <v/>
      </c>
      <c r="F95" s="86"/>
      <c r="G95" s="85" t="str">
        <f aca="false">IF($A95="","",COUNTIFS(Students!$E$5:$E$304,$B95,Students!$F$5:$F$304,$C95,Students!$K$5:$K$304,"Active"))</f>
        <v/>
      </c>
      <c r="H95" s="85" t="str">
        <f aca="false">IF($A95="","",MAX(0,Settings!$B$7-G95))</f>
        <v/>
      </c>
      <c r="I95" s="85" t="str">
        <f aca="false">IF($A95="","",IF(G95&gt;=Settings!$B$7,"Full","Open"))</f>
        <v/>
      </c>
    </row>
    <row r="96" customFormat="false" ht="19.5" hidden="false" customHeight="true" outlineLevel="0" collapsed="false">
      <c r="A96" s="85" t="str">
        <f aca="false">IF(C96="","","C"&amp;TEXT(ROW()-4,"000"))</f>
        <v/>
      </c>
      <c r="B96" s="52"/>
      <c r="C96" s="52"/>
      <c r="D96" s="52"/>
      <c r="E96" s="89" t="str">
        <f aca="false">IF(D96="","",IFERROR(INDEX(Teachers!$B$5:$B$304,MATCH(D96,Teachers!$A$5:$A$304,0)),""))</f>
        <v/>
      </c>
      <c r="F96" s="86"/>
      <c r="G96" s="85" t="str">
        <f aca="false">IF($A96="","",COUNTIFS(Students!$E$5:$E$304,$B96,Students!$F$5:$F$304,$C96,Students!$K$5:$K$304,"Active"))</f>
        <v/>
      </c>
      <c r="H96" s="85" t="str">
        <f aca="false">IF($A96="","",MAX(0,Settings!$B$7-G96))</f>
        <v/>
      </c>
      <c r="I96" s="85" t="str">
        <f aca="false">IF($A96="","",IF(G96&gt;=Settings!$B$7,"Full","Open"))</f>
        <v/>
      </c>
    </row>
    <row r="97" customFormat="false" ht="19.5" hidden="false" customHeight="true" outlineLevel="0" collapsed="false">
      <c r="A97" s="85" t="str">
        <f aca="false">IF(C97="","","C"&amp;TEXT(ROW()-4,"000"))</f>
        <v/>
      </c>
      <c r="B97" s="52"/>
      <c r="C97" s="52"/>
      <c r="D97" s="52"/>
      <c r="E97" s="89" t="str">
        <f aca="false">IF(D97="","",IFERROR(INDEX(Teachers!$B$5:$B$304,MATCH(D97,Teachers!$A$5:$A$304,0)),""))</f>
        <v/>
      </c>
      <c r="F97" s="86"/>
      <c r="G97" s="85" t="str">
        <f aca="false">IF($A97="","",COUNTIFS(Students!$E$5:$E$304,$B97,Students!$F$5:$F$304,$C97,Students!$K$5:$K$304,"Active"))</f>
        <v/>
      </c>
      <c r="H97" s="85" t="str">
        <f aca="false">IF($A97="","",MAX(0,Settings!$B$7-G97))</f>
        <v/>
      </c>
      <c r="I97" s="85" t="str">
        <f aca="false">IF($A97="","",IF(G97&gt;=Settings!$B$7,"Full","Open"))</f>
        <v/>
      </c>
    </row>
    <row r="98" customFormat="false" ht="19.5" hidden="false" customHeight="true" outlineLevel="0" collapsed="false">
      <c r="A98" s="85" t="str">
        <f aca="false">IF(C98="","","C"&amp;TEXT(ROW()-4,"000"))</f>
        <v/>
      </c>
      <c r="B98" s="52"/>
      <c r="C98" s="52"/>
      <c r="D98" s="52"/>
      <c r="E98" s="89" t="str">
        <f aca="false">IF(D98="","",IFERROR(INDEX(Teachers!$B$5:$B$304,MATCH(D98,Teachers!$A$5:$A$304,0)),""))</f>
        <v/>
      </c>
      <c r="F98" s="86"/>
      <c r="G98" s="85" t="str">
        <f aca="false">IF($A98="","",COUNTIFS(Students!$E$5:$E$304,$B98,Students!$F$5:$F$304,$C98,Students!$K$5:$K$304,"Active"))</f>
        <v/>
      </c>
      <c r="H98" s="85" t="str">
        <f aca="false">IF($A98="","",MAX(0,Settings!$B$7-G98))</f>
        <v/>
      </c>
      <c r="I98" s="85" t="str">
        <f aca="false">IF($A98="","",IF(G98&gt;=Settings!$B$7,"Full","Open"))</f>
        <v/>
      </c>
    </row>
    <row r="99" customFormat="false" ht="19.5" hidden="false" customHeight="true" outlineLevel="0" collapsed="false">
      <c r="A99" s="85" t="str">
        <f aca="false">IF(C99="","","C"&amp;TEXT(ROW()-4,"000"))</f>
        <v/>
      </c>
      <c r="B99" s="52"/>
      <c r="C99" s="52"/>
      <c r="D99" s="52"/>
      <c r="E99" s="89" t="str">
        <f aca="false">IF(D99="","",IFERROR(INDEX(Teachers!$B$5:$B$304,MATCH(D99,Teachers!$A$5:$A$304,0)),""))</f>
        <v/>
      </c>
      <c r="F99" s="86"/>
      <c r="G99" s="85" t="str">
        <f aca="false">IF($A99="","",COUNTIFS(Students!$E$5:$E$304,$B99,Students!$F$5:$F$304,$C99,Students!$K$5:$K$304,"Active"))</f>
        <v/>
      </c>
      <c r="H99" s="85" t="str">
        <f aca="false">IF($A99="","",MAX(0,Settings!$B$7-G99))</f>
        <v/>
      </c>
      <c r="I99" s="85" t="str">
        <f aca="false">IF($A99="","",IF(G99&gt;=Settings!$B$7,"Full","Open"))</f>
        <v/>
      </c>
    </row>
    <row r="100" customFormat="false" ht="19.5" hidden="false" customHeight="true" outlineLevel="0" collapsed="false">
      <c r="A100" s="85" t="str">
        <f aca="false">IF(C100="","","C"&amp;TEXT(ROW()-4,"000"))</f>
        <v/>
      </c>
      <c r="B100" s="52"/>
      <c r="C100" s="52"/>
      <c r="D100" s="52"/>
      <c r="E100" s="89" t="str">
        <f aca="false">IF(D100="","",IFERROR(INDEX(Teachers!$B$5:$B$304,MATCH(D100,Teachers!$A$5:$A$304,0)),""))</f>
        <v/>
      </c>
      <c r="F100" s="86"/>
      <c r="G100" s="85" t="str">
        <f aca="false">IF($A100="","",COUNTIFS(Students!$E$5:$E$304,$B100,Students!$F$5:$F$304,$C100,Students!$K$5:$K$304,"Active"))</f>
        <v/>
      </c>
      <c r="H100" s="85" t="str">
        <f aca="false">IF($A100="","",MAX(0,Settings!$B$7-G100))</f>
        <v/>
      </c>
      <c r="I100" s="85" t="str">
        <f aca="false">IF($A100="","",IF(G100&gt;=Settings!$B$7,"Full","Open"))</f>
        <v/>
      </c>
    </row>
    <row r="101" customFormat="false" ht="19.5" hidden="false" customHeight="true" outlineLevel="0" collapsed="false">
      <c r="A101" s="85" t="str">
        <f aca="false">IF(C101="","","C"&amp;TEXT(ROW()-4,"000"))</f>
        <v/>
      </c>
      <c r="B101" s="52"/>
      <c r="C101" s="52"/>
      <c r="D101" s="52"/>
      <c r="E101" s="89" t="str">
        <f aca="false">IF(D101="","",IFERROR(INDEX(Teachers!$B$5:$B$304,MATCH(D101,Teachers!$A$5:$A$304,0)),""))</f>
        <v/>
      </c>
      <c r="F101" s="86"/>
      <c r="G101" s="85" t="str">
        <f aca="false">IF($A101="","",COUNTIFS(Students!$E$5:$E$304,$B101,Students!$F$5:$F$304,$C101,Students!$K$5:$K$304,"Active"))</f>
        <v/>
      </c>
      <c r="H101" s="85" t="str">
        <f aca="false">IF($A101="","",MAX(0,Settings!$B$7-G101))</f>
        <v/>
      </c>
      <c r="I101" s="85" t="str">
        <f aca="false">IF($A101="","",IF(G101&gt;=Settings!$B$7,"Full","Open"))</f>
        <v/>
      </c>
    </row>
    <row r="102" customFormat="false" ht="19.5" hidden="false" customHeight="true" outlineLevel="0" collapsed="false">
      <c r="A102" s="85" t="str">
        <f aca="false">IF(C102="","","C"&amp;TEXT(ROW()-4,"000"))</f>
        <v/>
      </c>
      <c r="B102" s="52"/>
      <c r="C102" s="52"/>
      <c r="D102" s="52"/>
      <c r="E102" s="89" t="str">
        <f aca="false">IF(D102="","",IFERROR(INDEX(Teachers!$B$5:$B$304,MATCH(D102,Teachers!$A$5:$A$304,0)),""))</f>
        <v/>
      </c>
      <c r="F102" s="86"/>
      <c r="G102" s="85" t="str">
        <f aca="false">IF($A102="","",COUNTIFS(Students!$E$5:$E$304,$B102,Students!$F$5:$F$304,$C102,Students!$K$5:$K$304,"Active"))</f>
        <v/>
      </c>
      <c r="H102" s="85" t="str">
        <f aca="false">IF($A102="","",MAX(0,Settings!$B$7-G102))</f>
        <v/>
      </c>
      <c r="I102" s="85" t="str">
        <f aca="false">IF($A102="","",IF(G102&gt;=Settings!$B$7,"Full","Open"))</f>
        <v/>
      </c>
    </row>
    <row r="103" customFormat="false" ht="19.5" hidden="false" customHeight="true" outlineLevel="0" collapsed="false">
      <c r="A103" s="85" t="str">
        <f aca="false">IF(C103="","","C"&amp;TEXT(ROW()-4,"000"))</f>
        <v/>
      </c>
      <c r="B103" s="52"/>
      <c r="C103" s="52"/>
      <c r="D103" s="52"/>
      <c r="E103" s="89" t="str">
        <f aca="false">IF(D103="","",IFERROR(INDEX(Teachers!$B$5:$B$304,MATCH(D103,Teachers!$A$5:$A$304,0)),""))</f>
        <v/>
      </c>
      <c r="F103" s="86"/>
      <c r="G103" s="85" t="str">
        <f aca="false">IF($A103="","",COUNTIFS(Students!$E$5:$E$304,$B103,Students!$F$5:$F$304,$C103,Students!$K$5:$K$304,"Active"))</f>
        <v/>
      </c>
      <c r="H103" s="85" t="str">
        <f aca="false">IF($A103="","",MAX(0,Settings!$B$7-G103))</f>
        <v/>
      </c>
      <c r="I103" s="85" t="str">
        <f aca="false">IF($A103="","",IF(G103&gt;=Settings!$B$7,"Full","Open"))</f>
        <v/>
      </c>
    </row>
    <row r="104" customFormat="false" ht="19.5" hidden="false" customHeight="true" outlineLevel="0" collapsed="false">
      <c r="A104" s="85" t="str">
        <f aca="false">IF(C104="","","C"&amp;TEXT(ROW()-4,"000"))</f>
        <v/>
      </c>
      <c r="B104" s="52"/>
      <c r="C104" s="52"/>
      <c r="D104" s="52"/>
      <c r="E104" s="89" t="str">
        <f aca="false">IF(D104="","",IFERROR(INDEX(Teachers!$B$5:$B$304,MATCH(D104,Teachers!$A$5:$A$304,0)),""))</f>
        <v/>
      </c>
      <c r="F104" s="86"/>
      <c r="G104" s="85" t="str">
        <f aca="false">IF($A104="","",COUNTIFS(Students!$E$5:$E$304,$B104,Students!$F$5:$F$304,$C104,Students!$K$5:$K$304,"Active"))</f>
        <v/>
      </c>
      <c r="H104" s="85" t="str">
        <f aca="false">IF($A104="","",MAX(0,Settings!$B$7-G104))</f>
        <v/>
      </c>
      <c r="I104" s="85" t="str">
        <f aca="false">IF($A104="","",IF(G104&gt;=Settings!$B$7,"Full","Open"))</f>
        <v/>
      </c>
    </row>
    <row r="105" customFormat="false" ht="19.5" hidden="false" customHeight="true" outlineLevel="0" collapsed="false">
      <c r="A105" s="85" t="str">
        <f aca="false">IF(C105="","","C"&amp;TEXT(ROW()-4,"000"))</f>
        <v/>
      </c>
      <c r="B105" s="52"/>
      <c r="C105" s="52"/>
      <c r="D105" s="52"/>
      <c r="E105" s="89" t="str">
        <f aca="false">IF(D105="","",IFERROR(INDEX(Teachers!$B$5:$B$304,MATCH(D105,Teachers!$A$5:$A$304,0)),""))</f>
        <v/>
      </c>
      <c r="F105" s="86"/>
      <c r="G105" s="85" t="str">
        <f aca="false">IF($A105="","",COUNTIFS(Students!$E$5:$E$304,$B105,Students!$F$5:$F$304,$C105,Students!$K$5:$K$304,"Active"))</f>
        <v/>
      </c>
      <c r="H105" s="85" t="str">
        <f aca="false">IF($A105="","",MAX(0,Settings!$B$7-G105))</f>
        <v/>
      </c>
      <c r="I105" s="85" t="str">
        <f aca="false">IF($A105="","",IF(G105&gt;=Settings!$B$7,"Full","Open"))</f>
        <v/>
      </c>
    </row>
    <row r="106" customFormat="false" ht="19.5" hidden="false" customHeight="true" outlineLevel="0" collapsed="false">
      <c r="A106" s="85" t="str">
        <f aca="false">IF(C106="","","C"&amp;TEXT(ROW()-4,"000"))</f>
        <v/>
      </c>
      <c r="B106" s="52"/>
      <c r="C106" s="52"/>
      <c r="D106" s="52"/>
      <c r="E106" s="89" t="str">
        <f aca="false">IF(D106="","",IFERROR(INDEX(Teachers!$B$5:$B$304,MATCH(D106,Teachers!$A$5:$A$304,0)),""))</f>
        <v/>
      </c>
      <c r="F106" s="86"/>
      <c r="G106" s="85" t="str">
        <f aca="false">IF($A106="","",COUNTIFS(Students!$E$5:$E$304,$B106,Students!$F$5:$F$304,$C106,Students!$K$5:$K$304,"Active"))</f>
        <v/>
      </c>
      <c r="H106" s="85" t="str">
        <f aca="false">IF($A106="","",MAX(0,Settings!$B$7-G106))</f>
        <v/>
      </c>
      <c r="I106" s="85" t="str">
        <f aca="false">IF($A106="","",IF(G106&gt;=Settings!$B$7,"Full","Open"))</f>
        <v/>
      </c>
    </row>
    <row r="107" customFormat="false" ht="19.5" hidden="false" customHeight="true" outlineLevel="0" collapsed="false">
      <c r="A107" s="85" t="str">
        <f aca="false">IF(C107="","","C"&amp;TEXT(ROW()-4,"000"))</f>
        <v/>
      </c>
      <c r="B107" s="52"/>
      <c r="C107" s="52"/>
      <c r="D107" s="52"/>
      <c r="E107" s="89" t="str">
        <f aca="false">IF(D107="","",IFERROR(INDEX(Teachers!$B$5:$B$304,MATCH(D107,Teachers!$A$5:$A$304,0)),""))</f>
        <v/>
      </c>
      <c r="F107" s="86"/>
      <c r="G107" s="85" t="str">
        <f aca="false">IF($A107="","",COUNTIFS(Students!$E$5:$E$304,$B107,Students!$F$5:$F$304,$C107,Students!$K$5:$K$304,"Active"))</f>
        <v/>
      </c>
      <c r="H107" s="85" t="str">
        <f aca="false">IF($A107="","",MAX(0,Settings!$B$7-G107))</f>
        <v/>
      </c>
      <c r="I107" s="85" t="str">
        <f aca="false">IF($A107="","",IF(G107&gt;=Settings!$B$7,"Full","Open"))</f>
        <v/>
      </c>
    </row>
    <row r="108" customFormat="false" ht="19.5" hidden="false" customHeight="true" outlineLevel="0" collapsed="false">
      <c r="A108" s="85" t="str">
        <f aca="false">IF(C108="","","C"&amp;TEXT(ROW()-4,"000"))</f>
        <v/>
      </c>
      <c r="B108" s="52"/>
      <c r="C108" s="52"/>
      <c r="D108" s="52"/>
      <c r="E108" s="89" t="str">
        <f aca="false">IF(D108="","",IFERROR(INDEX(Teachers!$B$5:$B$304,MATCH(D108,Teachers!$A$5:$A$304,0)),""))</f>
        <v/>
      </c>
      <c r="F108" s="86"/>
      <c r="G108" s="85" t="str">
        <f aca="false">IF($A108="","",COUNTIFS(Students!$E$5:$E$304,$B108,Students!$F$5:$F$304,$C108,Students!$K$5:$K$304,"Active"))</f>
        <v/>
      </c>
      <c r="H108" s="85" t="str">
        <f aca="false">IF($A108="","",MAX(0,Settings!$B$7-G108))</f>
        <v/>
      </c>
      <c r="I108" s="85" t="str">
        <f aca="false">IF($A108="","",IF(G108&gt;=Settings!$B$7,"Full","Open"))</f>
        <v/>
      </c>
    </row>
    <row r="109" customFormat="false" ht="19.5" hidden="false" customHeight="true" outlineLevel="0" collapsed="false">
      <c r="A109" s="85" t="str">
        <f aca="false">IF(C109="","","C"&amp;TEXT(ROW()-4,"000"))</f>
        <v/>
      </c>
      <c r="B109" s="52"/>
      <c r="C109" s="52"/>
      <c r="D109" s="52"/>
      <c r="E109" s="89" t="str">
        <f aca="false">IF(D109="","",IFERROR(INDEX(Teachers!$B$5:$B$304,MATCH(D109,Teachers!$A$5:$A$304,0)),""))</f>
        <v/>
      </c>
      <c r="F109" s="86"/>
      <c r="G109" s="85" t="str">
        <f aca="false">IF($A109="","",COUNTIFS(Students!$E$5:$E$304,$B109,Students!$F$5:$F$304,$C109,Students!$K$5:$K$304,"Active"))</f>
        <v/>
      </c>
      <c r="H109" s="85" t="str">
        <f aca="false">IF($A109="","",MAX(0,Settings!$B$7-G109))</f>
        <v/>
      </c>
      <c r="I109" s="85" t="str">
        <f aca="false">IF($A109="","",IF(G109&gt;=Settings!$B$7,"Full","Open"))</f>
        <v/>
      </c>
    </row>
    <row r="110" customFormat="false" ht="19.5" hidden="false" customHeight="true" outlineLevel="0" collapsed="false">
      <c r="A110" s="85" t="str">
        <f aca="false">IF(C110="","","C"&amp;TEXT(ROW()-4,"000"))</f>
        <v/>
      </c>
      <c r="B110" s="52"/>
      <c r="C110" s="52"/>
      <c r="D110" s="52"/>
      <c r="E110" s="89" t="str">
        <f aca="false">IF(D110="","",IFERROR(INDEX(Teachers!$B$5:$B$304,MATCH(D110,Teachers!$A$5:$A$304,0)),""))</f>
        <v/>
      </c>
      <c r="F110" s="86"/>
      <c r="G110" s="85" t="str">
        <f aca="false">IF($A110="","",COUNTIFS(Students!$E$5:$E$304,$B110,Students!$F$5:$F$304,$C110,Students!$K$5:$K$304,"Active"))</f>
        <v/>
      </c>
      <c r="H110" s="85" t="str">
        <f aca="false">IF($A110="","",MAX(0,Settings!$B$7-G110))</f>
        <v/>
      </c>
      <c r="I110" s="85" t="str">
        <f aca="false">IF($A110="","",IF(G110&gt;=Settings!$B$7,"Full","Open"))</f>
        <v/>
      </c>
    </row>
    <row r="111" customFormat="false" ht="19.5" hidden="false" customHeight="true" outlineLevel="0" collapsed="false">
      <c r="A111" s="85" t="str">
        <f aca="false">IF(C111="","","C"&amp;TEXT(ROW()-4,"000"))</f>
        <v/>
      </c>
      <c r="B111" s="52"/>
      <c r="C111" s="52"/>
      <c r="D111" s="52"/>
      <c r="E111" s="89" t="str">
        <f aca="false">IF(D111="","",IFERROR(INDEX(Teachers!$B$5:$B$304,MATCH(D111,Teachers!$A$5:$A$304,0)),""))</f>
        <v/>
      </c>
      <c r="F111" s="86"/>
      <c r="G111" s="85" t="str">
        <f aca="false">IF($A111="","",COUNTIFS(Students!$E$5:$E$304,$B111,Students!$F$5:$F$304,$C111,Students!$K$5:$K$304,"Active"))</f>
        <v/>
      </c>
      <c r="H111" s="85" t="str">
        <f aca="false">IF($A111="","",MAX(0,Settings!$B$7-G111))</f>
        <v/>
      </c>
      <c r="I111" s="85" t="str">
        <f aca="false">IF($A111="","",IF(G111&gt;=Settings!$B$7,"Full","Open"))</f>
        <v/>
      </c>
    </row>
    <row r="112" customFormat="false" ht="19.5" hidden="false" customHeight="true" outlineLevel="0" collapsed="false">
      <c r="A112" s="85" t="str">
        <f aca="false">IF(C112="","","C"&amp;TEXT(ROW()-4,"000"))</f>
        <v/>
      </c>
      <c r="B112" s="52"/>
      <c r="C112" s="52"/>
      <c r="D112" s="52"/>
      <c r="E112" s="89" t="str">
        <f aca="false">IF(D112="","",IFERROR(INDEX(Teachers!$B$5:$B$304,MATCH(D112,Teachers!$A$5:$A$304,0)),""))</f>
        <v/>
      </c>
      <c r="F112" s="86"/>
      <c r="G112" s="85" t="str">
        <f aca="false">IF($A112="","",COUNTIFS(Students!$E$5:$E$304,$B112,Students!$F$5:$F$304,$C112,Students!$K$5:$K$304,"Active"))</f>
        <v/>
      </c>
      <c r="H112" s="85" t="str">
        <f aca="false">IF($A112="","",MAX(0,Settings!$B$7-G112))</f>
        <v/>
      </c>
      <c r="I112" s="85" t="str">
        <f aca="false">IF($A112="","",IF(G112&gt;=Settings!$B$7,"Full","Open"))</f>
        <v/>
      </c>
    </row>
    <row r="113" customFormat="false" ht="19.5" hidden="false" customHeight="true" outlineLevel="0" collapsed="false">
      <c r="A113" s="85" t="str">
        <f aca="false">IF(C113="","","C"&amp;TEXT(ROW()-4,"000"))</f>
        <v/>
      </c>
      <c r="B113" s="52"/>
      <c r="C113" s="52"/>
      <c r="D113" s="52"/>
      <c r="E113" s="89" t="str">
        <f aca="false">IF(D113="","",IFERROR(INDEX(Teachers!$B$5:$B$304,MATCH(D113,Teachers!$A$5:$A$304,0)),""))</f>
        <v/>
      </c>
      <c r="F113" s="86"/>
      <c r="G113" s="85" t="str">
        <f aca="false">IF($A113="","",COUNTIFS(Students!$E$5:$E$304,$B113,Students!$F$5:$F$304,$C113,Students!$K$5:$K$304,"Active"))</f>
        <v/>
      </c>
      <c r="H113" s="85" t="str">
        <f aca="false">IF($A113="","",MAX(0,Settings!$B$7-G113))</f>
        <v/>
      </c>
      <c r="I113" s="85" t="str">
        <f aca="false">IF($A113="","",IF(G113&gt;=Settings!$B$7,"Full","Open"))</f>
        <v/>
      </c>
    </row>
    <row r="114" customFormat="false" ht="19.5" hidden="false" customHeight="true" outlineLevel="0" collapsed="false">
      <c r="A114" s="85" t="str">
        <f aca="false">IF(C114="","","C"&amp;TEXT(ROW()-4,"000"))</f>
        <v/>
      </c>
      <c r="B114" s="52"/>
      <c r="C114" s="52"/>
      <c r="D114" s="52"/>
      <c r="E114" s="89" t="str">
        <f aca="false">IF(D114="","",IFERROR(INDEX(Teachers!$B$5:$B$304,MATCH(D114,Teachers!$A$5:$A$304,0)),""))</f>
        <v/>
      </c>
      <c r="F114" s="86"/>
      <c r="G114" s="85" t="str">
        <f aca="false">IF($A114="","",COUNTIFS(Students!$E$5:$E$304,$B114,Students!$F$5:$F$304,$C114,Students!$K$5:$K$304,"Active"))</f>
        <v/>
      </c>
      <c r="H114" s="85" t="str">
        <f aca="false">IF($A114="","",MAX(0,Settings!$B$7-G114))</f>
        <v/>
      </c>
      <c r="I114" s="85" t="str">
        <f aca="false">IF($A114="","",IF(G114&gt;=Settings!$B$7,"Full","Open"))</f>
        <v/>
      </c>
    </row>
    <row r="115" customFormat="false" ht="19.5" hidden="false" customHeight="true" outlineLevel="0" collapsed="false">
      <c r="A115" s="85" t="str">
        <f aca="false">IF(C115="","","C"&amp;TEXT(ROW()-4,"000"))</f>
        <v/>
      </c>
      <c r="B115" s="52"/>
      <c r="C115" s="52"/>
      <c r="D115" s="52"/>
      <c r="E115" s="89" t="str">
        <f aca="false">IF(D115="","",IFERROR(INDEX(Teachers!$B$5:$B$304,MATCH(D115,Teachers!$A$5:$A$304,0)),""))</f>
        <v/>
      </c>
      <c r="F115" s="86"/>
      <c r="G115" s="85" t="str">
        <f aca="false">IF($A115="","",COUNTIFS(Students!$E$5:$E$304,$B115,Students!$F$5:$F$304,$C115,Students!$K$5:$K$304,"Active"))</f>
        <v/>
      </c>
      <c r="H115" s="85" t="str">
        <f aca="false">IF($A115="","",MAX(0,Settings!$B$7-G115))</f>
        <v/>
      </c>
      <c r="I115" s="85" t="str">
        <f aca="false">IF($A115="","",IF(G115&gt;=Settings!$B$7,"Full","Open"))</f>
        <v/>
      </c>
    </row>
    <row r="116" customFormat="false" ht="19.5" hidden="false" customHeight="true" outlineLevel="0" collapsed="false">
      <c r="A116" s="85" t="str">
        <f aca="false">IF(C116="","","C"&amp;TEXT(ROW()-4,"000"))</f>
        <v/>
      </c>
      <c r="B116" s="52"/>
      <c r="C116" s="52"/>
      <c r="D116" s="52"/>
      <c r="E116" s="89" t="str">
        <f aca="false">IF(D116="","",IFERROR(INDEX(Teachers!$B$5:$B$304,MATCH(D116,Teachers!$A$5:$A$304,0)),""))</f>
        <v/>
      </c>
      <c r="F116" s="86"/>
      <c r="G116" s="85" t="str">
        <f aca="false">IF($A116="","",COUNTIFS(Students!$E$5:$E$304,$B116,Students!$F$5:$F$304,$C116,Students!$K$5:$K$304,"Active"))</f>
        <v/>
      </c>
      <c r="H116" s="85" t="str">
        <f aca="false">IF($A116="","",MAX(0,Settings!$B$7-G116))</f>
        <v/>
      </c>
      <c r="I116" s="85" t="str">
        <f aca="false">IF($A116="","",IF(G116&gt;=Settings!$B$7,"Full","Open"))</f>
        <v/>
      </c>
    </row>
    <row r="117" customFormat="false" ht="19.5" hidden="false" customHeight="true" outlineLevel="0" collapsed="false">
      <c r="A117" s="85" t="str">
        <f aca="false">IF(C117="","","C"&amp;TEXT(ROW()-4,"000"))</f>
        <v/>
      </c>
      <c r="B117" s="52"/>
      <c r="C117" s="52"/>
      <c r="D117" s="52"/>
      <c r="E117" s="89" t="str">
        <f aca="false">IF(D117="","",IFERROR(INDEX(Teachers!$B$5:$B$304,MATCH(D117,Teachers!$A$5:$A$304,0)),""))</f>
        <v/>
      </c>
      <c r="F117" s="86"/>
      <c r="G117" s="85" t="str">
        <f aca="false">IF($A117="","",COUNTIFS(Students!$E$5:$E$304,$B117,Students!$F$5:$F$304,$C117,Students!$K$5:$K$304,"Active"))</f>
        <v/>
      </c>
      <c r="H117" s="85" t="str">
        <f aca="false">IF($A117="","",MAX(0,Settings!$B$7-G117))</f>
        <v/>
      </c>
      <c r="I117" s="85" t="str">
        <f aca="false">IF($A117="","",IF(G117&gt;=Settings!$B$7,"Full","Open"))</f>
        <v/>
      </c>
    </row>
    <row r="118" customFormat="false" ht="19.5" hidden="false" customHeight="true" outlineLevel="0" collapsed="false">
      <c r="A118" s="85" t="str">
        <f aca="false">IF(C118="","","C"&amp;TEXT(ROW()-4,"000"))</f>
        <v/>
      </c>
      <c r="B118" s="52"/>
      <c r="C118" s="52"/>
      <c r="D118" s="52"/>
      <c r="E118" s="89" t="str">
        <f aca="false">IF(D118="","",IFERROR(INDEX(Teachers!$B$5:$B$304,MATCH(D118,Teachers!$A$5:$A$304,0)),""))</f>
        <v/>
      </c>
      <c r="F118" s="86"/>
      <c r="G118" s="85" t="str">
        <f aca="false">IF($A118="","",COUNTIFS(Students!$E$5:$E$304,$B118,Students!$F$5:$F$304,$C118,Students!$K$5:$K$304,"Active"))</f>
        <v/>
      </c>
      <c r="H118" s="85" t="str">
        <f aca="false">IF($A118="","",MAX(0,Settings!$B$7-G118))</f>
        <v/>
      </c>
      <c r="I118" s="85" t="str">
        <f aca="false">IF($A118="","",IF(G118&gt;=Settings!$B$7,"Full","Open"))</f>
        <v/>
      </c>
    </row>
    <row r="119" customFormat="false" ht="19.5" hidden="false" customHeight="true" outlineLevel="0" collapsed="false">
      <c r="A119" s="85" t="str">
        <f aca="false">IF(C119="","","C"&amp;TEXT(ROW()-4,"000"))</f>
        <v/>
      </c>
      <c r="B119" s="52"/>
      <c r="C119" s="52"/>
      <c r="D119" s="52"/>
      <c r="E119" s="89" t="str">
        <f aca="false">IF(D119="","",IFERROR(INDEX(Teachers!$B$5:$B$304,MATCH(D119,Teachers!$A$5:$A$304,0)),""))</f>
        <v/>
      </c>
      <c r="F119" s="86"/>
      <c r="G119" s="85" t="str">
        <f aca="false">IF($A119="","",COUNTIFS(Students!$E$5:$E$304,$B119,Students!$F$5:$F$304,$C119,Students!$K$5:$K$304,"Active"))</f>
        <v/>
      </c>
      <c r="H119" s="85" t="str">
        <f aca="false">IF($A119="","",MAX(0,Settings!$B$7-G119))</f>
        <v/>
      </c>
      <c r="I119" s="85" t="str">
        <f aca="false">IF($A119="","",IF(G119&gt;=Settings!$B$7,"Full","Open"))</f>
        <v/>
      </c>
    </row>
    <row r="120" customFormat="false" ht="19.5" hidden="false" customHeight="true" outlineLevel="0" collapsed="false">
      <c r="A120" s="85" t="str">
        <f aca="false">IF(C120="","","C"&amp;TEXT(ROW()-4,"000"))</f>
        <v/>
      </c>
      <c r="B120" s="52"/>
      <c r="C120" s="52"/>
      <c r="D120" s="52"/>
      <c r="E120" s="89" t="str">
        <f aca="false">IF(D120="","",IFERROR(INDEX(Teachers!$B$5:$B$304,MATCH(D120,Teachers!$A$5:$A$304,0)),""))</f>
        <v/>
      </c>
      <c r="F120" s="86"/>
      <c r="G120" s="85" t="str">
        <f aca="false">IF($A120="","",COUNTIFS(Students!$E$5:$E$304,$B120,Students!$F$5:$F$304,$C120,Students!$K$5:$K$304,"Active"))</f>
        <v/>
      </c>
      <c r="H120" s="85" t="str">
        <f aca="false">IF($A120="","",MAX(0,Settings!$B$7-G120))</f>
        <v/>
      </c>
      <c r="I120" s="85" t="str">
        <f aca="false">IF($A120="","",IF(G120&gt;=Settings!$B$7,"Full","Open"))</f>
        <v/>
      </c>
    </row>
    <row r="121" customFormat="false" ht="19.5" hidden="false" customHeight="true" outlineLevel="0" collapsed="false">
      <c r="A121" s="85" t="str">
        <f aca="false">IF(C121="","","C"&amp;TEXT(ROW()-4,"000"))</f>
        <v/>
      </c>
      <c r="B121" s="52"/>
      <c r="C121" s="52"/>
      <c r="D121" s="52"/>
      <c r="E121" s="89" t="str">
        <f aca="false">IF(D121="","",IFERROR(INDEX(Teachers!$B$5:$B$304,MATCH(D121,Teachers!$A$5:$A$304,0)),""))</f>
        <v/>
      </c>
      <c r="F121" s="86"/>
      <c r="G121" s="85" t="str">
        <f aca="false">IF($A121="","",COUNTIFS(Students!$E$5:$E$304,$B121,Students!$F$5:$F$304,$C121,Students!$K$5:$K$304,"Active"))</f>
        <v/>
      </c>
      <c r="H121" s="85" t="str">
        <f aca="false">IF($A121="","",MAX(0,Settings!$B$7-G121))</f>
        <v/>
      </c>
      <c r="I121" s="85" t="str">
        <f aca="false">IF($A121="","",IF(G121&gt;=Settings!$B$7,"Full","Open"))</f>
        <v/>
      </c>
    </row>
    <row r="122" customFormat="false" ht="19.5" hidden="false" customHeight="true" outlineLevel="0" collapsed="false">
      <c r="A122" s="85" t="str">
        <f aca="false">IF(C122="","","C"&amp;TEXT(ROW()-4,"000"))</f>
        <v/>
      </c>
      <c r="B122" s="52"/>
      <c r="C122" s="52"/>
      <c r="D122" s="52"/>
      <c r="E122" s="89" t="str">
        <f aca="false">IF(D122="","",IFERROR(INDEX(Teachers!$B$5:$B$304,MATCH(D122,Teachers!$A$5:$A$304,0)),""))</f>
        <v/>
      </c>
      <c r="F122" s="86"/>
      <c r="G122" s="85" t="str">
        <f aca="false">IF($A122="","",COUNTIFS(Students!$E$5:$E$304,$B122,Students!$F$5:$F$304,$C122,Students!$K$5:$K$304,"Active"))</f>
        <v/>
      </c>
      <c r="H122" s="85" t="str">
        <f aca="false">IF($A122="","",MAX(0,Settings!$B$7-G122))</f>
        <v/>
      </c>
      <c r="I122" s="85" t="str">
        <f aca="false">IF($A122="","",IF(G122&gt;=Settings!$B$7,"Full","Open"))</f>
        <v/>
      </c>
    </row>
    <row r="123" customFormat="false" ht="19.5" hidden="false" customHeight="true" outlineLevel="0" collapsed="false">
      <c r="A123" s="85" t="str">
        <f aca="false">IF(C123="","","C"&amp;TEXT(ROW()-4,"000"))</f>
        <v/>
      </c>
      <c r="B123" s="52"/>
      <c r="C123" s="52"/>
      <c r="D123" s="52"/>
      <c r="E123" s="89" t="str">
        <f aca="false">IF(D123="","",IFERROR(INDEX(Teachers!$B$5:$B$304,MATCH(D123,Teachers!$A$5:$A$304,0)),""))</f>
        <v/>
      </c>
      <c r="F123" s="86"/>
      <c r="G123" s="85" t="str">
        <f aca="false">IF($A123="","",COUNTIFS(Students!$E$5:$E$304,$B123,Students!$F$5:$F$304,$C123,Students!$K$5:$K$304,"Active"))</f>
        <v/>
      </c>
      <c r="H123" s="85" t="str">
        <f aca="false">IF($A123="","",MAX(0,Settings!$B$7-G123))</f>
        <v/>
      </c>
      <c r="I123" s="85" t="str">
        <f aca="false">IF($A123="","",IF(G123&gt;=Settings!$B$7,"Full","Open"))</f>
        <v/>
      </c>
    </row>
    <row r="124" customFormat="false" ht="19.5" hidden="false" customHeight="true" outlineLevel="0" collapsed="false">
      <c r="A124" s="85" t="str">
        <f aca="false">IF(C124="","","C"&amp;TEXT(ROW()-4,"000"))</f>
        <v/>
      </c>
      <c r="B124" s="52"/>
      <c r="C124" s="52"/>
      <c r="D124" s="52"/>
      <c r="E124" s="89" t="str">
        <f aca="false">IF(D124="","",IFERROR(INDEX(Teachers!$B$5:$B$304,MATCH(D124,Teachers!$A$5:$A$304,0)),""))</f>
        <v/>
      </c>
      <c r="F124" s="86"/>
      <c r="G124" s="85" t="str">
        <f aca="false">IF($A124="","",COUNTIFS(Students!$E$5:$E$304,$B124,Students!$F$5:$F$304,$C124,Students!$K$5:$K$304,"Active"))</f>
        <v/>
      </c>
      <c r="H124" s="85" t="str">
        <f aca="false">IF($A124="","",MAX(0,Settings!$B$7-G124))</f>
        <v/>
      </c>
      <c r="I124" s="85" t="str">
        <f aca="false">IF($A124="","",IF(G124&gt;=Settings!$B$7,"Full","Open"))</f>
        <v/>
      </c>
    </row>
    <row r="125" customFormat="false" ht="19.5" hidden="false" customHeight="true" outlineLevel="0" collapsed="false">
      <c r="A125" s="85" t="str">
        <f aca="false">IF(C125="","","C"&amp;TEXT(ROW()-4,"000"))</f>
        <v/>
      </c>
      <c r="B125" s="52"/>
      <c r="C125" s="52"/>
      <c r="D125" s="52"/>
      <c r="E125" s="89" t="str">
        <f aca="false">IF(D125="","",IFERROR(INDEX(Teachers!$B$5:$B$304,MATCH(D125,Teachers!$A$5:$A$304,0)),""))</f>
        <v/>
      </c>
      <c r="F125" s="86"/>
      <c r="G125" s="85" t="str">
        <f aca="false">IF($A125="","",COUNTIFS(Students!$E$5:$E$304,$B125,Students!$F$5:$F$304,$C125,Students!$K$5:$K$304,"Active"))</f>
        <v/>
      </c>
      <c r="H125" s="85" t="str">
        <f aca="false">IF($A125="","",MAX(0,Settings!$B$7-G125))</f>
        <v/>
      </c>
      <c r="I125" s="85" t="str">
        <f aca="false">IF($A125="","",IF(G125&gt;=Settings!$B$7,"Full","Open"))</f>
        <v/>
      </c>
    </row>
    <row r="126" customFormat="false" ht="19.5" hidden="false" customHeight="true" outlineLevel="0" collapsed="false">
      <c r="A126" s="85" t="str">
        <f aca="false">IF(C126="","","C"&amp;TEXT(ROW()-4,"000"))</f>
        <v/>
      </c>
      <c r="B126" s="52"/>
      <c r="C126" s="52"/>
      <c r="D126" s="52"/>
      <c r="E126" s="89" t="str">
        <f aca="false">IF(D126="","",IFERROR(INDEX(Teachers!$B$5:$B$304,MATCH(D126,Teachers!$A$5:$A$304,0)),""))</f>
        <v/>
      </c>
      <c r="F126" s="86"/>
      <c r="G126" s="85" t="str">
        <f aca="false">IF($A126="","",COUNTIFS(Students!$E$5:$E$304,$B126,Students!$F$5:$F$304,$C126,Students!$K$5:$K$304,"Active"))</f>
        <v/>
      </c>
      <c r="H126" s="85" t="str">
        <f aca="false">IF($A126="","",MAX(0,Settings!$B$7-G126))</f>
        <v/>
      </c>
      <c r="I126" s="85" t="str">
        <f aca="false">IF($A126="","",IF(G126&gt;=Settings!$B$7,"Full","Open"))</f>
        <v/>
      </c>
    </row>
    <row r="127" customFormat="false" ht="19.5" hidden="false" customHeight="true" outlineLevel="0" collapsed="false">
      <c r="A127" s="85" t="str">
        <f aca="false">IF(C127="","","C"&amp;TEXT(ROW()-4,"000"))</f>
        <v/>
      </c>
      <c r="B127" s="52"/>
      <c r="C127" s="52"/>
      <c r="D127" s="52"/>
      <c r="E127" s="89" t="str">
        <f aca="false">IF(D127="","",IFERROR(INDEX(Teachers!$B$5:$B$304,MATCH(D127,Teachers!$A$5:$A$304,0)),""))</f>
        <v/>
      </c>
      <c r="F127" s="86"/>
      <c r="G127" s="85" t="str">
        <f aca="false">IF($A127="","",COUNTIFS(Students!$E$5:$E$304,$B127,Students!$F$5:$F$304,$C127,Students!$K$5:$K$304,"Active"))</f>
        <v/>
      </c>
      <c r="H127" s="85" t="str">
        <f aca="false">IF($A127="","",MAX(0,Settings!$B$7-G127))</f>
        <v/>
      </c>
      <c r="I127" s="85" t="str">
        <f aca="false">IF($A127="","",IF(G127&gt;=Settings!$B$7,"Full","Open"))</f>
        <v/>
      </c>
    </row>
    <row r="128" customFormat="false" ht="19.5" hidden="false" customHeight="true" outlineLevel="0" collapsed="false">
      <c r="A128" s="85" t="str">
        <f aca="false">IF(C128="","","C"&amp;TEXT(ROW()-4,"000"))</f>
        <v/>
      </c>
      <c r="B128" s="52"/>
      <c r="C128" s="52"/>
      <c r="D128" s="52"/>
      <c r="E128" s="89" t="str">
        <f aca="false">IF(D128="","",IFERROR(INDEX(Teachers!$B$5:$B$304,MATCH(D128,Teachers!$A$5:$A$304,0)),""))</f>
        <v/>
      </c>
      <c r="F128" s="86"/>
      <c r="G128" s="85" t="str">
        <f aca="false">IF($A128="","",COUNTIFS(Students!$E$5:$E$304,$B128,Students!$F$5:$F$304,$C128,Students!$K$5:$K$304,"Active"))</f>
        <v/>
      </c>
      <c r="H128" s="85" t="str">
        <f aca="false">IF($A128="","",MAX(0,Settings!$B$7-G128))</f>
        <v/>
      </c>
      <c r="I128" s="85" t="str">
        <f aca="false">IF($A128="","",IF(G128&gt;=Settings!$B$7,"Full","Open"))</f>
        <v/>
      </c>
    </row>
    <row r="129" customFormat="false" ht="19.5" hidden="false" customHeight="true" outlineLevel="0" collapsed="false">
      <c r="A129" s="85" t="str">
        <f aca="false">IF(C129="","","C"&amp;TEXT(ROW()-4,"000"))</f>
        <v/>
      </c>
      <c r="B129" s="52"/>
      <c r="C129" s="52"/>
      <c r="D129" s="52"/>
      <c r="E129" s="89" t="str">
        <f aca="false">IF(D129="","",IFERROR(INDEX(Teachers!$B$5:$B$304,MATCH(D129,Teachers!$A$5:$A$304,0)),""))</f>
        <v/>
      </c>
      <c r="F129" s="86"/>
      <c r="G129" s="85" t="str">
        <f aca="false">IF($A129="","",COUNTIFS(Students!$E$5:$E$304,$B129,Students!$F$5:$F$304,$C129,Students!$K$5:$K$304,"Active"))</f>
        <v/>
      </c>
      <c r="H129" s="85" t="str">
        <f aca="false">IF($A129="","",MAX(0,Settings!$B$7-G129))</f>
        <v/>
      </c>
      <c r="I129" s="85" t="str">
        <f aca="false">IF($A129="","",IF(G129&gt;=Settings!$B$7,"Full","Open"))</f>
        <v/>
      </c>
    </row>
    <row r="130" customFormat="false" ht="19.5" hidden="false" customHeight="true" outlineLevel="0" collapsed="false">
      <c r="A130" s="85" t="str">
        <f aca="false">IF(C130="","","C"&amp;TEXT(ROW()-4,"000"))</f>
        <v/>
      </c>
      <c r="B130" s="52"/>
      <c r="C130" s="52"/>
      <c r="D130" s="52"/>
      <c r="E130" s="89" t="str">
        <f aca="false">IF(D130="","",IFERROR(INDEX(Teachers!$B$5:$B$304,MATCH(D130,Teachers!$A$5:$A$304,0)),""))</f>
        <v/>
      </c>
      <c r="F130" s="86"/>
      <c r="G130" s="85" t="str">
        <f aca="false">IF($A130="","",COUNTIFS(Students!$E$5:$E$304,$B130,Students!$F$5:$F$304,$C130,Students!$K$5:$K$304,"Active"))</f>
        <v/>
      </c>
      <c r="H130" s="85" t="str">
        <f aca="false">IF($A130="","",MAX(0,Settings!$B$7-G130))</f>
        <v/>
      </c>
      <c r="I130" s="85" t="str">
        <f aca="false">IF($A130="","",IF(G130&gt;=Settings!$B$7,"Full","Open"))</f>
        <v/>
      </c>
    </row>
    <row r="131" customFormat="false" ht="19.5" hidden="false" customHeight="true" outlineLevel="0" collapsed="false">
      <c r="A131" s="85" t="str">
        <f aca="false">IF(C131="","","C"&amp;TEXT(ROW()-4,"000"))</f>
        <v/>
      </c>
      <c r="B131" s="52"/>
      <c r="C131" s="52"/>
      <c r="D131" s="52"/>
      <c r="E131" s="89" t="str">
        <f aca="false">IF(D131="","",IFERROR(INDEX(Teachers!$B$5:$B$304,MATCH(D131,Teachers!$A$5:$A$304,0)),""))</f>
        <v/>
      </c>
      <c r="F131" s="86"/>
      <c r="G131" s="85" t="str">
        <f aca="false">IF($A131="","",COUNTIFS(Students!$E$5:$E$304,$B131,Students!$F$5:$F$304,$C131,Students!$K$5:$K$304,"Active"))</f>
        <v/>
      </c>
      <c r="H131" s="85" t="str">
        <f aca="false">IF($A131="","",MAX(0,Settings!$B$7-G131))</f>
        <v/>
      </c>
      <c r="I131" s="85" t="str">
        <f aca="false">IF($A131="","",IF(G131&gt;=Settings!$B$7,"Full","Open"))</f>
        <v/>
      </c>
    </row>
    <row r="132" customFormat="false" ht="19.5" hidden="false" customHeight="true" outlineLevel="0" collapsed="false">
      <c r="A132" s="85" t="str">
        <f aca="false">IF(C132="","","C"&amp;TEXT(ROW()-4,"000"))</f>
        <v/>
      </c>
      <c r="B132" s="52"/>
      <c r="C132" s="52"/>
      <c r="D132" s="52"/>
      <c r="E132" s="89" t="str">
        <f aca="false">IF(D132="","",IFERROR(INDEX(Teachers!$B$5:$B$304,MATCH(D132,Teachers!$A$5:$A$304,0)),""))</f>
        <v/>
      </c>
      <c r="F132" s="86"/>
      <c r="G132" s="85" t="str">
        <f aca="false">IF($A132="","",COUNTIFS(Students!$E$5:$E$304,$B132,Students!$F$5:$F$304,$C132,Students!$K$5:$K$304,"Active"))</f>
        <v/>
      </c>
      <c r="H132" s="85" t="str">
        <f aca="false">IF($A132="","",MAX(0,Settings!$B$7-G132))</f>
        <v/>
      </c>
      <c r="I132" s="85" t="str">
        <f aca="false">IF($A132="","",IF(G132&gt;=Settings!$B$7,"Full","Open"))</f>
        <v/>
      </c>
    </row>
    <row r="133" customFormat="false" ht="19.5" hidden="false" customHeight="true" outlineLevel="0" collapsed="false">
      <c r="A133" s="85" t="str">
        <f aca="false">IF(C133="","","C"&amp;TEXT(ROW()-4,"000"))</f>
        <v/>
      </c>
      <c r="B133" s="52"/>
      <c r="C133" s="52"/>
      <c r="D133" s="52"/>
      <c r="E133" s="89" t="str">
        <f aca="false">IF(D133="","",IFERROR(INDEX(Teachers!$B$5:$B$304,MATCH(D133,Teachers!$A$5:$A$304,0)),""))</f>
        <v/>
      </c>
      <c r="F133" s="86"/>
      <c r="G133" s="85" t="str">
        <f aca="false">IF($A133="","",COUNTIFS(Students!$E$5:$E$304,$B133,Students!$F$5:$F$304,$C133,Students!$K$5:$K$304,"Active"))</f>
        <v/>
      </c>
      <c r="H133" s="85" t="str">
        <f aca="false">IF($A133="","",MAX(0,Settings!$B$7-G133))</f>
        <v/>
      </c>
      <c r="I133" s="85" t="str">
        <f aca="false">IF($A133="","",IF(G133&gt;=Settings!$B$7,"Full","Open"))</f>
        <v/>
      </c>
    </row>
    <row r="134" customFormat="false" ht="19.5" hidden="false" customHeight="true" outlineLevel="0" collapsed="false">
      <c r="A134" s="85" t="str">
        <f aca="false">IF(C134="","","C"&amp;TEXT(ROW()-4,"000"))</f>
        <v/>
      </c>
      <c r="B134" s="52"/>
      <c r="C134" s="52"/>
      <c r="D134" s="52"/>
      <c r="E134" s="89" t="str">
        <f aca="false">IF(D134="","",IFERROR(INDEX(Teachers!$B$5:$B$304,MATCH(D134,Teachers!$A$5:$A$304,0)),""))</f>
        <v/>
      </c>
      <c r="F134" s="86"/>
      <c r="G134" s="85" t="str">
        <f aca="false">IF($A134="","",COUNTIFS(Students!$E$5:$E$304,$B134,Students!$F$5:$F$304,$C134,Students!$K$5:$K$304,"Active"))</f>
        <v/>
      </c>
      <c r="H134" s="85" t="str">
        <f aca="false">IF($A134="","",MAX(0,Settings!$B$7-G134))</f>
        <v/>
      </c>
      <c r="I134" s="85" t="str">
        <f aca="false">IF($A134="","",IF(G134&gt;=Settings!$B$7,"Full","Open"))</f>
        <v/>
      </c>
    </row>
    <row r="135" customFormat="false" ht="19.5" hidden="false" customHeight="true" outlineLevel="0" collapsed="false">
      <c r="A135" s="85" t="str">
        <f aca="false">IF(C135="","","C"&amp;TEXT(ROW()-4,"000"))</f>
        <v/>
      </c>
      <c r="B135" s="52"/>
      <c r="C135" s="52"/>
      <c r="D135" s="52"/>
      <c r="E135" s="89" t="str">
        <f aca="false">IF(D135="","",IFERROR(INDEX(Teachers!$B$5:$B$304,MATCH(D135,Teachers!$A$5:$A$304,0)),""))</f>
        <v/>
      </c>
      <c r="F135" s="86"/>
      <c r="G135" s="85" t="str">
        <f aca="false">IF($A135="","",COUNTIFS(Students!$E$5:$E$304,$B135,Students!$F$5:$F$304,$C135,Students!$K$5:$K$304,"Active"))</f>
        <v/>
      </c>
      <c r="H135" s="85" t="str">
        <f aca="false">IF($A135="","",MAX(0,Settings!$B$7-G135))</f>
        <v/>
      </c>
      <c r="I135" s="85" t="str">
        <f aca="false">IF($A135="","",IF(G135&gt;=Settings!$B$7,"Full","Open"))</f>
        <v/>
      </c>
    </row>
    <row r="136" customFormat="false" ht="19.5" hidden="false" customHeight="true" outlineLevel="0" collapsed="false">
      <c r="A136" s="85" t="str">
        <f aca="false">IF(C136="","","C"&amp;TEXT(ROW()-4,"000"))</f>
        <v/>
      </c>
      <c r="B136" s="52"/>
      <c r="C136" s="52"/>
      <c r="D136" s="52"/>
      <c r="E136" s="89" t="str">
        <f aca="false">IF(D136="","",IFERROR(INDEX(Teachers!$B$5:$B$304,MATCH(D136,Teachers!$A$5:$A$304,0)),""))</f>
        <v/>
      </c>
      <c r="F136" s="86"/>
      <c r="G136" s="85" t="str">
        <f aca="false">IF($A136="","",COUNTIFS(Students!$E$5:$E$304,$B136,Students!$F$5:$F$304,$C136,Students!$K$5:$K$304,"Active"))</f>
        <v/>
      </c>
      <c r="H136" s="85" t="str">
        <f aca="false">IF($A136="","",MAX(0,Settings!$B$7-G136))</f>
        <v/>
      </c>
      <c r="I136" s="85" t="str">
        <f aca="false">IF($A136="","",IF(G136&gt;=Settings!$B$7,"Full","Open"))</f>
        <v/>
      </c>
    </row>
    <row r="137" customFormat="false" ht="19.5" hidden="false" customHeight="true" outlineLevel="0" collapsed="false">
      <c r="A137" s="85" t="str">
        <f aca="false">IF(C137="","","C"&amp;TEXT(ROW()-4,"000"))</f>
        <v/>
      </c>
      <c r="B137" s="52"/>
      <c r="C137" s="52"/>
      <c r="D137" s="52"/>
      <c r="E137" s="89" t="str">
        <f aca="false">IF(D137="","",IFERROR(INDEX(Teachers!$B$5:$B$304,MATCH(D137,Teachers!$A$5:$A$304,0)),""))</f>
        <v/>
      </c>
      <c r="F137" s="86"/>
      <c r="G137" s="85" t="str">
        <f aca="false">IF($A137="","",COUNTIFS(Students!$E$5:$E$304,$B137,Students!$F$5:$F$304,$C137,Students!$K$5:$K$304,"Active"))</f>
        <v/>
      </c>
      <c r="H137" s="85" t="str">
        <f aca="false">IF($A137="","",MAX(0,Settings!$B$7-G137))</f>
        <v/>
      </c>
      <c r="I137" s="85" t="str">
        <f aca="false">IF($A137="","",IF(G137&gt;=Settings!$B$7,"Full","Open"))</f>
        <v/>
      </c>
    </row>
    <row r="138" customFormat="false" ht="19.5" hidden="false" customHeight="true" outlineLevel="0" collapsed="false">
      <c r="A138" s="85" t="str">
        <f aca="false">IF(C138="","","C"&amp;TEXT(ROW()-4,"000"))</f>
        <v/>
      </c>
      <c r="B138" s="52"/>
      <c r="C138" s="52"/>
      <c r="D138" s="52"/>
      <c r="E138" s="89" t="str">
        <f aca="false">IF(D138="","",IFERROR(INDEX(Teachers!$B$5:$B$304,MATCH(D138,Teachers!$A$5:$A$304,0)),""))</f>
        <v/>
      </c>
      <c r="F138" s="86"/>
      <c r="G138" s="85" t="str">
        <f aca="false">IF($A138="","",COUNTIFS(Students!$E$5:$E$304,$B138,Students!$F$5:$F$304,$C138,Students!$K$5:$K$304,"Active"))</f>
        <v/>
      </c>
      <c r="H138" s="85" t="str">
        <f aca="false">IF($A138="","",MAX(0,Settings!$B$7-G138))</f>
        <v/>
      </c>
      <c r="I138" s="85" t="str">
        <f aca="false">IF($A138="","",IF(G138&gt;=Settings!$B$7,"Full","Open"))</f>
        <v/>
      </c>
    </row>
    <row r="139" customFormat="false" ht="19.5" hidden="false" customHeight="true" outlineLevel="0" collapsed="false">
      <c r="A139" s="85" t="str">
        <f aca="false">IF(C139="","","C"&amp;TEXT(ROW()-4,"000"))</f>
        <v/>
      </c>
      <c r="B139" s="52"/>
      <c r="C139" s="52"/>
      <c r="D139" s="52"/>
      <c r="E139" s="89" t="str">
        <f aca="false">IF(D139="","",IFERROR(INDEX(Teachers!$B$5:$B$304,MATCH(D139,Teachers!$A$5:$A$304,0)),""))</f>
        <v/>
      </c>
      <c r="F139" s="86"/>
      <c r="G139" s="85" t="str">
        <f aca="false">IF($A139="","",COUNTIFS(Students!$E$5:$E$304,$B139,Students!$F$5:$F$304,$C139,Students!$K$5:$K$304,"Active"))</f>
        <v/>
      </c>
      <c r="H139" s="85" t="str">
        <f aca="false">IF($A139="","",MAX(0,Settings!$B$7-G139))</f>
        <v/>
      </c>
      <c r="I139" s="85" t="str">
        <f aca="false">IF($A139="","",IF(G139&gt;=Settings!$B$7,"Full","Open"))</f>
        <v/>
      </c>
    </row>
    <row r="140" customFormat="false" ht="19.5" hidden="false" customHeight="true" outlineLevel="0" collapsed="false">
      <c r="A140" s="85" t="str">
        <f aca="false">IF(C140="","","C"&amp;TEXT(ROW()-4,"000"))</f>
        <v/>
      </c>
      <c r="B140" s="52"/>
      <c r="C140" s="52"/>
      <c r="D140" s="52"/>
      <c r="E140" s="89" t="str">
        <f aca="false">IF(D140="","",IFERROR(INDEX(Teachers!$B$5:$B$304,MATCH(D140,Teachers!$A$5:$A$304,0)),""))</f>
        <v/>
      </c>
      <c r="F140" s="86"/>
      <c r="G140" s="85" t="str">
        <f aca="false">IF($A140="","",COUNTIFS(Students!$E$5:$E$304,$B140,Students!$F$5:$F$304,$C140,Students!$K$5:$K$304,"Active"))</f>
        <v/>
      </c>
      <c r="H140" s="85" t="str">
        <f aca="false">IF($A140="","",MAX(0,Settings!$B$7-G140))</f>
        <v/>
      </c>
      <c r="I140" s="85" t="str">
        <f aca="false">IF($A140="","",IF(G140&gt;=Settings!$B$7,"Full","Open"))</f>
        <v/>
      </c>
    </row>
    <row r="141" customFormat="false" ht="19.5" hidden="false" customHeight="true" outlineLevel="0" collapsed="false">
      <c r="A141" s="85" t="str">
        <f aca="false">IF(C141="","","C"&amp;TEXT(ROW()-4,"000"))</f>
        <v/>
      </c>
      <c r="B141" s="52"/>
      <c r="C141" s="52"/>
      <c r="D141" s="52"/>
      <c r="E141" s="89" t="str">
        <f aca="false">IF(D141="","",IFERROR(INDEX(Teachers!$B$5:$B$304,MATCH(D141,Teachers!$A$5:$A$304,0)),""))</f>
        <v/>
      </c>
      <c r="F141" s="86"/>
      <c r="G141" s="85" t="str">
        <f aca="false">IF($A141="","",COUNTIFS(Students!$E$5:$E$304,$B141,Students!$F$5:$F$304,$C141,Students!$K$5:$K$304,"Active"))</f>
        <v/>
      </c>
      <c r="H141" s="85" t="str">
        <f aca="false">IF($A141="","",MAX(0,Settings!$B$7-G141))</f>
        <v/>
      </c>
      <c r="I141" s="85" t="str">
        <f aca="false">IF($A141="","",IF(G141&gt;=Settings!$B$7,"Full","Open"))</f>
        <v/>
      </c>
    </row>
    <row r="142" customFormat="false" ht="19.5" hidden="false" customHeight="true" outlineLevel="0" collapsed="false">
      <c r="A142" s="85" t="str">
        <f aca="false">IF(C142="","","C"&amp;TEXT(ROW()-4,"000"))</f>
        <v/>
      </c>
      <c r="B142" s="52"/>
      <c r="C142" s="52"/>
      <c r="D142" s="52"/>
      <c r="E142" s="89" t="str">
        <f aca="false">IF(D142="","",IFERROR(INDEX(Teachers!$B$5:$B$304,MATCH(D142,Teachers!$A$5:$A$304,0)),""))</f>
        <v/>
      </c>
      <c r="F142" s="86"/>
      <c r="G142" s="85" t="str">
        <f aca="false">IF($A142="","",COUNTIFS(Students!$E$5:$E$304,$B142,Students!$F$5:$F$304,$C142,Students!$K$5:$K$304,"Active"))</f>
        <v/>
      </c>
      <c r="H142" s="85" t="str">
        <f aca="false">IF($A142="","",MAX(0,Settings!$B$7-G142))</f>
        <v/>
      </c>
      <c r="I142" s="85" t="str">
        <f aca="false">IF($A142="","",IF(G142&gt;=Settings!$B$7,"Full","Open"))</f>
        <v/>
      </c>
    </row>
    <row r="143" customFormat="false" ht="19.5" hidden="false" customHeight="true" outlineLevel="0" collapsed="false">
      <c r="A143" s="85" t="str">
        <f aca="false">IF(C143="","","C"&amp;TEXT(ROW()-4,"000"))</f>
        <v/>
      </c>
      <c r="B143" s="52"/>
      <c r="C143" s="52"/>
      <c r="D143" s="52"/>
      <c r="E143" s="89" t="str">
        <f aca="false">IF(D143="","",IFERROR(INDEX(Teachers!$B$5:$B$304,MATCH(D143,Teachers!$A$5:$A$304,0)),""))</f>
        <v/>
      </c>
      <c r="F143" s="86"/>
      <c r="G143" s="85" t="str">
        <f aca="false">IF($A143="","",COUNTIFS(Students!$E$5:$E$304,$B143,Students!$F$5:$F$304,$C143,Students!$K$5:$K$304,"Active"))</f>
        <v/>
      </c>
      <c r="H143" s="85" t="str">
        <f aca="false">IF($A143="","",MAX(0,Settings!$B$7-G143))</f>
        <v/>
      </c>
      <c r="I143" s="85" t="str">
        <f aca="false">IF($A143="","",IF(G143&gt;=Settings!$B$7,"Full","Open"))</f>
        <v/>
      </c>
    </row>
    <row r="144" customFormat="false" ht="19.5" hidden="false" customHeight="true" outlineLevel="0" collapsed="false">
      <c r="A144" s="85" t="str">
        <f aca="false">IF(C144="","","C"&amp;TEXT(ROW()-4,"000"))</f>
        <v/>
      </c>
      <c r="B144" s="52"/>
      <c r="C144" s="52"/>
      <c r="D144" s="52"/>
      <c r="E144" s="89" t="str">
        <f aca="false">IF(D144="","",IFERROR(INDEX(Teachers!$B$5:$B$304,MATCH(D144,Teachers!$A$5:$A$304,0)),""))</f>
        <v/>
      </c>
      <c r="F144" s="86"/>
      <c r="G144" s="85" t="str">
        <f aca="false">IF($A144="","",COUNTIFS(Students!$E$5:$E$304,$B144,Students!$F$5:$F$304,$C144,Students!$K$5:$K$304,"Active"))</f>
        <v/>
      </c>
      <c r="H144" s="85" t="str">
        <f aca="false">IF($A144="","",MAX(0,Settings!$B$7-G144))</f>
        <v/>
      </c>
      <c r="I144" s="85" t="str">
        <f aca="false">IF($A144="","",IF(G144&gt;=Settings!$B$7,"Full","Open"))</f>
        <v/>
      </c>
    </row>
    <row r="145" customFormat="false" ht="19.5" hidden="false" customHeight="true" outlineLevel="0" collapsed="false">
      <c r="A145" s="85" t="str">
        <f aca="false">IF(C145="","","C"&amp;TEXT(ROW()-4,"000"))</f>
        <v/>
      </c>
      <c r="B145" s="52"/>
      <c r="C145" s="52"/>
      <c r="D145" s="52"/>
      <c r="E145" s="89" t="str">
        <f aca="false">IF(D145="","",IFERROR(INDEX(Teachers!$B$5:$B$304,MATCH(D145,Teachers!$A$5:$A$304,0)),""))</f>
        <v/>
      </c>
      <c r="F145" s="86"/>
      <c r="G145" s="85" t="str">
        <f aca="false">IF($A145="","",COUNTIFS(Students!$E$5:$E$304,$B145,Students!$F$5:$F$304,$C145,Students!$K$5:$K$304,"Active"))</f>
        <v/>
      </c>
      <c r="H145" s="85" t="str">
        <f aca="false">IF($A145="","",MAX(0,Settings!$B$7-G145))</f>
        <v/>
      </c>
      <c r="I145" s="85" t="str">
        <f aca="false">IF($A145="","",IF(G145&gt;=Settings!$B$7,"Full","Open"))</f>
        <v/>
      </c>
    </row>
    <row r="146" customFormat="false" ht="19.5" hidden="false" customHeight="true" outlineLevel="0" collapsed="false">
      <c r="A146" s="85" t="str">
        <f aca="false">IF(C146="","","C"&amp;TEXT(ROW()-4,"000"))</f>
        <v/>
      </c>
      <c r="B146" s="52"/>
      <c r="C146" s="52"/>
      <c r="D146" s="52"/>
      <c r="E146" s="89" t="str">
        <f aca="false">IF(D146="","",IFERROR(INDEX(Teachers!$B$5:$B$304,MATCH(D146,Teachers!$A$5:$A$304,0)),""))</f>
        <v/>
      </c>
      <c r="F146" s="86"/>
      <c r="G146" s="85" t="str">
        <f aca="false">IF($A146="","",COUNTIFS(Students!$E$5:$E$304,$B146,Students!$F$5:$F$304,$C146,Students!$K$5:$K$304,"Active"))</f>
        <v/>
      </c>
      <c r="H146" s="85" t="str">
        <f aca="false">IF($A146="","",MAX(0,Settings!$B$7-G146))</f>
        <v/>
      </c>
      <c r="I146" s="85" t="str">
        <f aca="false">IF($A146="","",IF(G146&gt;=Settings!$B$7,"Full","Open"))</f>
        <v/>
      </c>
    </row>
    <row r="147" customFormat="false" ht="19.5" hidden="false" customHeight="true" outlineLevel="0" collapsed="false">
      <c r="A147" s="85" t="str">
        <f aca="false">IF(C147="","","C"&amp;TEXT(ROW()-4,"000"))</f>
        <v/>
      </c>
      <c r="B147" s="52"/>
      <c r="C147" s="52"/>
      <c r="D147" s="52"/>
      <c r="E147" s="89" t="str">
        <f aca="false">IF(D147="","",IFERROR(INDEX(Teachers!$B$5:$B$304,MATCH(D147,Teachers!$A$5:$A$304,0)),""))</f>
        <v/>
      </c>
      <c r="F147" s="86"/>
      <c r="G147" s="85" t="str">
        <f aca="false">IF($A147="","",COUNTIFS(Students!$E$5:$E$304,$B147,Students!$F$5:$F$304,$C147,Students!$K$5:$K$304,"Active"))</f>
        <v/>
      </c>
      <c r="H147" s="85" t="str">
        <f aca="false">IF($A147="","",MAX(0,Settings!$B$7-G147))</f>
        <v/>
      </c>
      <c r="I147" s="85" t="str">
        <f aca="false">IF($A147="","",IF(G147&gt;=Settings!$B$7,"Full","Open"))</f>
        <v/>
      </c>
    </row>
    <row r="148" customFormat="false" ht="19.5" hidden="false" customHeight="true" outlineLevel="0" collapsed="false">
      <c r="A148" s="85" t="str">
        <f aca="false">IF(C148="","","C"&amp;TEXT(ROW()-4,"000"))</f>
        <v/>
      </c>
      <c r="B148" s="52"/>
      <c r="C148" s="52"/>
      <c r="D148" s="52"/>
      <c r="E148" s="89" t="str">
        <f aca="false">IF(D148="","",IFERROR(INDEX(Teachers!$B$5:$B$304,MATCH(D148,Teachers!$A$5:$A$304,0)),""))</f>
        <v/>
      </c>
      <c r="F148" s="86"/>
      <c r="G148" s="85" t="str">
        <f aca="false">IF($A148="","",COUNTIFS(Students!$E$5:$E$304,$B148,Students!$F$5:$F$304,$C148,Students!$K$5:$K$304,"Active"))</f>
        <v/>
      </c>
      <c r="H148" s="85" t="str">
        <f aca="false">IF($A148="","",MAX(0,Settings!$B$7-G148))</f>
        <v/>
      </c>
      <c r="I148" s="85" t="str">
        <f aca="false">IF($A148="","",IF(G148&gt;=Settings!$B$7,"Full","Open"))</f>
        <v/>
      </c>
    </row>
    <row r="149" customFormat="false" ht="19.5" hidden="false" customHeight="true" outlineLevel="0" collapsed="false">
      <c r="A149" s="85" t="str">
        <f aca="false">IF(C149="","","C"&amp;TEXT(ROW()-4,"000"))</f>
        <v/>
      </c>
      <c r="B149" s="52"/>
      <c r="C149" s="52"/>
      <c r="D149" s="52"/>
      <c r="E149" s="89" t="str">
        <f aca="false">IF(D149="","",IFERROR(INDEX(Teachers!$B$5:$B$304,MATCH(D149,Teachers!$A$5:$A$304,0)),""))</f>
        <v/>
      </c>
      <c r="F149" s="86"/>
      <c r="G149" s="85" t="str">
        <f aca="false">IF($A149="","",COUNTIFS(Students!$E$5:$E$304,$B149,Students!$F$5:$F$304,$C149,Students!$K$5:$K$304,"Active"))</f>
        <v/>
      </c>
      <c r="H149" s="85" t="str">
        <f aca="false">IF($A149="","",MAX(0,Settings!$B$7-G149))</f>
        <v/>
      </c>
      <c r="I149" s="85" t="str">
        <f aca="false">IF($A149="","",IF(G149&gt;=Settings!$B$7,"Full","Open"))</f>
        <v/>
      </c>
    </row>
    <row r="150" customFormat="false" ht="19.5" hidden="false" customHeight="true" outlineLevel="0" collapsed="false">
      <c r="A150" s="85" t="str">
        <f aca="false">IF(C150="","","C"&amp;TEXT(ROW()-4,"000"))</f>
        <v/>
      </c>
      <c r="B150" s="52"/>
      <c r="C150" s="52"/>
      <c r="D150" s="52"/>
      <c r="E150" s="89" t="str">
        <f aca="false">IF(D150="","",IFERROR(INDEX(Teachers!$B$5:$B$304,MATCH(D150,Teachers!$A$5:$A$304,0)),""))</f>
        <v/>
      </c>
      <c r="F150" s="86"/>
      <c r="G150" s="85" t="str">
        <f aca="false">IF($A150="","",COUNTIFS(Students!$E$5:$E$304,$B150,Students!$F$5:$F$304,$C150,Students!$K$5:$K$304,"Active"))</f>
        <v/>
      </c>
      <c r="H150" s="85" t="str">
        <f aca="false">IF($A150="","",MAX(0,Settings!$B$7-G150))</f>
        <v/>
      </c>
      <c r="I150" s="85" t="str">
        <f aca="false">IF($A150="","",IF(G150&gt;=Settings!$B$7,"Full","Open"))</f>
        <v/>
      </c>
    </row>
    <row r="151" customFormat="false" ht="19.5" hidden="false" customHeight="true" outlineLevel="0" collapsed="false">
      <c r="A151" s="85" t="str">
        <f aca="false">IF(C151="","","C"&amp;TEXT(ROW()-4,"000"))</f>
        <v/>
      </c>
      <c r="B151" s="52"/>
      <c r="C151" s="52"/>
      <c r="D151" s="52"/>
      <c r="E151" s="89" t="str">
        <f aca="false">IF(D151="","",IFERROR(INDEX(Teachers!$B$5:$B$304,MATCH(D151,Teachers!$A$5:$A$304,0)),""))</f>
        <v/>
      </c>
      <c r="F151" s="86"/>
      <c r="G151" s="85" t="str">
        <f aca="false">IF($A151="","",COUNTIFS(Students!$E$5:$E$304,$B151,Students!$F$5:$F$304,$C151,Students!$K$5:$K$304,"Active"))</f>
        <v/>
      </c>
      <c r="H151" s="85" t="str">
        <f aca="false">IF($A151="","",MAX(0,Settings!$B$7-G151))</f>
        <v/>
      </c>
      <c r="I151" s="85" t="str">
        <f aca="false">IF($A151="","",IF(G151&gt;=Settings!$B$7,"Full","Open"))</f>
        <v/>
      </c>
    </row>
    <row r="152" customFormat="false" ht="19.5" hidden="false" customHeight="true" outlineLevel="0" collapsed="false">
      <c r="A152" s="85" t="str">
        <f aca="false">IF(C152="","","C"&amp;TEXT(ROW()-4,"000"))</f>
        <v/>
      </c>
      <c r="B152" s="52"/>
      <c r="C152" s="52"/>
      <c r="D152" s="52"/>
      <c r="E152" s="89" t="str">
        <f aca="false">IF(D152="","",IFERROR(INDEX(Teachers!$B$5:$B$304,MATCH(D152,Teachers!$A$5:$A$304,0)),""))</f>
        <v/>
      </c>
      <c r="F152" s="86"/>
      <c r="G152" s="85" t="str">
        <f aca="false">IF($A152="","",COUNTIFS(Students!$E$5:$E$304,$B152,Students!$F$5:$F$304,$C152,Students!$K$5:$K$304,"Active"))</f>
        <v/>
      </c>
      <c r="H152" s="85" t="str">
        <f aca="false">IF($A152="","",MAX(0,Settings!$B$7-G152))</f>
        <v/>
      </c>
      <c r="I152" s="85" t="str">
        <f aca="false">IF($A152="","",IF(G152&gt;=Settings!$B$7,"Full","Open"))</f>
        <v/>
      </c>
    </row>
    <row r="153" customFormat="false" ht="19.5" hidden="false" customHeight="true" outlineLevel="0" collapsed="false">
      <c r="A153" s="85" t="str">
        <f aca="false">IF(C153="","","C"&amp;TEXT(ROW()-4,"000"))</f>
        <v/>
      </c>
      <c r="B153" s="52"/>
      <c r="C153" s="52"/>
      <c r="D153" s="52"/>
      <c r="E153" s="89" t="str">
        <f aca="false">IF(D153="","",IFERROR(INDEX(Teachers!$B$5:$B$304,MATCH(D153,Teachers!$A$5:$A$304,0)),""))</f>
        <v/>
      </c>
      <c r="F153" s="86"/>
      <c r="G153" s="85" t="str">
        <f aca="false">IF($A153="","",COUNTIFS(Students!$E$5:$E$304,$B153,Students!$F$5:$F$304,$C153,Students!$K$5:$K$304,"Active"))</f>
        <v/>
      </c>
      <c r="H153" s="85" t="str">
        <f aca="false">IF($A153="","",MAX(0,Settings!$B$7-G153))</f>
        <v/>
      </c>
      <c r="I153" s="85" t="str">
        <f aca="false">IF($A153="","",IF(G153&gt;=Settings!$B$7,"Full","Open"))</f>
        <v/>
      </c>
    </row>
    <row r="154" customFormat="false" ht="19.5" hidden="false" customHeight="true" outlineLevel="0" collapsed="false">
      <c r="A154" s="85" t="str">
        <f aca="false">IF(C154="","","C"&amp;TEXT(ROW()-4,"000"))</f>
        <v/>
      </c>
      <c r="B154" s="52"/>
      <c r="C154" s="52"/>
      <c r="D154" s="52"/>
      <c r="E154" s="89" t="str">
        <f aca="false">IF(D154="","",IFERROR(INDEX(Teachers!$B$5:$B$304,MATCH(D154,Teachers!$A$5:$A$304,0)),""))</f>
        <v/>
      </c>
      <c r="F154" s="86"/>
      <c r="G154" s="85" t="str">
        <f aca="false">IF($A154="","",COUNTIFS(Students!$E$5:$E$304,$B154,Students!$F$5:$F$304,$C154,Students!$K$5:$K$304,"Active"))</f>
        <v/>
      </c>
      <c r="H154" s="85" t="str">
        <f aca="false">IF($A154="","",MAX(0,Settings!$B$7-G154))</f>
        <v/>
      </c>
      <c r="I154" s="85" t="str">
        <f aca="false">IF($A154="","",IF(G154&gt;=Settings!$B$7,"Full","Open"))</f>
        <v/>
      </c>
    </row>
    <row r="155" customFormat="false" ht="19.5" hidden="false" customHeight="true" outlineLevel="0" collapsed="false">
      <c r="A155" s="85" t="str">
        <f aca="false">IF(C155="","","C"&amp;TEXT(ROW()-4,"000"))</f>
        <v/>
      </c>
      <c r="B155" s="52"/>
      <c r="C155" s="52"/>
      <c r="D155" s="52"/>
      <c r="E155" s="89" t="str">
        <f aca="false">IF(D155="","",IFERROR(INDEX(Teachers!$B$5:$B$304,MATCH(D155,Teachers!$A$5:$A$304,0)),""))</f>
        <v/>
      </c>
      <c r="F155" s="86"/>
      <c r="G155" s="85" t="str">
        <f aca="false">IF($A155="","",COUNTIFS(Students!$E$5:$E$304,$B155,Students!$F$5:$F$304,$C155,Students!$K$5:$K$304,"Active"))</f>
        <v/>
      </c>
      <c r="H155" s="85" t="str">
        <f aca="false">IF($A155="","",MAX(0,Settings!$B$7-G155))</f>
        <v/>
      </c>
      <c r="I155" s="85" t="str">
        <f aca="false">IF($A155="","",IF(G155&gt;=Settings!$B$7,"Full","Open"))</f>
        <v/>
      </c>
    </row>
    <row r="156" customFormat="false" ht="19.5" hidden="false" customHeight="true" outlineLevel="0" collapsed="false">
      <c r="A156" s="85" t="str">
        <f aca="false">IF(C156="","","C"&amp;TEXT(ROW()-4,"000"))</f>
        <v/>
      </c>
      <c r="B156" s="52"/>
      <c r="C156" s="52"/>
      <c r="D156" s="52"/>
      <c r="E156" s="89" t="str">
        <f aca="false">IF(D156="","",IFERROR(INDEX(Teachers!$B$5:$B$304,MATCH(D156,Teachers!$A$5:$A$304,0)),""))</f>
        <v/>
      </c>
      <c r="F156" s="86"/>
      <c r="G156" s="85" t="str">
        <f aca="false">IF($A156="","",COUNTIFS(Students!$E$5:$E$304,$B156,Students!$F$5:$F$304,$C156,Students!$K$5:$K$304,"Active"))</f>
        <v/>
      </c>
      <c r="H156" s="85" t="str">
        <f aca="false">IF($A156="","",MAX(0,Settings!$B$7-G156))</f>
        <v/>
      </c>
      <c r="I156" s="85" t="str">
        <f aca="false">IF($A156="","",IF(G156&gt;=Settings!$B$7,"Full","Open"))</f>
        <v/>
      </c>
    </row>
    <row r="157" customFormat="false" ht="19.5" hidden="false" customHeight="true" outlineLevel="0" collapsed="false">
      <c r="A157" s="85" t="str">
        <f aca="false">IF(C157="","","C"&amp;TEXT(ROW()-4,"000"))</f>
        <v/>
      </c>
      <c r="B157" s="52"/>
      <c r="C157" s="52"/>
      <c r="D157" s="52"/>
      <c r="E157" s="89" t="str">
        <f aca="false">IF(D157="","",IFERROR(INDEX(Teachers!$B$5:$B$304,MATCH(D157,Teachers!$A$5:$A$304,0)),""))</f>
        <v/>
      </c>
      <c r="F157" s="86"/>
      <c r="G157" s="85" t="str">
        <f aca="false">IF($A157="","",COUNTIFS(Students!$E$5:$E$304,$B157,Students!$F$5:$F$304,$C157,Students!$K$5:$K$304,"Active"))</f>
        <v/>
      </c>
      <c r="H157" s="85" t="str">
        <f aca="false">IF($A157="","",MAX(0,Settings!$B$7-G157))</f>
        <v/>
      </c>
      <c r="I157" s="85" t="str">
        <f aca="false">IF($A157="","",IF(G157&gt;=Settings!$B$7,"Full","Open"))</f>
        <v/>
      </c>
    </row>
    <row r="158" customFormat="false" ht="19.5" hidden="false" customHeight="true" outlineLevel="0" collapsed="false">
      <c r="A158" s="85" t="str">
        <f aca="false">IF(C158="","","C"&amp;TEXT(ROW()-4,"000"))</f>
        <v/>
      </c>
      <c r="B158" s="52"/>
      <c r="C158" s="52"/>
      <c r="D158" s="52"/>
      <c r="E158" s="89" t="str">
        <f aca="false">IF(D158="","",IFERROR(INDEX(Teachers!$B$5:$B$304,MATCH(D158,Teachers!$A$5:$A$304,0)),""))</f>
        <v/>
      </c>
      <c r="F158" s="86"/>
      <c r="G158" s="85" t="str">
        <f aca="false">IF($A158="","",COUNTIFS(Students!$E$5:$E$304,$B158,Students!$F$5:$F$304,$C158,Students!$K$5:$K$304,"Active"))</f>
        <v/>
      </c>
      <c r="H158" s="85" t="str">
        <f aca="false">IF($A158="","",MAX(0,Settings!$B$7-G158))</f>
        <v/>
      </c>
      <c r="I158" s="85" t="str">
        <f aca="false">IF($A158="","",IF(G158&gt;=Settings!$B$7,"Full","Open"))</f>
        <v/>
      </c>
    </row>
    <row r="159" customFormat="false" ht="19.5" hidden="false" customHeight="true" outlineLevel="0" collapsed="false">
      <c r="A159" s="85" t="str">
        <f aca="false">IF(C159="","","C"&amp;TEXT(ROW()-4,"000"))</f>
        <v/>
      </c>
      <c r="B159" s="52"/>
      <c r="C159" s="52"/>
      <c r="D159" s="52"/>
      <c r="E159" s="89" t="str">
        <f aca="false">IF(D159="","",IFERROR(INDEX(Teachers!$B$5:$B$304,MATCH(D159,Teachers!$A$5:$A$304,0)),""))</f>
        <v/>
      </c>
      <c r="F159" s="86"/>
      <c r="G159" s="85" t="str">
        <f aca="false">IF($A159="","",COUNTIFS(Students!$E$5:$E$304,$B159,Students!$F$5:$F$304,$C159,Students!$K$5:$K$304,"Active"))</f>
        <v/>
      </c>
      <c r="H159" s="85" t="str">
        <f aca="false">IF($A159="","",MAX(0,Settings!$B$7-G159))</f>
        <v/>
      </c>
      <c r="I159" s="85" t="str">
        <f aca="false">IF($A159="","",IF(G159&gt;=Settings!$B$7,"Full","Open"))</f>
        <v/>
      </c>
    </row>
    <row r="160" customFormat="false" ht="19.5" hidden="false" customHeight="true" outlineLevel="0" collapsed="false">
      <c r="A160" s="85" t="str">
        <f aca="false">IF(C160="","","C"&amp;TEXT(ROW()-4,"000"))</f>
        <v/>
      </c>
      <c r="B160" s="52"/>
      <c r="C160" s="52"/>
      <c r="D160" s="52"/>
      <c r="E160" s="89" t="str">
        <f aca="false">IF(D160="","",IFERROR(INDEX(Teachers!$B$5:$B$304,MATCH(D160,Teachers!$A$5:$A$304,0)),""))</f>
        <v/>
      </c>
      <c r="F160" s="86"/>
      <c r="G160" s="85" t="str">
        <f aca="false">IF($A160="","",COUNTIFS(Students!$E$5:$E$304,$B160,Students!$F$5:$F$304,$C160,Students!$K$5:$K$304,"Active"))</f>
        <v/>
      </c>
      <c r="H160" s="85" t="str">
        <f aca="false">IF($A160="","",MAX(0,Settings!$B$7-G160))</f>
        <v/>
      </c>
      <c r="I160" s="85" t="str">
        <f aca="false">IF($A160="","",IF(G160&gt;=Settings!$B$7,"Full","Open"))</f>
        <v/>
      </c>
    </row>
    <row r="161" customFormat="false" ht="19.5" hidden="false" customHeight="true" outlineLevel="0" collapsed="false">
      <c r="A161" s="85" t="str">
        <f aca="false">IF(C161="","","C"&amp;TEXT(ROW()-4,"000"))</f>
        <v/>
      </c>
      <c r="B161" s="52"/>
      <c r="C161" s="52"/>
      <c r="D161" s="52"/>
      <c r="E161" s="89" t="str">
        <f aca="false">IF(D161="","",IFERROR(INDEX(Teachers!$B$5:$B$304,MATCH(D161,Teachers!$A$5:$A$304,0)),""))</f>
        <v/>
      </c>
      <c r="F161" s="86"/>
      <c r="G161" s="85" t="str">
        <f aca="false">IF($A161="","",COUNTIFS(Students!$E$5:$E$304,$B161,Students!$F$5:$F$304,$C161,Students!$K$5:$K$304,"Active"))</f>
        <v/>
      </c>
      <c r="H161" s="85" t="str">
        <f aca="false">IF($A161="","",MAX(0,Settings!$B$7-G161))</f>
        <v/>
      </c>
      <c r="I161" s="85" t="str">
        <f aca="false">IF($A161="","",IF(G161&gt;=Settings!$B$7,"Full","Open"))</f>
        <v/>
      </c>
    </row>
    <row r="162" customFormat="false" ht="19.5" hidden="false" customHeight="true" outlineLevel="0" collapsed="false">
      <c r="A162" s="85" t="str">
        <f aca="false">IF(C162="","","C"&amp;TEXT(ROW()-4,"000"))</f>
        <v/>
      </c>
      <c r="B162" s="52"/>
      <c r="C162" s="52"/>
      <c r="D162" s="52"/>
      <c r="E162" s="89" t="str">
        <f aca="false">IF(D162="","",IFERROR(INDEX(Teachers!$B$5:$B$304,MATCH(D162,Teachers!$A$5:$A$304,0)),""))</f>
        <v/>
      </c>
      <c r="F162" s="86"/>
      <c r="G162" s="85" t="str">
        <f aca="false">IF($A162="","",COUNTIFS(Students!$E$5:$E$304,$B162,Students!$F$5:$F$304,$C162,Students!$K$5:$K$304,"Active"))</f>
        <v/>
      </c>
      <c r="H162" s="85" t="str">
        <f aca="false">IF($A162="","",MAX(0,Settings!$B$7-G162))</f>
        <v/>
      </c>
      <c r="I162" s="85" t="str">
        <f aca="false">IF($A162="","",IF(G162&gt;=Settings!$B$7,"Full","Open"))</f>
        <v/>
      </c>
    </row>
    <row r="163" customFormat="false" ht="19.5" hidden="false" customHeight="true" outlineLevel="0" collapsed="false">
      <c r="A163" s="85" t="str">
        <f aca="false">IF(C163="","","C"&amp;TEXT(ROW()-4,"000"))</f>
        <v/>
      </c>
      <c r="B163" s="52"/>
      <c r="C163" s="52"/>
      <c r="D163" s="52"/>
      <c r="E163" s="89" t="str">
        <f aca="false">IF(D163="","",IFERROR(INDEX(Teachers!$B$5:$B$304,MATCH(D163,Teachers!$A$5:$A$304,0)),""))</f>
        <v/>
      </c>
      <c r="F163" s="86"/>
      <c r="G163" s="85" t="str">
        <f aca="false">IF($A163="","",COUNTIFS(Students!$E$5:$E$304,$B163,Students!$F$5:$F$304,$C163,Students!$K$5:$K$304,"Active"))</f>
        <v/>
      </c>
      <c r="H163" s="85" t="str">
        <f aca="false">IF($A163="","",MAX(0,Settings!$B$7-G163))</f>
        <v/>
      </c>
      <c r="I163" s="85" t="str">
        <f aca="false">IF($A163="","",IF(G163&gt;=Settings!$B$7,"Full","Open"))</f>
        <v/>
      </c>
    </row>
    <row r="164" customFormat="false" ht="19.5" hidden="false" customHeight="true" outlineLevel="0" collapsed="false">
      <c r="A164" s="85" t="str">
        <f aca="false">IF(C164="","","C"&amp;TEXT(ROW()-4,"000"))</f>
        <v/>
      </c>
      <c r="B164" s="52"/>
      <c r="C164" s="52"/>
      <c r="D164" s="52"/>
      <c r="E164" s="89" t="str">
        <f aca="false">IF(D164="","",IFERROR(INDEX(Teachers!$B$5:$B$304,MATCH(D164,Teachers!$A$5:$A$304,0)),""))</f>
        <v/>
      </c>
      <c r="F164" s="86"/>
      <c r="G164" s="85" t="str">
        <f aca="false">IF($A164="","",COUNTIFS(Students!$E$5:$E$304,$B164,Students!$F$5:$F$304,$C164,Students!$K$5:$K$304,"Active"))</f>
        <v/>
      </c>
      <c r="H164" s="85" t="str">
        <f aca="false">IF($A164="","",MAX(0,Settings!$B$7-G164))</f>
        <v/>
      </c>
      <c r="I164" s="85" t="str">
        <f aca="false">IF($A164="","",IF(G164&gt;=Settings!$B$7,"Full","Open"))</f>
        <v/>
      </c>
    </row>
    <row r="165" customFormat="false" ht="19.5" hidden="false" customHeight="true" outlineLevel="0" collapsed="false">
      <c r="A165" s="85" t="str">
        <f aca="false">IF(C165="","","C"&amp;TEXT(ROW()-4,"000"))</f>
        <v/>
      </c>
      <c r="B165" s="52"/>
      <c r="C165" s="52"/>
      <c r="D165" s="52"/>
      <c r="E165" s="89" t="str">
        <f aca="false">IF(D165="","",IFERROR(INDEX(Teachers!$B$5:$B$304,MATCH(D165,Teachers!$A$5:$A$304,0)),""))</f>
        <v/>
      </c>
      <c r="F165" s="86"/>
      <c r="G165" s="85" t="str">
        <f aca="false">IF($A165="","",COUNTIFS(Students!$E$5:$E$304,$B165,Students!$F$5:$F$304,$C165,Students!$K$5:$K$304,"Active"))</f>
        <v/>
      </c>
      <c r="H165" s="85" t="str">
        <f aca="false">IF($A165="","",MAX(0,Settings!$B$7-G165))</f>
        <v/>
      </c>
      <c r="I165" s="85" t="str">
        <f aca="false">IF($A165="","",IF(G165&gt;=Settings!$B$7,"Full","Open"))</f>
        <v/>
      </c>
    </row>
    <row r="166" customFormat="false" ht="19.5" hidden="false" customHeight="true" outlineLevel="0" collapsed="false">
      <c r="A166" s="85" t="str">
        <f aca="false">IF(C166="","","C"&amp;TEXT(ROW()-4,"000"))</f>
        <v/>
      </c>
      <c r="B166" s="52"/>
      <c r="C166" s="52"/>
      <c r="D166" s="52"/>
      <c r="E166" s="89" t="str">
        <f aca="false">IF(D166="","",IFERROR(INDEX(Teachers!$B$5:$B$304,MATCH(D166,Teachers!$A$5:$A$304,0)),""))</f>
        <v/>
      </c>
      <c r="F166" s="86"/>
      <c r="G166" s="85" t="str">
        <f aca="false">IF($A166="","",COUNTIFS(Students!$E$5:$E$304,$B166,Students!$F$5:$F$304,$C166,Students!$K$5:$K$304,"Active"))</f>
        <v/>
      </c>
      <c r="H166" s="85" t="str">
        <f aca="false">IF($A166="","",MAX(0,Settings!$B$7-G166))</f>
        <v/>
      </c>
      <c r="I166" s="85" t="str">
        <f aca="false">IF($A166="","",IF(G166&gt;=Settings!$B$7,"Full","Open"))</f>
        <v/>
      </c>
    </row>
    <row r="167" customFormat="false" ht="19.5" hidden="false" customHeight="true" outlineLevel="0" collapsed="false">
      <c r="A167" s="85" t="str">
        <f aca="false">IF(C167="","","C"&amp;TEXT(ROW()-4,"000"))</f>
        <v/>
      </c>
      <c r="B167" s="52"/>
      <c r="C167" s="52"/>
      <c r="D167" s="52"/>
      <c r="E167" s="89" t="str">
        <f aca="false">IF(D167="","",IFERROR(INDEX(Teachers!$B$5:$B$304,MATCH(D167,Teachers!$A$5:$A$304,0)),""))</f>
        <v/>
      </c>
      <c r="F167" s="86"/>
      <c r="G167" s="85" t="str">
        <f aca="false">IF($A167="","",COUNTIFS(Students!$E$5:$E$304,$B167,Students!$F$5:$F$304,$C167,Students!$K$5:$K$304,"Active"))</f>
        <v/>
      </c>
      <c r="H167" s="85" t="str">
        <f aca="false">IF($A167="","",MAX(0,Settings!$B$7-G167))</f>
        <v/>
      </c>
      <c r="I167" s="85" t="str">
        <f aca="false">IF($A167="","",IF(G167&gt;=Settings!$B$7,"Full","Open"))</f>
        <v/>
      </c>
    </row>
    <row r="168" customFormat="false" ht="19.5" hidden="false" customHeight="true" outlineLevel="0" collapsed="false">
      <c r="A168" s="85" t="str">
        <f aca="false">IF(C168="","","C"&amp;TEXT(ROW()-4,"000"))</f>
        <v/>
      </c>
      <c r="B168" s="52"/>
      <c r="C168" s="52"/>
      <c r="D168" s="52"/>
      <c r="E168" s="89" t="str">
        <f aca="false">IF(D168="","",IFERROR(INDEX(Teachers!$B$5:$B$304,MATCH(D168,Teachers!$A$5:$A$304,0)),""))</f>
        <v/>
      </c>
      <c r="F168" s="86"/>
      <c r="G168" s="85" t="str">
        <f aca="false">IF($A168="","",COUNTIFS(Students!$E$5:$E$304,$B168,Students!$F$5:$F$304,$C168,Students!$K$5:$K$304,"Active"))</f>
        <v/>
      </c>
      <c r="H168" s="85" t="str">
        <f aca="false">IF($A168="","",MAX(0,Settings!$B$7-G168))</f>
        <v/>
      </c>
      <c r="I168" s="85" t="str">
        <f aca="false">IF($A168="","",IF(G168&gt;=Settings!$B$7,"Full","Open"))</f>
        <v/>
      </c>
    </row>
    <row r="169" customFormat="false" ht="19.5" hidden="false" customHeight="true" outlineLevel="0" collapsed="false">
      <c r="A169" s="85" t="str">
        <f aca="false">IF(C169="","","C"&amp;TEXT(ROW()-4,"000"))</f>
        <v/>
      </c>
      <c r="B169" s="52"/>
      <c r="C169" s="52"/>
      <c r="D169" s="52"/>
      <c r="E169" s="89" t="str">
        <f aca="false">IF(D169="","",IFERROR(INDEX(Teachers!$B$5:$B$304,MATCH(D169,Teachers!$A$5:$A$304,0)),""))</f>
        <v/>
      </c>
      <c r="F169" s="86"/>
      <c r="G169" s="85" t="str">
        <f aca="false">IF($A169="","",COUNTIFS(Students!$E$5:$E$304,$B169,Students!$F$5:$F$304,$C169,Students!$K$5:$K$304,"Active"))</f>
        <v/>
      </c>
      <c r="H169" s="85" t="str">
        <f aca="false">IF($A169="","",MAX(0,Settings!$B$7-G169))</f>
        <v/>
      </c>
      <c r="I169" s="85" t="str">
        <f aca="false">IF($A169="","",IF(G169&gt;=Settings!$B$7,"Full","Open"))</f>
        <v/>
      </c>
    </row>
    <row r="170" customFormat="false" ht="19.5" hidden="false" customHeight="true" outlineLevel="0" collapsed="false">
      <c r="A170" s="85" t="str">
        <f aca="false">IF(C170="","","C"&amp;TEXT(ROW()-4,"000"))</f>
        <v/>
      </c>
      <c r="B170" s="52"/>
      <c r="C170" s="52"/>
      <c r="D170" s="52"/>
      <c r="E170" s="89" t="str">
        <f aca="false">IF(D170="","",IFERROR(INDEX(Teachers!$B$5:$B$304,MATCH(D170,Teachers!$A$5:$A$304,0)),""))</f>
        <v/>
      </c>
      <c r="F170" s="86"/>
      <c r="G170" s="85" t="str">
        <f aca="false">IF($A170="","",COUNTIFS(Students!$E$5:$E$304,$B170,Students!$F$5:$F$304,$C170,Students!$K$5:$K$304,"Active"))</f>
        <v/>
      </c>
      <c r="H170" s="85" t="str">
        <f aca="false">IF($A170="","",MAX(0,Settings!$B$7-G170))</f>
        <v/>
      </c>
      <c r="I170" s="85" t="str">
        <f aca="false">IF($A170="","",IF(G170&gt;=Settings!$B$7,"Full","Open"))</f>
        <v/>
      </c>
    </row>
    <row r="171" customFormat="false" ht="19.5" hidden="false" customHeight="true" outlineLevel="0" collapsed="false">
      <c r="A171" s="85" t="str">
        <f aca="false">IF(C171="","","C"&amp;TEXT(ROW()-4,"000"))</f>
        <v/>
      </c>
      <c r="B171" s="52"/>
      <c r="C171" s="52"/>
      <c r="D171" s="52"/>
      <c r="E171" s="89" t="str">
        <f aca="false">IF(D171="","",IFERROR(INDEX(Teachers!$B$5:$B$304,MATCH(D171,Teachers!$A$5:$A$304,0)),""))</f>
        <v/>
      </c>
      <c r="F171" s="86"/>
      <c r="G171" s="85" t="str">
        <f aca="false">IF($A171="","",COUNTIFS(Students!$E$5:$E$304,$B171,Students!$F$5:$F$304,$C171,Students!$K$5:$K$304,"Active"))</f>
        <v/>
      </c>
      <c r="H171" s="85" t="str">
        <f aca="false">IF($A171="","",MAX(0,Settings!$B$7-G171))</f>
        <v/>
      </c>
      <c r="I171" s="85" t="str">
        <f aca="false">IF($A171="","",IF(G171&gt;=Settings!$B$7,"Full","Open"))</f>
        <v/>
      </c>
    </row>
    <row r="172" customFormat="false" ht="19.5" hidden="false" customHeight="true" outlineLevel="0" collapsed="false">
      <c r="A172" s="85" t="str">
        <f aca="false">IF(C172="","","C"&amp;TEXT(ROW()-4,"000"))</f>
        <v/>
      </c>
      <c r="B172" s="52"/>
      <c r="C172" s="52"/>
      <c r="D172" s="52"/>
      <c r="E172" s="89" t="str">
        <f aca="false">IF(D172="","",IFERROR(INDEX(Teachers!$B$5:$B$304,MATCH(D172,Teachers!$A$5:$A$304,0)),""))</f>
        <v/>
      </c>
      <c r="F172" s="86"/>
      <c r="G172" s="85" t="str">
        <f aca="false">IF($A172="","",COUNTIFS(Students!$E$5:$E$304,$B172,Students!$F$5:$F$304,$C172,Students!$K$5:$K$304,"Active"))</f>
        <v/>
      </c>
      <c r="H172" s="85" t="str">
        <f aca="false">IF($A172="","",MAX(0,Settings!$B$7-G172))</f>
        <v/>
      </c>
      <c r="I172" s="85" t="str">
        <f aca="false">IF($A172="","",IF(G172&gt;=Settings!$B$7,"Full","Open"))</f>
        <v/>
      </c>
    </row>
    <row r="173" customFormat="false" ht="19.5" hidden="false" customHeight="true" outlineLevel="0" collapsed="false">
      <c r="A173" s="85" t="str">
        <f aca="false">IF(C173="","","C"&amp;TEXT(ROW()-4,"000"))</f>
        <v/>
      </c>
      <c r="B173" s="52"/>
      <c r="C173" s="52"/>
      <c r="D173" s="52"/>
      <c r="E173" s="89" t="str">
        <f aca="false">IF(D173="","",IFERROR(INDEX(Teachers!$B$5:$B$304,MATCH(D173,Teachers!$A$5:$A$304,0)),""))</f>
        <v/>
      </c>
      <c r="F173" s="86"/>
      <c r="G173" s="85" t="str">
        <f aca="false">IF($A173="","",COUNTIFS(Students!$E$5:$E$304,$B173,Students!$F$5:$F$304,$C173,Students!$K$5:$K$304,"Active"))</f>
        <v/>
      </c>
      <c r="H173" s="85" t="str">
        <f aca="false">IF($A173="","",MAX(0,Settings!$B$7-G173))</f>
        <v/>
      </c>
      <c r="I173" s="85" t="str">
        <f aca="false">IF($A173="","",IF(G173&gt;=Settings!$B$7,"Full","Open"))</f>
        <v/>
      </c>
    </row>
    <row r="174" customFormat="false" ht="19.5" hidden="false" customHeight="true" outlineLevel="0" collapsed="false">
      <c r="A174" s="85" t="str">
        <f aca="false">IF(C174="","","C"&amp;TEXT(ROW()-4,"000"))</f>
        <v/>
      </c>
      <c r="B174" s="52"/>
      <c r="C174" s="52"/>
      <c r="D174" s="52"/>
      <c r="E174" s="89" t="str">
        <f aca="false">IF(D174="","",IFERROR(INDEX(Teachers!$B$5:$B$304,MATCH(D174,Teachers!$A$5:$A$304,0)),""))</f>
        <v/>
      </c>
      <c r="F174" s="86"/>
      <c r="G174" s="85" t="str">
        <f aca="false">IF($A174="","",COUNTIFS(Students!$E$5:$E$304,$B174,Students!$F$5:$F$304,$C174,Students!$K$5:$K$304,"Active"))</f>
        <v/>
      </c>
      <c r="H174" s="85" t="str">
        <f aca="false">IF($A174="","",MAX(0,Settings!$B$7-G174))</f>
        <v/>
      </c>
      <c r="I174" s="85" t="str">
        <f aca="false">IF($A174="","",IF(G174&gt;=Settings!$B$7,"Full","Open"))</f>
        <v/>
      </c>
    </row>
    <row r="175" customFormat="false" ht="19.5" hidden="false" customHeight="true" outlineLevel="0" collapsed="false">
      <c r="A175" s="85" t="str">
        <f aca="false">IF(C175="","","C"&amp;TEXT(ROW()-4,"000"))</f>
        <v/>
      </c>
      <c r="B175" s="52"/>
      <c r="C175" s="52"/>
      <c r="D175" s="52"/>
      <c r="E175" s="89" t="str">
        <f aca="false">IF(D175="","",IFERROR(INDEX(Teachers!$B$5:$B$304,MATCH(D175,Teachers!$A$5:$A$304,0)),""))</f>
        <v/>
      </c>
      <c r="F175" s="86"/>
      <c r="G175" s="85" t="str">
        <f aca="false">IF($A175="","",COUNTIFS(Students!$E$5:$E$304,$B175,Students!$F$5:$F$304,$C175,Students!$K$5:$K$304,"Active"))</f>
        <v/>
      </c>
      <c r="H175" s="85" t="str">
        <f aca="false">IF($A175="","",MAX(0,Settings!$B$7-G175))</f>
        <v/>
      </c>
      <c r="I175" s="85" t="str">
        <f aca="false">IF($A175="","",IF(G175&gt;=Settings!$B$7,"Full","Open"))</f>
        <v/>
      </c>
    </row>
    <row r="176" customFormat="false" ht="19.5" hidden="false" customHeight="true" outlineLevel="0" collapsed="false">
      <c r="A176" s="85" t="str">
        <f aca="false">IF(C176="","","C"&amp;TEXT(ROW()-4,"000"))</f>
        <v/>
      </c>
      <c r="B176" s="52"/>
      <c r="C176" s="52"/>
      <c r="D176" s="52"/>
      <c r="E176" s="89" t="str">
        <f aca="false">IF(D176="","",IFERROR(INDEX(Teachers!$B$5:$B$304,MATCH(D176,Teachers!$A$5:$A$304,0)),""))</f>
        <v/>
      </c>
      <c r="F176" s="86"/>
      <c r="G176" s="85" t="str">
        <f aca="false">IF($A176="","",COUNTIFS(Students!$E$5:$E$304,$B176,Students!$F$5:$F$304,$C176,Students!$K$5:$K$304,"Active"))</f>
        <v/>
      </c>
      <c r="H176" s="85" t="str">
        <f aca="false">IF($A176="","",MAX(0,Settings!$B$7-G176))</f>
        <v/>
      </c>
      <c r="I176" s="85" t="str">
        <f aca="false">IF($A176="","",IF(G176&gt;=Settings!$B$7,"Full","Open"))</f>
        <v/>
      </c>
    </row>
    <row r="177" customFormat="false" ht="19.5" hidden="false" customHeight="true" outlineLevel="0" collapsed="false">
      <c r="A177" s="85" t="str">
        <f aca="false">IF(C177="","","C"&amp;TEXT(ROW()-4,"000"))</f>
        <v/>
      </c>
      <c r="B177" s="52"/>
      <c r="C177" s="52"/>
      <c r="D177" s="52"/>
      <c r="E177" s="89" t="str">
        <f aca="false">IF(D177="","",IFERROR(INDEX(Teachers!$B$5:$B$304,MATCH(D177,Teachers!$A$5:$A$304,0)),""))</f>
        <v/>
      </c>
      <c r="F177" s="86"/>
      <c r="G177" s="85" t="str">
        <f aca="false">IF($A177="","",COUNTIFS(Students!$E$5:$E$304,$B177,Students!$F$5:$F$304,$C177,Students!$K$5:$K$304,"Active"))</f>
        <v/>
      </c>
      <c r="H177" s="85" t="str">
        <f aca="false">IF($A177="","",MAX(0,Settings!$B$7-G177))</f>
        <v/>
      </c>
      <c r="I177" s="85" t="str">
        <f aca="false">IF($A177="","",IF(G177&gt;=Settings!$B$7,"Full","Open"))</f>
        <v/>
      </c>
    </row>
    <row r="178" customFormat="false" ht="19.5" hidden="false" customHeight="true" outlineLevel="0" collapsed="false">
      <c r="A178" s="85" t="str">
        <f aca="false">IF(C178="","","C"&amp;TEXT(ROW()-4,"000"))</f>
        <v/>
      </c>
      <c r="B178" s="52"/>
      <c r="C178" s="52"/>
      <c r="D178" s="52"/>
      <c r="E178" s="89" t="str">
        <f aca="false">IF(D178="","",IFERROR(INDEX(Teachers!$B$5:$B$304,MATCH(D178,Teachers!$A$5:$A$304,0)),""))</f>
        <v/>
      </c>
      <c r="F178" s="86"/>
      <c r="G178" s="85" t="str">
        <f aca="false">IF($A178="","",COUNTIFS(Students!$E$5:$E$304,$B178,Students!$F$5:$F$304,$C178,Students!$K$5:$K$304,"Active"))</f>
        <v/>
      </c>
      <c r="H178" s="85" t="str">
        <f aca="false">IF($A178="","",MAX(0,Settings!$B$7-G178))</f>
        <v/>
      </c>
      <c r="I178" s="85" t="str">
        <f aca="false">IF($A178="","",IF(G178&gt;=Settings!$B$7,"Full","Open"))</f>
        <v/>
      </c>
    </row>
    <row r="179" customFormat="false" ht="19.5" hidden="false" customHeight="true" outlineLevel="0" collapsed="false">
      <c r="A179" s="85" t="str">
        <f aca="false">IF(C179="","","C"&amp;TEXT(ROW()-4,"000"))</f>
        <v/>
      </c>
      <c r="B179" s="52"/>
      <c r="C179" s="52"/>
      <c r="D179" s="52"/>
      <c r="E179" s="89" t="str">
        <f aca="false">IF(D179="","",IFERROR(INDEX(Teachers!$B$5:$B$304,MATCH(D179,Teachers!$A$5:$A$304,0)),""))</f>
        <v/>
      </c>
      <c r="F179" s="86"/>
      <c r="G179" s="85" t="str">
        <f aca="false">IF($A179="","",COUNTIFS(Students!$E$5:$E$304,$B179,Students!$F$5:$F$304,$C179,Students!$K$5:$K$304,"Active"))</f>
        <v/>
      </c>
      <c r="H179" s="85" t="str">
        <f aca="false">IF($A179="","",MAX(0,Settings!$B$7-G179))</f>
        <v/>
      </c>
      <c r="I179" s="85" t="str">
        <f aca="false">IF($A179="","",IF(G179&gt;=Settings!$B$7,"Full","Open"))</f>
        <v/>
      </c>
    </row>
    <row r="180" customFormat="false" ht="19.5" hidden="false" customHeight="true" outlineLevel="0" collapsed="false">
      <c r="A180" s="85" t="str">
        <f aca="false">IF(C180="","","C"&amp;TEXT(ROW()-4,"000"))</f>
        <v/>
      </c>
      <c r="B180" s="52"/>
      <c r="C180" s="52"/>
      <c r="D180" s="52"/>
      <c r="E180" s="89" t="str">
        <f aca="false">IF(D180="","",IFERROR(INDEX(Teachers!$B$5:$B$304,MATCH(D180,Teachers!$A$5:$A$304,0)),""))</f>
        <v/>
      </c>
      <c r="F180" s="86"/>
      <c r="G180" s="85" t="str">
        <f aca="false">IF($A180="","",COUNTIFS(Students!$E$5:$E$304,$B180,Students!$F$5:$F$304,$C180,Students!$K$5:$K$304,"Active"))</f>
        <v/>
      </c>
      <c r="H180" s="85" t="str">
        <f aca="false">IF($A180="","",MAX(0,Settings!$B$7-G180))</f>
        <v/>
      </c>
      <c r="I180" s="85" t="str">
        <f aca="false">IF($A180="","",IF(G180&gt;=Settings!$B$7,"Full","Open"))</f>
        <v/>
      </c>
    </row>
    <row r="181" customFormat="false" ht="19.5" hidden="false" customHeight="true" outlineLevel="0" collapsed="false">
      <c r="A181" s="85" t="str">
        <f aca="false">IF(C181="","","C"&amp;TEXT(ROW()-4,"000"))</f>
        <v/>
      </c>
      <c r="B181" s="52"/>
      <c r="C181" s="52"/>
      <c r="D181" s="52"/>
      <c r="E181" s="89" t="str">
        <f aca="false">IF(D181="","",IFERROR(INDEX(Teachers!$B$5:$B$304,MATCH(D181,Teachers!$A$5:$A$304,0)),""))</f>
        <v/>
      </c>
      <c r="F181" s="86"/>
      <c r="G181" s="85" t="str">
        <f aca="false">IF($A181="","",COUNTIFS(Students!$E$5:$E$304,$B181,Students!$F$5:$F$304,$C181,Students!$K$5:$K$304,"Active"))</f>
        <v/>
      </c>
      <c r="H181" s="85" t="str">
        <f aca="false">IF($A181="","",MAX(0,Settings!$B$7-G181))</f>
        <v/>
      </c>
      <c r="I181" s="85" t="str">
        <f aca="false">IF($A181="","",IF(G181&gt;=Settings!$B$7,"Full","Open"))</f>
        <v/>
      </c>
    </row>
    <row r="182" customFormat="false" ht="19.5" hidden="false" customHeight="true" outlineLevel="0" collapsed="false">
      <c r="A182" s="85" t="str">
        <f aca="false">IF(C182="","","C"&amp;TEXT(ROW()-4,"000"))</f>
        <v/>
      </c>
      <c r="B182" s="52"/>
      <c r="C182" s="52"/>
      <c r="D182" s="52"/>
      <c r="E182" s="89" t="str">
        <f aca="false">IF(D182="","",IFERROR(INDEX(Teachers!$B$5:$B$304,MATCH(D182,Teachers!$A$5:$A$304,0)),""))</f>
        <v/>
      </c>
      <c r="F182" s="86"/>
      <c r="G182" s="85" t="str">
        <f aca="false">IF($A182="","",COUNTIFS(Students!$E$5:$E$304,$B182,Students!$F$5:$F$304,$C182,Students!$K$5:$K$304,"Active"))</f>
        <v/>
      </c>
      <c r="H182" s="85" t="str">
        <f aca="false">IF($A182="","",MAX(0,Settings!$B$7-G182))</f>
        <v/>
      </c>
      <c r="I182" s="85" t="str">
        <f aca="false">IF($A182="","",IF(G182&gt;=Settings!$B$7,"Full","Open"))</f>
        <v/>
      </c>
    </row>
    <row r="183" customFormat="false" ht="19.5" hidden="false" customHeight="true" outlineLevel="0" collapsed="false">
      <c r="A183" s="85" t="str">
        <f aca="false">IF(C183="","","C"&amp;TEXT(ROW()-4,"000"))</f>
        <v/>
      </c>
      <c r="B183" s="52"/>
      <c r="C183" s="52"/>
      <c r="D183" s="52"/>
      <c r="E183" s="89" t="str">
        <f aca="false">IF(D183="","",IFERROR(INDEX(Teachers!$B$5:$B$304,MATCH(D183,Teachers!$A$5:$A$304,0)),""))</f>
        <v/>
      </c>
      <c r="F183" s="86"/>
      <c r="G183" s="85" t="str">
        <f aca="false">IF($A183="","",COUNTIFS(Students!$E$5:$E$304,$B183,Students!$F$5:$F$304,$C183,Students!$K$5:$K$304,"Active"))</f>
        <v/>
      </c>
      <c r="H183" s="85" t="str">
        <f aca="false">IF($A183="","",MAX(0,Settings!$B$7-G183))</f>
        <v/>
      </c>
      <c r="I183" s="85" t="str">
        <f aca="false">IF($A183="","",IF(G183&gt;=Settings!$B$7,"Full","Open"))</f>
        <v/>
      </c>
    </row>
    <row r="184" customFormat="false" ht="19.5" hidden="false" customHeight="true" outlineLevel="0" collapsed="false">
      <c r="A184" s="85" t="str">
        <f aca="false">IF(C184="","","C"&amp;TEXT(ROW()-4,"000"))</f>
        <v/>
      </c>
      <c r="B184" s="52"/>
      <c r="C184" s="52"/>
      <c r="D184" s="52"/>
      <c r="E184" s="89" t="str">
        <f aca="false">IF(D184="","",IFERROR(INDEX(Teachers!$B$5:$B$304,MATCH(D184,Teachers!$A$5:$A$304,0)),""))</f>
        <v/>
      </c>
      <c r="F184" s="86"/>
      <c r="G184" s="85" t="str">
        <f aca="false">IF($A184="","",COUNTIFS(Students!$E$5:$E$304,$B184,Students!$F$5:$F$304,$C184,Students!$K$5:$K$304,"Active"))</f>
        <v/>
      </c>
      <c r="H184" s="85" t="str">
        <f aca="false">IF($A184="","",MAX(0,Settings!$B$7-G184))</f>
        <v/>
      </c>
      <c r="I184" s="85" t="str">
        <f aca="false">IF($A184="","",IF(G184&gt;=Settings!$B$7,"Full","Open"))</f>
        <v/>
      </c>
    </row>
    <row r="185" customFormat="false" ht="19.5" hidden="false" customHeight="true" outlineLevel="0" collapsed="false">
      <c r="A185" s="85" t="str">
        <f aca="false">IF(C185="","","C"&amp;TEXT(ROW()-4,"000"))</f>
        <v/>
      </c>
      <c r="B185" s="52"/>
      <c r="C185" s="52"/>
      <c r="D185" s="52"/>
      <c r="E185" s="89" t="str">
        <f aca="false">IF(D185="","",IFERROR(INDEX(Teachers!$B$5:$B$304,MATCH(D185,Teachers!$A$5:$A$304,0)),""))</f>
        <v/>
      </c>
      <c r="F185" s="86"/>
      <c r="G185" s="85" t="str">
        <f aca="false">IF($A185="","",COUNTIFS(Students!$E$5:$E$304,$B185,Students!$F$5:$F$304,$C185,Students!$K$5:$K$304,"Active"))</f>
        <v/>
      </c>
      <c r="H185" s="85" t="str">
        <f aca="false">IF($A185="","",MAX(0,Settings!$B$7-G185))</f>
        <v/>
      </c>
      <c r="I185" s="85" t="str">
        <f aca="false">IF($A185="","",IF(G185&gt;=Settings!$B$7,"Full","Open"))</f>
        <v/>
      </c>
    </row>
    <row r="186" customFormat="false" ht="19.5" hidden="false" customHeight="true" outlineLevel="0" collapsed="false">
      <c r="A186" s="85" t="str">
        <f aca="false">IF(C186="","","C"&amp;TEXT(ROW()-4,"000"))</f>
        <v/>
      </c>
      <c r="B186" s="52"/>
      <c r="C186" s="52"/>
      <c r="D186" s="52"/>
      <c r="E186" s="89" t="str">
        <f aca="false">IF(D186="","",IFERROR(INDEX(Teachers!$B$5:$B$304,MATCH(D186,Teachers!$A$5:$A$304,0)),""))</f>
        <v/>
      </c>
      <c r="F186" s="86"/>
      <c r="G186" s="85" t="str">
        <f aca="false">IF($A186="","",COUNTIFS(Students!$E$5:$E$304,$B186,Students!$F$5:$F$304,$C186,Students!$K$5:$K$304,"Active"))</f>
        <v/>
      </c>
      <c r="H186" s="85" t="str">
        <f aca="false">IF($A186="","",MAX(0,Settings!$B$7-G186))</f>
        <v/>
      </c>
      <c r="I186" s="85" t="str">
        <f aca="false">IF($A186="","",IF(G186&gt;=Settings!$B$7,"Full","Open"))</f>
        <v/>
      </c>
    </row>
    <row r="187" customFormat="false" ht="19.5" hidden="false" customHeight="true" outlineLevel="0" collapsed="false">
      <c r="A187" s="85" t="str">
        <f aca="false">IF(C187="","","C"&amp;TEXT(ROW()-4,"000"))</f>
        <v/>
      </c>
      <c r="B187" s="52"/>
      <c r="C187" s="52"/>
      <c r="D187" s="52"/>
      <c r="E187" s="89" t="str">
        <f aca="false">IF(D187="","",IFERROR(INDEX(Teachers!$B$5:$B$304,MATCH(D187,Teachers!$A$5:$A$304,0)),""))</f>
        <v/>
      </c>
      <c r="F187" s="86"/>
      <c r="G187" s="85" t="str">
        <f aca="false">IF($A187="","",COUNTIFS(Students!$E$5:$E$304,$B187,Students!$F$5:$F$304,$C187,Students!$K$5:$K$304,"Active"))</f>
        <v/>
      </c>
      <c r="H187" s="85" t="str">
        <f aca="false">IF($A187="","",MAX(0,Settings!$B$7-G187))</f>
        <v/>
      </c>
      <c r="I187" s="85" t="str">
        <f aca="false">IF($A187="","",IF(G187&gt;=Settings!$B$7,"Full","Open"))</f>
        <v/>
      </c>
    </row>
    <row r="188" customFormat="false" ht="19.5" hidden="false" customHeight="true" outlineLevel="0" collapsed="false">
      <c r="A188" s="85" t="str">
        <f aca="false">IF(C188="","","C"&amp;TEXT(ROW()-4,"000"))</f>
        <v/>
      </c>
      <c r="B188" s="52"/>
      <c r="C188" s="52"/>
      <c r="D188" s="52"/>
      <c r="E188" s="89" t="str">
        <f aca="false">IF(D188="","",IFERROR(INDEX(Teachers!$B$5:$B$304,MATCH(D188,Teachers!$A$5:$A$304,0)),""))</f>
        <v/>
      </c>
      <c r="F188" s="86"/>
      <c r="G188" s="85" t="str">
        <f aca="false">IF($A188="","",COUNTIFS(Students!$E$5:$E$304,$B188,Students!$F$5:$F$304,$C188,Students!$K$5:$K$304,"Active"))</f>
        <v/>
      </c>
      <c r="H188" s="85" t="str">
        <f aca="false">IF($A188="","",MAX(0,Settings!$B$7-G188))</f>
        <v/>
      </c>
      <c r="I188" s="85" t="str">
        <f aca="false">IF($A188="","",IF(G188&gt;=Settings!$B$7,"Full","Open"))</f>
        <v/>
      </c>
    </row>
    <row r="189" customFormat="false" ht="19.5" hidden="false" customHeight="true" outlineLevel="0" collapsed="false">
      <c r="A189" s="85" t="str">
        <f aca="false">IF(C189="","","C"&amp;TEXT(ROW()-4,"000"))</f>
        <v/>
      </c>
      <c r="B189" s="52"/>
      <c r="C189" s="52"/>
      <c r="D189" s="52"/>
      <c r="E189" s="89" t="str">
        <f aca="false">IF(D189="","",IFERROR(INDEX(Teachers!$B$5:$B$304,MATCH(D189,Teachers!$A$5:$A$304,0)),""))</f>
        <v/>
      </c>
      <c r="F189" s="86"/>
      <c r="G189" s="85" t="str">
        <f aca="false">IF($A189="","",COUNTIFS(Students!$E$5:$E$304,$B189,Students!$F$5:$F$304,$C189,Students!$K$5:$K$304,"Active"))</f>
        <v/>
      </c>
      <c r="H189" s="85" t="str">
        <f aca="false">IF($A189="","",MAX(0,Settings!$B$7-G189))</f>
        <v/>
      </c>
      <c r="I189" s="85" t="str">
        <f aca="false">IF($A189="","",IF(G189&gt;=Settings!$B$7,"Full","Open"))</f>
        <v/>
      </c>
    </row>
    <row r="190" customFormat="false" ht="19.5" hidden="false" customHeight="true" outlineLevel="0" collapsed="false">
      <c r="A190" s="85" t="str">
        <f aca="false">IF(C190="","","C"&amp;TEXT(ROW()-4,"000"))</f>
        <v/>
      </c>
      <c r="B190" s="52"/>
      <c r="C190" s="52"/>
      <c r="D190" s="52"/>
      <c r="E190" s="89" t="str">
        <f aca="false">IF(D190="","",IFERROR(INDEX(Teachers!$B$5:$B$304,MATCH(D190,Teachers!$A$5:$A$304,0)),""))</f>
        <v/>
      </c>
      <c r="F190" s="86"/>
      <c r="G190" s="85" t="str">
        <f aca="false">IF($A190="","",COUNTIFS(Students!$E$5:$E$304,$B190,Students!$F$5:$F$304,$C190,Students!$K$5:$K$304,"Active"))</f>
        <v/>
      </c>
      <c r="H190" s="85" t="str">
        <f aca="false">IF($A190="","",MAX(0,Settings!$B$7-G190))</f>
        <v/>
      </c>
      <c r="I190" s="85" t="str">
        <f aca="false">IF($A190="","",IF(G190&gt;=Settings!$B$7,"Full","Open"))</f>
        <v/>
      </c>
    </row>
    <row r="191" customFormat="false" ht="19.5" hidden="false" customHeight="true" outlineLevel="0" collapsed="false">
      <c r="A191" s="85" t="str">
        <f aca="false">IF(C191="","","C"&amp;TEXT(ROW()-4,"000"))</f>
        <v/>
      </c>
      <c r="B191" s="52"/>
      <c r="C191" s="52"/>
      <c r="D191" s="52"/>
      <c r="E191" s="89" t="str">
        <f aca="false">IF(D191="","",IFERROR(INDEX(Teachers!$B$5:$B$304,MATCH(D191,Teachers!$A$5:$A$304,0)),""))</f>
        <v/>
      </c>
      <c r="F191" s="86"/>
      <c r="G191" s="85" t="str">
        <f aca="false">IF($A191="","",COUNTIFS(Students!$E$5:$E$304,$B191,Students!$F$5:$F$304,$C191,Students!$K$5:$K$304,"Active"))</f>
        <v/>
      </c>
      <c r="H191" s="85" t="str">
        <f aca="false">IF($A191="","",MAX(0,Settings!$B$7-G191))</f>
        <v/>
      </c>
      <c r="I191" s="85" t="str">
        <f aca="false">IF($A191="","",IF(G191&gt;=Settings!$B$7,"Full","Open"))</f>
        <v/>
      </c>
    </row>
    <row r="192" customFormat="false" ht="19.5" hidden="false" customHeight="true" outlineLevel="0" collapsed="false">
      <c r="A192" s="85" t="str">
        <f aca="false">IF(C192="","","C"&amp;TEXT(ROW()-4,"000"))</f>
        <v/>
      </c>
      <c r="B192" s="52"/>
      <c r="C192" s="52"/>
      <c r="D192" s="52"/>
      <c r="E192" s="89" t="str">
        <f aca="false">IF(D192="","",IFERROR(INDEX(Teachers!$B$5:$B$304,MATCH(D192,Teachers!$A$5:$A$304,0)),""))</f>
        <v/>
      </c>
      <c r="F192" s="86"/>
      <c r="G192" s="85" t="str">
        <f aca="false">IF($A192="","",COUNTIFS(Students!$E$5:$E$304,$B192,Students!$F$5:$F$304,$C192,Students!$K$5:$K$304,"Active"))</f>
        <v/>
      </c>
      <c r="H192" s="85" t="str">
        <f aca="false">IF($A192="","",MAX(0,Settings!$B$7-G192))</f>
        <v/>
      </c>
      <c r="I192" s="85" t="str">
        <f aca="false">IF($A192="","",IF(G192&gt;=Settings!$B$7,"Full","Open"))</f>
        <v/>
      </c>
    </row>
    <row r="193" customFormat="false" ht="19.5" hidden="false" customHeight="true" outlineLevel="0" collapsed="false">
      <c r="A193" s="85" t="str">
        <f aca="false">IF(C193="","","C"&amp;TEXT(ROW()-4,"000"))</f>
        <v/>
      </c>
      <c r="B193" s="52"/>
      <c r="C193" s="52"/>
      <c r="D193" s="52"/>
      <c r="E193" s="89" t="str">
        <f aca="false">IF(D193="","",IFERROR(INDEX(Teachers!$B$5:$B$304,MATCH(D193,Teachers!$A$5:$A$304,0)),""))</f>
        <v/>
      </c>
      <c r="F193" s="86"/>
      <c r="G193" s="85" t="str">
        <f aca="false">IF($A193="","",COUNTIFS(Students!$E$5:$E$304,$B193,Students!$F$5:$F$304,$C193,Students!$K$5:$K$304,"Active"))</f>
        <v/>
      </c>
      <c r="H193" s="85" t="str">
        <f aca="false">IF($A193="","",MAX(0,Settings!$B$7-G193))</f>
        <v/>
      </c>
      <c r="I193" s="85" t="str">
        <f aca="false">IF($A193="","",IF(G193&gt;=Settings!$B$7,"Full","Open"))</f>
        <v/>
      </c>
    </row>
    <row r="194" customFormat="false" ht="19.5" hidden="false" customHeight="true" outlineLevel="0" collapsed="false">
      <c r="A194" s="85" t="str">
        <f aca="false">IF(C194="","","C"&amp;TEXT(ROW()-4,"000"))</f>
        <v/>
      </c>
      <c r="B194" s="52"/>
      <c r="C194" s="52"/>
      <c r="D194" s="52"/>
      <c r="E194" s="89" t="str">
        <f aca="false">IF(D194="","",IFERROR(INDEX(Teachers!$B$5:$B$304,MATCH(D194,Teachers!$A$5:$A$304,0)),""))</f>
        <v/>
      </c>
      <c r="F194" s="86"/>
      <c r="G194" s="85" t="str">
        <f aca="false">IF($A194="","",COUNTIFS(Students!$E$5:$E$304,$B194,Students!$F$5:$F$304,$C194,Students!$K$5:$K$304,"Active"))</f>
        <v/>
      </c>
      <c r="H194" s="85" t="str">
        <f aca="false">IF($A194="","",MAX(0,Settings!$B$7-G194))</f>
        <v/>
      </c>
      <c r="I194" s="85" t="str">
        <f aca="false">IF($A194="","",IF(G194&gt;=Settings!$B$7,"Full","Open"))</f>
        <v/>
      </c>
    </row>
    <row r="195" customFormat="false" ht="19.5" hidden="false" customHeight="true" outlineLevel="0" collapsed="false">
      <c r="A195" s="85" t="str">
        <f aca="false">IF(C195="","","C"&amp;TEXT(ROW()-4,"000"))</f>
        <v/>
      </c>
      <c r="B195" s="52"/>
      <c r="C195" s="52"/>
      <c r="D195" s="52"/>
      <c r="E195" s="89" t="str">
        <f aca="false">IF(D195="","",IFERROR(INDEX(Teachers!$B$5:$B$304,MATCH(D195,Teachers!$A$5:$A$304,0)),""))</f>
        <v/>
      </c>
      <c r="F195" s="86"/>
      <c r="G195" s="85" t="str">
        <f aca="false">IF($A195="","",COUNTIFS(Students!$E$5:$E$304,$B195,Students!$F$5:$F$304,$C195,Students!$K$5:$K$304,"Active"))</f>
        <v/>
      </c>
      <c r="H195" s="85" t="str">
        <f aca="false">IF($A195="","",MAX(0,Settings!$B$7-G195))</f>
        <v/>
      </c>
      <c r="I195" s="85" t="str">
        <f aca="false">IF($A195="","",IF(G195&gt;=Settings!$B$7,"Full","Open"))</f>
        <v/>
      </c>
    </row>
    <row r="196" customFormat="false" ht="19.5" hidden="false" customHeight="true" outlineLevel="0" collapsed="false">
      <c r="A196" s="85" t="str">
        <f aca="false">IF(C196="","","C"&amp;TEXT(ROW()-4,"000"))</f>
        <v/>
      </c>
      <c r="B196" s="52"/>
      <c r="C196" s="52"/>
      <c r="D196" s="52"/>
      <c r="E196" s="89" t="str">
        <f aca="false">IF(D196="","",IFERROR(INDEX(Teachers!$B$5:$B$304,MATCH(D196,Teachers!$A$5:$A$304,0)),""))</f>
        <v/>
      </c>
      <c r="F196" s="86"/>
      <c r="G196" s="85" t="str">
        <f aca="false">IF($A196="","",COUNTIFS(Students!$E$5:$E$304,$B196,Students!$F$5:$F$304,$C196,Students!$K$5:$K$304,"Active"))</f>
        <v/>
      </c>
      <c r="H196" s="85" t="str">
        <f aca="false">IF($A196="","",MAX(0,Settings!$B$7-G196))</f>
        <v/>
      </c>
      <c r="I196" s="85" t="str">
        <f aca="false">IF($A196="","",IF(G196&gt;=Settings!$B$7,"Full","Open"))</f>
        <v/>
      </c>
    </row>
    <row r="197" customFormat="false" ht="19.5" hidden="false" customHeight="true" outlineLevel="0" collapsed="false">
      <c r="A197" s="85" t="str">
        <f aca="false">IF(C197="","","C"&amp;TEXT(ROW()-4,"000"))</f>
        <v/>
      </c>
      <c r="B197" s="52"/>
      <c r="C197" s="52"/>
      <c r="D197" s="52"/>
      <c r="E197" s="89" t="str">
        <f aca="false">IF(D197="","",IFERROR(INDEX(Teachers!$B$5:$B$304,MATCH(D197,Teachers!$A$5:$A$304,0)),""))</f>
        <v/>
      </c>
      <c r="F197" s="86"/>
      <c r="G197" s="85" t="str">
        <f aca="false">IF($A197="","",COUNTIFS(Students!$E$5:$E$304,$B197,Students!$F$5:$F$304,$C197,Students!$K$5:$K$304,"Active"))</f>
        <v/>
      </c>
      <c r="H197" s="85" t="str">
        <f aca="false">IF($A197="","",MAX(0,Settings!$B$7-G197))</f>
        <v/>
      </c>
      <c r="I197" s="85" t="str">
        <f aca="false">IF($A197="","",IF(G197&gt;=Settings!$B$7,"Full","Open"))</f>
        <v/>
      </c>
    </row>
    <row r="198" customFormat="false" ht="19.5" hidden="false" customHeight="true" outlineLevel="0" collapsed="false">
      <c r="A198" s="85" t="str">
        <f aca="false">IF(C198="","","C"&amp;TEXT(ROW()-4,"000"))</f>
        <v/>
      </c>
      <c r="B198" s="52"/>
      <c r="C198" s="52"/>
      <c r="D198" s="52"/>
      <c r="E198" s="89" t="str">
        <f aca="false">IF(D198="","",IFERROR(INDEX(Teachers!$B$5:$B$304,MATCH(D198,Teachers!$A$5:$A$304,0)),""))</f>
        <v/>
      </c>
      <c r="F198" s="86"/>
      <c r="G198" s="85" t="str">
        <f aca="false">IF($A198="","",COUNTIFS(Students!$E$5:$E$304,$B198,Students!$F$5:$F$304,$C198,Students!$K$5:$K$304,"Active"))</f>
        <v/>
      </c>
      <c r="H198" s="85" t="str">
        <f aca="false">IF($A198="","",MAX(0,Settings!$B$7-G198))</f>
        <v/>
      </c>
      <c r="I198" s="85" t="str">
        <f aca="false">IF($A198="","",IF(G198&gt;=Settings!$B$7,"Full","Open"))</f>
        <v/>
      </c>
    </row>
    <row r="199" customFormat="false" ht="19.5" hidden="false" customHeight="true" outlineLevel="0" collapsed="false">
      <c r="A199" s="85" t="str">
        <f aca="false">IF(C199="","","C"&amp;TEXT(ROW()-4,"000"))</f>
        <v/>
      </c>
      <c r="B199" s="52"/>
      <c r="C199" s="52"/>
      <c r="D199" s="52"/>
      <c r="E199" s="89" t="str">
        <f aca="false">IF(D199="","",IFERROR(INDEX(Teachers!$B$5:$B$304,MATCH(D199,Teachers!$A$5:$A$304,0)),""))</f>
        <v/>
      </c>
      <c r="F199" s="86"/>
      <c r="G199" s="85" t="str">
        <f aca="false">IF($A199="","",COUNTIFS(Students!$E$5:$E$304,$B199,Students!$F$5:$F$304,$C199,Students!$K$5:$K$304,"Active"))</f>
        <v/>
      </c>
      <c r="H199" s="85" t="str">
        <f aca="false">IF($A199="","",MAX(0,Settings!$B$7-G199))</f>
        <v/>
      </c>
      <c r="I199" s="85" t="str">
        <f aca="false">IF($A199="","",IF(G199&gt;=Settings!$B$7,"Full","Open"))</f>
        <v/>
      </c>
    </row>
    <row r="200" customFormat="false" ht="19.5" hidden="false" customHeight="true" outlineLevel="0" collapsed="false">
      <c r="A200" s="85" t="str">
        <f aca="false">IF(C200="","","C"&amp;TEXT(ROW()-4,"000"))</f>
        <v/>
      </c>
      <c r="B200" s="52"/>
      <c r="C200" s="52"/>
      <c r="D200" s="52"/>
      <c r="E200" s="89" t="str">
        <f aca="false">IF(D200="","",IFERROR(INDEX(Teachers!$B$5:$B$304,MATCH(D200,Teachers!$A$5:$A$304,0)),""))</f>
        <v/>
      </c>
      <c r="F200" s="86"/>
      <c r="G200" s="85" t="str">
        <f aca="false">IF($A200="","",COUNTIFS(Students!$E$5:$E$304,$B200,Students!$F$5:$F$304,$C200,Students!$K$5:$K$304,"Active"))</f>
        <v/>
      </c>
      <c r="H200" s="85" t="str">
        <f aca="false">IF($A200="","",MAX(0,Settings!$B$7-G200))</f>
        <v/>
      </c>
      <c r="I200" s="85" t="str">
        <f aca="false">IF($A200="","",IF(G200&gt;=Settings!$B$7,"Full","Open"))</f>
        <v/>
      </c>
    </row>
    <row r="201" customFormat="false" ht="19.5" hidden="false" customHeight="true" outlineLevel="0" collapsed="false">
      <c r="A201" s="85" t="str">
        <f aca="false">IF(C201="","","C"&amp;TEXT(ROW()-4,"000"))</f>
        <v/>
      </c>
      <c r="B201" s="52"/>
      <c r="C201" s="52"/>
      <c r="D201" s="52"/>
      <c r="E201" s="89" t="str">
        <f aca="false">IF(D201="","",IFERROR(INDEX(Teachers!$B$5:$B$304,MATCH(D201,Teachers!$A$5:$A$304,0)),""))</f>
        <v/>
      </c>
      <c r="F201" s="86"/>
      <c r="G201" s="85" t="str">
        <f aca="false">IF($A201="","",COUNTIFS(Students!$E$5:$E$304,$B201,Students!$F$5:$F$304,$C201,Students!$K$5:$K$304,"Active"))</f>
        <v/>
      </c>
      <c r="H201" s="85" t="str">
        <f aca="false">IF($A201="","",MAX(0,Settings!$B$7-G201))</f>
        <v/>
      </c>
      <c r="I201" s="85" t="str">
        <f aca="false">IF($A201="","",IF(G201&gt;=Settings!$B$7,"Full","Open"))</f>
        <v/>
      </c>
    </row>
    <row r="202" customFormat="false" ht="19.5" hidden="false" customHeight="true" outlineLevel="0" collapsed="false">
      <c r="A202" s="85" t="str">
        <f aca="false">IF(C202="","","C"&amp;TEXT(ROW()-4,"000"))</f>
        <v/>
      </c>
      <c r="B202" s="52"/>
      <c r="C202" s="52"/>
      <c r="D202" s="52"/>
      <c r="E202" s="89" t="str">
        <f aca="false">IF(D202="","",IFERROR(INDEX(Teachers!$B$5:$B$304,MATCH(D202,Teachers!$A$5:$A$304,0)),""))</f>
        <v/>
      </c>
      <c r="F202" s="86"/>
      <c r="G202" s="85" t="str">
        <f aca="false">IF($A202="","",COUNTIFS(Students!$E$5:$E$304,$B202,Students!$F$5:$F$304,$C202,Students!$K$5:$K$304,"Active"))</f>
        <v/>
      </c>
      <c r="H202" s="85" t="str">
        <f aca="false">IF($A202="","",MAX(0,Settings!$B$7-G202))</f>
        <v/>
      </c>
      <c r="I202" s="85" t="str">
        <f aca="false">IF($A202="","",IF(G202&gt;=Settings!$B$7,"Full","Open"))</f>
        <v/>
      </c>
    </row>
    <row r="203" customFormat="false" ht="19.5" hidden="false" customHeight="true" outlineLevel="0" collapsed="false">
      <c r="A203" s="85" t="str">
        <f aca="false">IF(C203="","","C"&amp;TEXT(ROW()-4,"000"))</f>
        <v/>
      </c>
      <c r="B203" s="52"/>
      <c r="C203" s="52"/>
      <c r="D203" s="52"/>
      <c r="E203" s="89" t="str">
        <f aca="false">IF(D203="","",IFERROR(INDEX(Teachers!$B$5:$B$304,MATCH(D203,Teachers!$A$5:$A$304,0)),""))</f>
        <v/>
      </c>
      <c r="F203" s="86"/>
      <c r="G203" s="85" t="str">
        <f aca="false">IF($A203="","",COUNTIFS(Students!$E$5:$E$304,$B203,Students!$F$5:$F$304,$C203,Students!$K$5:$K$304,"Active"))</f>
        <v/>
      </c>
      <c r="H203" s="85" t="str">
        <f aca="false">IF($A203="","",MAX(0,Settings!$B$7-G203))</f>
        <v/>
      </c>
      <c r="I203" s="85" t="str">
        <f aca="false">IF($A203="","",IF(G203&gt;=Settings!$B$7,"Full","Open"))</f>
        <v/>
      </c>
    </row>
    <row r="204" customFormat="false" ht="19.5" hidden="false" customHeight="true" outlineLevel="0" collapsed="false">
      <c r="A204" s="85" t="str">
        <f aca="false">IF(C204="","","C"&amp;TEXT(ROW()-4,"000"))</f>
        <v/>
      </c>
      <c r="B204" s="52"/>
      <c r="C204" s="52"/>
      <c r="D204" s="52"/>
      <c r="E204" s="89" t="str">
        <f aca="false">IF(D204="","",IFERROR(INDEX(Teachers!$B$5:$B$304,MATCH(D204,Teachers!$A$5:$A$304,0)),""))</f>
        <v/>
      </c>
      <c r="F204" s="86"/>
      <c r="G204" s="85" t="str">
        <f aca="false">IF($A204="","",COUNTIFS(Students!$E$5:$E$304,$B204,Students!$F$5:$F$304,$C204,Students!$K$5:$K$304,"Active"))</f>
        <v/>
      </c>
      <c r="H204" s="85" t="str">
        <f aca="false">IF($A204="","",MAX(0,Settings!$B$7-G204))</f>
        <v/>
      </c>
      <c r="I204" s="85" t="str">
        <f aca="false">IF($A204="","",IF(G204&gt;=Settings!$B$7,"Full","Open"))</f>
        <v/>
      </c>
    </row>
    <row r="205" customFormat="false" ht="19.5" hidden="false" customHeight="true" outlineLevel="0" collapsed="false">
      <c r="A205" s="85" t="str">
        <f aca="false">IF(C205="","","C"&amp;TEXT(ROW()-4,"000"))</f>
        <v/>
      </c>
      <c r="B205" s="52"/>
      <c r="C205" s="52"/>
      <c r="D205" s="52"/>
      <c r="E205" s="89" t="str">
        <f aca="false">IF(D205="","",IFERROR(INDEX(Teachers!$B$5:$B$304,MATCH(D205,Teachers!$A$5:$A$304,0)),""))</f>
        <v/>
      </c>
      <c r="F205" s="86"/>
      <c r="G205" s="85" t="str">
        <f aca="false">IF($A205="","",COUNTIFS(Students!$E$5:$E$304,$B205,Students!$F$5:$F$304,$C205,Students!$K$5:$K$304,"Active"))</f>
        <v/>
      </c>
      <c r="H205" s="85" t="str">
        <f aca="false">IF($A205="","",MAX(0,Settings!$B$7-G205))</f>
        <v/>
      </c>
      <c r="I205" s="85" t="str">
        <f aca="false">IF($A205="","",IF(G205&gt;=Settings!$B$7,"Full","Open"))</f>
        <v/>
      </c>
    </row>
    <row r="206" customFormat="false" ht="19.5" hidden="false" customHeight="true" outlineLevel="0" collapsed="false">
      <c r="A206" s="85" t="str">
        <f aca="false">IF(C206="","","C"&amp;TEXT(ROW()-4,"000"))</f>
        <v/>
      </c>
      <c r="B206" s="52"/>
      <c r="C206" s="52"/>
      <c r="D206" s="52"/>
      <c r="E206" s="89" t="str">
        <f aca="false">IF(D206="","",IFERROR(INDEX(Teachers!$B$5:$B$304,MATCH(D206,Teachers!$A$5:$A$304,0)),""))</f>
        <v/>
      </c>
      <c r="F206" s="86"/>
      <c r="G206" s="85" t="str">
        <f aca="false">IF($A206="","",COUNTIFS(Students!$E$5:$E$304,$B206,Students!$F$5:$F$304,$C206,Students!$K$5:$K$304,"Active"))</f>
        <v/>
      </c>
      <c r="H206" s="85" t="str">
        <f aca="false">IF($A206="","",MAX(0,Settings!$B$7-G206))</f>
        <v/>
      </c>
      <c r="I206" s="85" t="str">
        <f aca="false">IF($A206="","",IF(G206&gt;=Settings!$B$7,"Full","Open"))</f>
        <v/>
      </c>
    </row>
    <row r="207" customFormat="false" ht="19.5" hidden="false" customHeight="true" outlineLevel="0" collapsed="false">
      <c r="A207" s="85" t="str">
        <f aca="false">IF(C207="","","C"&amp;TEXT(ROW()-4,"000"))</f>
        <v/>
      </c>
      <c r="B207" s="52"/>
      <c r="C207" s="52"/>
      <c r="D207" s="52"/>
      <c r="E207" s="89" t="str">
        <f aca="false">IF(D207="","",IFERROR(INDEX(Teachers!$B$5:$B$304,MATCH(D207,Teachers!$A$5:$A$304,0)),""))</f>
        <v/>
      </c>
      <c r="F207" s="86"/>
      <c r="G207" s="85" t="str">
        <f aca="false">IF($A207="","",COUNTIFS(Students!$E$5:$E$304,$B207,Students!$F$5:$F$304,$C207,Students!$K$5:$K$304,"Active"))</f>
        <v/>
      </c>
      <c r="H207" s="85" t="str">
        <f aca="false">IF($A207="","",MAX(0,Settings!$B$7-G207))</f>
        <v/>
      </c>
      <c r="I207" s="85" t="str">
        <f aca="false">IF($A207="","",IF(G207&gt;=Settings!$B$7,"Full","Open"))</f>
        <v/>
      </c>
    </row>
    <row r="208" customFormat="false" ht="19.5" hidden="false" customHeight="true" outlineLevel="0" collapsed="false">
      <c r="A208" s="85" t="str">
        <f aca="false">IF(C208="","","C"&amp;TEXT(ROW()-4,"000"))</f>
        <v/>
      </c>
      <c r="B208" s="52"/>
      <c r="C208" s="52"/>
      <c r="D208" s="52"/>
      <c r="E208" s="89" t="str">
        <f aca="false">IF(D208="","",IFERROR(INDEX(Teachers!$B$5:$B$304,MATCH(D208,Teachers!$A$5:$A$304,0)),""))</f>
        <v/>
      </c>
      <c r="F208" s="86"/>
      <c r="G208" s="85" t="str">
        <f aca="false">IF($A208="","",COUNTIFS(Students!$E$5:$E$304,$B208,Students!$F$5:$F$304,$C208,Students!$K$5:$K$304,"Active"))</f>
        <v/>
      </c>
      <c r="H208" s="85" t="str">
        <f aca="false">IF($A208="","",MAX(0,Settings!$B$7-G208))</f>
        <v/>
      </c>
      <c r="I208" s="85" t="str">
        <f aca="false">IF($A208="","",IF(G208&gt;=Settings!$B$7,"Full","Open"))</f>
        <v/>
      </c>
    </row>
    <row r="209" customFormat="false" ht="19.5" hidden="false" customHeight="true" outlineLevel="0" collapsed="false">
      <c r="A209" s="85" t="str">
        <f aca="false">IF(C209="","","C"&amp;TEXT(ROW()-4,"000"))</f>
        <v/>
      </c>
      <c r="B209" s="52"/>
      <c r="C209" s="52"/>
      <c r="D209" s="52"/>
      <c r="E209" s="89" t="str">
        <f aca="false">IF(D209="","",IFERROR(INDEX(Teachers!$B$5:$B$304,MATCH(D209,Teachers!$A$5:$A$304,0)),""))</f>
        <v/>
      </c>
      <c r="F209" s="86"/>
      <c r="G209" s="85" t="str">
        <f aca="false">IF($A209="","",COUNTIFS(Students!$E$5:$E$304,$B209,Students!$F$5:$F$304,$C209,Students!$K$5:$K$304,"Active"))</f>
        <v/>
      </c>
      <c r="H209" s="85" t="str">
        <f aca="false">IF($A209="","",MAX(0,Settings!$B$7-G209))</f>
        <v/>
      </c>
      <c r="I209" s="85" t="str">
        <f aca="false">IF($A209="","",IF(G209&gt;=Settings!$B$7,"Full","Open"))</f>
        <v/>
      </c>
    </row>
    <row r="210" customFormat="false" ht="19.5" hidden="false" customHeight="true" outlineLevel="0" collapsed="false">
      <c r="A210" s="85" t="str">
        <f aca="false">IF(C210="","","C"&amp;TEXT(ROW()-4,"000"))</f>
        <v/>
      </c>
      <c r="B210" s="52"/>
      <c r="C210" s="52"/>
      <c r="D210" s="52"/>
      <c r="E210" s="89" t="str">
        <f aca="false">IF(D210="","",IFERROR(INDEX(Teachers!$B$5:$B$304,MATCH(D210,Teachers!$A$5:$A$304,0)),""))</f>
        <v/>
      </c>
      <c r="F210" s="86"/>
      <c r="G210" s="85" t="str">
        <f aca="false">IF($A210="","",COUNTIFS(Students!$E$5:$E$304,$B210,Students!$F$5:$F$304,$C210,Students!$K$5:$K$304,"Active"))</f>
        <v/>
      </c>
      <c r="H210" s="85" t="str">
        <f aca="false">IF($A210="","",MAX(0,Settings!$B$7-G210))</f>
        <v/>
      </c>
      <c r="I210" s="85" t="str">
        <f aca="false">IF($A210="","",IF(G210&gt;=Settings!$B$7,"Full","Open"))</f>
        <v/>
      </c>
    </row>
    <row r="211" customFormat="false" ht="19.5" hidden="false" customHeight="true" outlineLevel="0" collapsed="false">
      <c r="A211" s="85" t="str">
        <f aca="false">IF(C211="","","C"&amp;TEXT(ROW()-4,"000"))</f>
        <v/>
      </c>
      <c r="B211" s="52"/>
      <c r="C211" s="52"/>
      <c r="D211" s="52"/>
      <c r="E211" s="89" t="str">
        <f aca="false">IF(D211="","",IFERROR(INDEX(Teachers!$B$5:$B$304,MATCH(D211,Teachers!$A$5:$A$304,0)),""))</f>
        <v/>
      </c>
      <c r="F211" s="86"/>
      <c r="G211" s="85" t="str">
        <f aca="false">IF($A211="","",COUNTIFS(Students!$E$5:$E$304,$B211,Students!$F$5:$F$304,$C211,Students!$K$5:$K$304,"Active"))</f>
        <v/>
      </c>
      <c r="H211" s="85" t="str">
        <f aca="false">IF($A211="","",MAX(0,Settings!$B$7-G211))</f>
        <v/>
      </c>
      <c r="I211" s="85" t="str">
        <f aca="false">IF($A211="","",IF(G211&gt;=Settings!$B$7,"Full","Open"))</f>
        <v/>
      </c>
    </row>
    <row r="212" customFormat="false" ht="19.5" hidden="false" customHeight="true" outlineLevel="0" collapsed="false">
      <c r="A212" s="85" t="str">
        <f aca="false">IF(C212="","","C"&amp;TEXT(ROW()-4,"000"))</f>
        <v/>
      </c>
      <c r="B212" s="52"/>
      <c r="C212" s="52"/>
      <c r="D212" s="52"/>
      <c r="E212" s="89" t="str">
        <f aca="false">IF(D212="","",IFERROR(INDEX(Teachers!$B$5:$B$304,MATCH(D212,Teachers!$A$5:$A$304,0)),""))</f>
        <v/>
      </c>
      <c r="F212" s="86"/>
      <c r="G212" s="85" t="str">
        <f aca="false">IF($A212="","",COUNTIFS(Students!$E$5:$E$304,$B212,Students!$F$5:$F$304,$C212,Students!$K$5:$K$304,"Active"))</f>
        <v/>
      </c>
      <c r="H212" s="85" t="str">
        <f aca="false">IF($A212="","",MAX(0,Settings!$B$7-G212))</f>
        <v/>
      </c>
      <c r="I212" s="85" t="str">
        <f aca="false">IF($A212="","",IF(G212&gt;=Settings!$B$7,"Full","Open"))</f>
        <v/>
      </c>
    </row>
    <row r="213" customFormat="false" ht="19.5" hidden="false" customHeight="true" outlineLevel="0" collapsed="false">
      <c r="A213" s="85" t="str">
        <f aca="false">IF(C213="","","C"&amp;TEXT(ROW()-4,"000"))</f>
        <v/>
      </c>
      <c r="B213" s="52"/>
      <c r="C213" s="52"/>
      <c r="D213" s="52"/>
      <c r="E213" s="89" t="str">
        <f aca="false">IF(D213="","",IFERROR(INDEX(Teachers!$B$5:$B$304,MATCH(D213,Teachers!$A$5:$A$304,0)),""))</f>
        <v/>
      </c>
      <c r="F213" s="86"/>
      <c r="G213" s="85" t="str">
        <f aca="false">IF($A213="","",COUNTIFS(Students!$E$5:$E$304,$B213,Students!$F$5:$F$304,$C213,Students!$K$5:$K$304,"Active"))</f>
        <v/>
      </c>
      <c r="H213" s="85" t="str">
        <f aca="false">IF($A213="","",MAX(0,Settings!$B$7-G213))</f>
        <v/>
      </c>
      <c r="I213" s="85" t="str">
        <f aca="false">IF($A213="","",IF(G213&gt;=Settings!$B$7,"Full","Open"))</f>
        <v/>
      </c>
    </row>
    <row r="214" customFormat="false" ht="19.5" hidden="false" customHeight="true" outlineLevel="0" collapsed="false">
      <c r="A214" s="85" t="str">
        <f aca="false">IF(C214="","","C"&amp;TEXT(ROW()-4,"000"))</f>
        <v/>
      </c>
      <c r="B214" s="52"/>
      <c r="C214" s="52"/>
      <c r="D214" s="52"/>
      <c r="E214" s="89" t="str">
        <f aca="false">IF(D214="","",IFERROR(INDEX(Teachers!$B$5:$B$304,MATCH(D214,Teachers!$A$5:$A$304,0)),""))</f>
        <v/>
      </c>
      <c r="F214" s="86"/>
      <c r="G214" s="85" t="str">
        <f aca="false">IF($A214="","",COUNTIFS(Students!$E$5:$E$304,$B214,Students!$F$5:$F$304,$C214,Students!$K$5:$K$304,"Active"))</f>
        <v/>
      </c>
      <c r="H214" s="85" t="str">
        <f aca="false">IF($A214="","",MAX(0,Settings!$B$7-G214))</f>
        <v/>
      </c>
      <c r="I214" s="85" t="str">
        <f aca="false">IF($A214="","",IF(G214&gt;=Settings!$B$7,"Full","Open"))</f>
        <v/>
      </c>
    </row>
    <row r="215" customFormat="false" ht="19.5" hidden="false" customHeight="true" outlineLevel="0" collapsed="false">
      <c r="A215" s="85" t="str">
        <f aca="false">IF(C215="","","C"&amp;TEXT(ROW()-4,"000"))</f>
        <v/>
      </c>
      <c r="B215" s="52"/>
      <c r="C215" s="52"/>
      <c r="D215" s="52"/>
      <c r="E215" s="89" t="str">
        <f aca="false">IF(D215="","",IFERROR(INDEX(Teachers!$B$5:$B$304,MATCH(D215,Teachers!$A$5:$A$304,0)),""))</f>
        <v/>
      </c>
      <c r="F215" s="86"/>
      <c r="G215" s="85" t="str">
        <f aca="false">IF($A215="","",COUNTIFS(Students!$E$5:$E$304,$B215,Students!$F$5:$F$304,$C215,Students!$K$5:$K$304,"Active"))</f>
        <v/>
      </c>
      <c r="H215" s="85" t="str">
        <f aca="false">IF($A215="","",MAX(0,Settings!$B$7-G215))</f>
        <v/>
      </c>
      <c r="I215" s="85" t="str">
        <f aca="false">IF($A215="","",IF(G215&gt;=Settings!$B$7,"Full","Open"))</f>
        <v/>
      </c>
    </row>
    <row r="216" customFormat="false" ht="19.5" hidden="false" customHeight="true" outlineLevel="0" collapsed="false">
      <c r="A216" s="85" t="str">
        <f aca="false">IF(C216="","","C"&amp;TEXT(ROW()-4,"000"))</f>
        <v/>
      </c>
      <c r="B216" s="52"/>
      <c r="C216" s="52"/>
      <c r="D216" s="52"/>
      <c r="E216" s="89" t="str">
        <f aca="false">IF(D216="","",IFERROR(INDEX(Teachers!$B$5:$B$304,MATCH(D216,Teachers!$A$5:$A$304,0)),""))</f>
        <v/>
      </c>
      <c r="F216" s="86"/>
      <c r="G216" s="85" t="str">
        <f aca="false">IF($A216="","",COUNTIFS(Students!$E$5:$E$304,$B216,Students!$F$5:$F$304,$C216,Students!$K$5:$K$304,"Active"))</f>
        <v/>
      </c>
      <c r="H216" s="85" t="str">
        <f aca="false">IF($A216="","",MAX(0,Settings!$B$7-G216))</f>
        <v/>
      </c>
      <c r="I216" s="85" t="str">
        <f aca="false">IF($A216="","",IF(G216&gt;=Settings!$B$7,"Full","Open"))</f>
        <v/>
      </c>
    </row>
    <row r="217" customFormat="false" ht="19.5" hidden="false" customHeight="true" outlineLevel="0" collapsed="false">
      <c r="A217" s="85" t="str">
        <f aca="false">IF(C217="","","C"&amp;TEXT(ROW()-4,"000"))</f>
        <v/>
      </c>
      <c r="B217" s="52"/>
      <c r="C217" s="52"/>
      <c r="D217" s="52"/>
      <c r="E217" s="89" t="str">
        <f aca="false">IF(D217="","",IFERROR(INDEX(Teachers!$B$5:$B$304,MATCH(D217,Teachers!$A$5:$A$304,0)),""))</f>
        <v/>
      </c>
      <c r="F217" s="86"/>
      <c r="G217" s="85" t="str">
        <f aca="false">IF($A217="","",COUNTIFS(Students!$E$5:$E$304,$B217,Students!$F$5:$F$304,$C217,Students!$K$5:$K$304,"Active"))</f>
        <v/>
      </c>
      <c r="H217" s="85" t="str">
        <f aca="false">IF($A217="","",MAX(0,Settings!$B$7-G217))</f>
        <v/>
      </c>
      <c r="I217" s="85" t="str">
        <f aca="false">IF($A217="","",IF(G217&gt;=Settings!$B$7,"Full","Open"))</f>
        <v/>
      </c>
    </row>
    <row r="218" customFormat="false" ht="19.5" hidden="false" customHeight="true" outlineLevel="0" collapsed="false">
      <c r="A218" s="85" t="str">
        <f aca="false">IF(C218="","","C"&amp;TEXT(ROW()-4,"000"))</f>
        <v/>
      </c>
      <c r="B218" s="52"/>
      <c r="C218" s="52"/>
      <c r="D218" s="52"/>
      <c r="E218" s="89" t="str">
        <f aca="false">IF(D218="","",IFERROR(INDEX(Teachers!$B$5:$B$304,MATCH(D218,Teachers!$A$5:$A$304,0)),""))</f>
        <v/>
      </c>
      <c r="F218" s="86"/>
      <c r="G218" s="85" t="str">
        <f aca="false">IF($A218="","",COUNTIFS(Students!$E$5:$E$304,$B218,Students!$F$5:$F$304,$C218,Students!$K$5:$K$304,"Active"))</f>
        <v/>
      </c>
      <c r="H218" s="85" t="str">
        <f aca="false">IF($A218="","",MAX(0,Settings!$B$7-G218))</f>
        <v/>
      </c>
      <c r="I218" s="85" t="str">
        <f aca="false">IF($A218="","",IF(G218&gt;=Settings!$B$7,"Full","Open"))</f>
        <v/>
      </c>
    </row>
    <row r="219" customFormat="false" ht="19.5" hidden="false" customHeight="true" outlineLevel="0" collapsed="false">
      <c r="A219" s="85" t="str">
        <f aca="false">IF(C219="","","C"&amp;TEXT(ROW()-4,"000"))</f>
        <v/>
      </c>
      <c r="B219" s="52"/>
      <c r="C219" s="52"/>
      <c r="D219" s="52"/>
      <c r="E219" s="89" t="str">
        <f aca="false">IF(D219="","",IFERROR(INDEX(Teachers!$B$5:$B$304,MATCH(D219,Teachers!$A$5:$A$304,0)),""))</f>
        <v/>
      </c>
      <c r="F219" s="86"/>
      <c r="G219" s="85" t="str">
        <f aca="false">IF($A219="","",COUNTIFS(Students!$E$5:$E$304,$B219,Students!$F$5:$F$304,$C219,Students!$K$5:$K$304,"Active"))</f>
        <v/>
      </c>
      <c r="H219" s="85" t="str">
        <f aca="false">IF($A219="","",MAX(0,Settings!$B$7-G219))</f>
        <v/>
      </c>
      <c r="I219" s="85" t="str">
        <f aca="false">IF($A219="","",IF(G219&gt;=Settings!$B$7,"Full","Open"))</f>
        <v/>
      </c>
    </row>
    <row r="220" customFormat="false" ht="19.5" hidden="false" customHeight="true" outlineLevel="0" collapsed="false">
      <c r="A220" s="85" t="str">
        <f aca="false">IF(C220="","","C"&amp;TEXT(ROW()-4,"000"))</f>
        <v/>
      </c>
      <c r="B220" s="52"/>
      <c r="C220" s="52"/>
      <c r="D220" s="52"/>
      <c r="E220" s="89" t="str">
        <f aca="false">IF(D220="","",IFERROR(INDEX(Teachers!$B$5:$B$304,MATCH(D220,Teachers!$A$5:$A$304,0)),""))</f>
        <v/>
      </c>
      <c r="F220" s="86"/>
      <c r="G220" s="85" t="str">
        <f aca="false">IF($A220="","",COUNTIFS(Students!$E$5:$E$304,$B220,Students!$F$5:$F$304,$C220,Students!$K$5:$K$304,"Active"))</f>
        <v/>
      </c>
      <c r="H220" s="85" t="str">
        <f aca="false">IF($A220="","",MAX(0,Settings!$B$7-G220))</f>
        <v/>
      </c>
      <c r="I220" s="85" t="str">
        <f aca="false">IF($A220="","",IF(G220&gt;=Settings!$B$7,"Full","Open"))</f>
        <v/>
      </c>
    </row>
    <row r="221" customFormat="false" ht="19.5" hidden="false" customHeight="true" outlineLevel="0" collapsed="false">
      <c r="A221" s="85" t="str">
        <f aca="false">IF(C221="","","C"&amp;TEXT(ROW()-4,"000"))</f>
        <v/>
      </c>
      <c r="B221" s="52"/>
      <c r="C221" s="52"/>
      <c r="D221" s="52"/>
      <c r="E221" s="89" t="str">
        <f aca="false">IF(D221="","",IFERROR(INDEX(Teachers!$B$5:$B$304,MATCH(D221,Teachers!$A$5:$A$304,0)),""))</f>
        <v/>
      </c>
      <c r="F221" s="86"/>
      <c r="G221" s="85" t="str">
        <f aca="false">IF($A221="","",COUNTIFS(Students!$E$5:$E$304,$B221,Students!$F$5:$F$304,$C221,Students!$K$5:$K$304,"Active"))</f>
        <v/>
      </c>
      <c r="H221" s="85" t="str">
        <f aca="false">IF($A221="","",MAX(0,Settings!$B$7-G221))</f>
        <v/>
      </c>
      <c r="I221" s="85" t="str">
        <f aca="false">IF($A221="","",IF(G221&gt;=Settings!$B$7,"Full","Open"))</f>
        <v/>
      </c>
    </row>
    <row r="222" customFormat="false" ht="19.5" hidden="false" customHeight="true" outlineLevel="0" collapsed="false">
      <c r="A222" s="85" t="str">
        <f aca="false">IF(C222="","","C"&amp;TEXT(ROW()-4,"000"))</f>
        <v/>
      </c>
      <c r="B222" s="52"/>
      <c r="C222" s="52"/>
      <c r="D222" s="52"/>
      <c r="E222" s="89" t="str">
        <f aca="false">IF(D222="","",IFERROR(INDEX(Teachers!$B$5:$B$304,MATCH(D222,Teachers!$A$5:$A$304,0)),""))</f>
        <v/>
      </c>
      <c r="F222" s="86"/>
      <c r="G222" s="85" t="str">
        <f aca="false">IF($A222="","",COUNTIFS(Students!$E$5:$E$304,$B222,Students!$F$5:$F$304,$C222,Students!$K$5:$K$304,"Active"))</f>
        <v/>
      </c>
      <c r="H222" s="85" t="str">
        <f aca="false">IF($A222="","",MAX(0,Settings!$B$7-G222))</f>
        <v/>
      </c>
      <c r="I222" s="85" t="str">
        <f aca="false">IF($A222="","",IF(G222&gt;=Settings!$B$7,"Full","Open"))</f>
        <v/>
      </c>
    </row>
    <row r="223" customFormat="false" ht="19.5" hidden="false" customHeight="true" outlineLevel="0" collapsed="false">
      <c r="A223" s="85" t="str">
        <f aca="false">IF(C223="","","C"&amp;TEXT(ROW()-4,"000"))</f>
        <v/>
      </c>
      <c r="B223" s="52"/>
      <c r="C223" s="52"/>
      <c r="D223" s="52"/>
      <c r="E223" s="89" t="str">
        <f aca="false">IF(D223="","",IFERROR(INDEX(Teachers!$B$5:$B$304,MATCH(D223,Teachers!$A$5:$A$304,0)),""))</f>
        <v/>
      </c>
      <c r="F223" s="86"/>
      <c r="G223" s="85" t="str">
        <f aca="false">IF($A223="","",COUNTIFS(Students!$E$5:$E$304,$B223,Students!$F$5:$F$304,$C223,Students!$K$5:$K$304,"Active"))</f>
        <v/>
      </c>
      <c r="H223" s="85" t="str">
        <f aca="false">IF($A223="","",MAX(0,Settings!$B$7-G223))</f>
        <v/>
      </c>
      <c r="I223" s="85" t="str">
        <f aca="false">IF($A223="","",IF(G223&gt;=Settings!$B$7,"Full","Open"))</f>
        <v/>
      </c>
    </row>
    <row r="224" customFormat="false" ht="19.5" hidden="false" customHeight="true" outlineLevel="0" collapsed="false">
      <c r="A224" s="85" t="str">
        <f aca="false">IF(C224="","","C"&amp;TEXT(ROW()-4,"000"))</f>
        <v/>
      </c>
      <c r="B224" s="52"/>
      <c r="C224" s="52"/>
      <c r="D224" s="52"/>
      <c r="E224" s="89" t="str">
        <f aca="false">IF(D224="","",IFERROR(INDEX(Teachers!$B$5:$B$304,MATCH(D224,Teachers!$A$5:$A$304,0)),""))</f>
        <v/>
      </c>
      <c r="F224" s="86"/>
      <c r="G224" s="85" t="str">
        <f aca="false">IF($A224="","",COUNTIFS(Students!$E$5:$E$304,$B224,Students!$F$5:$F$304,$C224,Students!$K$5:$K$304,"Active"))</f>
        <v/>
      </c>
      <c r="H224" s="85" t="str">
        <f aca="false">IF($A224="","",MAX(0,Settings!$B$7-G224))</f>
        <v/>
      </c>
      <c r="I224" s="85" t="str">
        <f aca="false">IF($A224="","",IF(G224&gt;=Settings!$B$7,"Full","Open"))</f>
        <v/>
      </c>
    </row>
    <row r="225" customFormat="false" ht="19.5" hidden="false" customHeight="true" outlineLevel="0" collapsed="false">
      <c r="A225" s="85" t="str">
        <f aca="false">IF(C225="","","C"&amp;TEXT(ROW()-4,"000"))</f>
        <v/>
      </c>
      <c r="B225" s="52"/>
      <c r="C225" s="52"/>
      <c r="D225" s="52"/>
      <c r="E225" s="89" t="str">
        <f aca="false">IF(D225="","",IFERROR(INDEX(Teachers!$B$5:$B$304,MATCH(D225,Teachers!$A$5:$A$304,0)),""))</f>
        <v/>
      </c>
      <c r="F225" s="86"/>
      <c r="G225" s="85" t="str">
        <f aca="false">IF($A225="","",COUNTIFS(Students!$E$5:$E$304,$B225,Students!$F$5:$F$304,$C225,Students!$K$5:$K$304,"Active"))</f>
        <v/>
      </c>
      <c r="H225" s="85" t="str">
        <f aca="false">IF($A225="","",MAX(0,Settings!$B$7-G225))</f>
        <v/>
      </c>
      <c r="I225" s="85" t="str">
        <f aca="false">IF($A225="","",IF(G225&gt;=Settings!$B$7,"Full","Open"))</f>
        <v/>
      </c>
    </row>
    <row r="226" customFormat="false" ht="19.5" hidden="false" customHeight="true" outlineLevel="0" collapsed="false">
      <c r="A226" s="85" t="str">
        <f aca="false">IF(C226="","","C"&amp;TEXT(ROW()-4,"000"))</f>
        <v/>
      </c>
      <c r="B226" s="52"/>
      <c r="C226" s="52"/>
      <c r="D226" s="52"/>
      <c r="E226" s="89" t="str">
        <f aca="false">IF(D226="","",IFERROR(INDEX(Teachers!$B$5:$B$304,MATCH(D226,Teachers!$A$5:$A$304,0)),""))</f>
        <v/>
      </c>
      <c r="F226" s="86"/>
      <c r="G226" s="85" t="str">
        <f aca="false">IF($A226="","",COUNTIFS(Students!$E$5:$E$304,$B226,Students!$F$5:$F$304,$C226,Students!$K$5:$K$304,"Active"))</f>
        <v/>
      </c>
      <c r="H226" s="85" t="str">
        <f aca="false">IF($A226="","",MAX(0,Settings!$B$7-G226))</f>
        <v/>
      </c>
      <c r="I226" s="85" t="str">
        <f aca="false">IF($A226="","",IF(G226&gt;=Settings!$B$7,"Full","Open"))</f>
        <v/>
      </c>
    </row>
    <row r="227" customFormat="false" ht="19.5" hidden="false" customHeight="true" outlineLevel="0" collapsed="false">
      <c r="A227" s="85" t="str">
        <f aca="false">IF(C227="","","C"&amp;TEXT(ROW()-4,"000"))</f>
        <v/>
      </c>
      <c r="B227" s="52"/>
      <c r="C227" s="52"/>
      <c r="D227" s="52"/>
      <c r="E227" s="89" t="str">
        <f aca="false">IF(D227="","",IFERROR(INDEX(Teachers!$B$5:$B$304,MATCH(D227,Teachers!$A$5:$A$304,0)),""))</f>
        <v/>
      </c>
      <c r="F227" s="86"/>
      <c r="G227" s="85" t="str">
        <f aca="false">IF($A227="","",COUNTIFS(Students!$E$5:$E$304,$B227,Students!$F$5:$F$304,$C227,Students!$K$5:$K$304,"Active"))</f>
        <v/>
      </c>
      <c r="H227" s="85" t="str">
        <f aca="false">IF($A227="","",MAX(0,Settings!$B$7-G227))</f>
        <v/>
      </c>
      <c r="I227" s="85" t="str">
        <f aca="false">IF($A227="","",IF(G227&gt;=Settings!$B$7,"Full","Open"))</f>
        <v/>
      </c>
    </row>
    <row r="228" customFormat="false" ht="19.5" hidden="false" customHeight="true" outlineLevel="0" collapsed="false">
      <c r="A228" s="85" t="str">
        <f aca="false">IF(C228="","","C"&amp;TEXT(ROW()-4,"000"))</f>
        <v/>
      </c>
      <c r="B228" s="52"/>
      <c r="C228" s="52"/>
      <c r="D228" s="52"/>
      <c r="E228" s="89" t="str">
        <f aca="false">IF(D228="","",IFERROR(INDEX(Teachers!$B$5:$B$304,MATCH(D228,Teachers!$A$5:$A$304,0)),""))</f>
        <v/>
      </c>
      <c r="F228" s="86"/>
      <c r="G228" s="85" t="str">
        <f aca="false">IF($A228="","",COUNTIFS(Students!$E$5:$E$304,$B228,Students!$F$5:$F$304,$C228,Students!$K$5:$K$304,"Active"))</f>
        <v/>
      </c>
      <c r="H228" s="85" t="str">
        <f aca="false">IF($A228="","",MAX(0,Settings!$B$7-G228))</f>
        <v/>
      </c>
      <c r="I228" s="85" t="str">
        <f aca="false">IF($A228="","",IF(G228&gt;=Settings!$B$7,"Full","Open"))</f>
        <v/>
      </c>
    </row>
    <row r="229" customFormat="false" ht="19.5" hidden="false" customHeight="true" outlineLevel="0" collapsed="false">
      <c r="A229" s="85" t="str">
        <f aca="false">IF(C229="","","C"&amp;TEXT(ROW()-4,"000"))</f>
        <v/>
      </c>
      <c r="B229" s="52"/>
      <c r="C229" s="52"/>
      <c r="D229" s="52"/>
      <c r="E229" s="89" t="str">
        <f aca="false">IF(D229="","",IFERROR(INDEX(Teachers!$B$5:$B$304,MATCH(D229,Teachers!$A$5:$A$304,0)),""))</f>
        <v/>
      </c>
      <c r="F229" s="86"/>
      <c r="G229" s="85" t="str">
        <f aca="false">IF($A229="","",COUNTIFS(Students!$E$5:$E$304,$B229,Students!$F$5:$F$304,$C229,Students!$K$5:$K$304,"Active"))</f>
        <v/>
      </c>
      <c r="H229" s="85" t="str">
        <f aca="false">IF($A229="","",MAX(0,Settings!$B$7-G229))</f>
        <v/>
      </c>
      <c r="I229" s="85" t="str">
        <f aca="false">IF($A229="","",IF(G229&gt;=Settings!$B$7,"Full","Open"))</f>
        <v/>
      </c>
    </row>
    <row r="230" customFormat="false" ht="19.5" hidden="false" customHeight="true" outlineLevel="0" collapsed="false">
      <c r="A230" s="85" t="str">
        <f aca="false">IF(C230="","","C"&amp;TEXT(ROW()-4,"000"))</f>
        <v/>
      </c>
      <c r="B230" s="52"/>
      <c r="C230" s="52"/>
      <c r="D230" s="52"/>
      <c r="E230" s="89" t="str">
        <f aca="false">IF(D230="","",IFERROR(INDEX(Teachers!$B$5:$B$304,MATCH(D230,Teachers!$A$5:$A$304,0)),""))</f>
        <v/>
      </c>
      <c r="F230" s="86"/>
      <c r="G230" s="85" t="str">
        <f aca="false">IF($A230="","",COUNTIFS(Students!$E$5:$E$304,$B230,Students!$F$5:$F$304,$C230,Students!$K$5:$K$304,"Active"))</f>
        <v/>
      </c>
      <c r="H230" s="85" t="str">
        <f aca="false">IF($A230="","",MAX(0,Settings!$B$7-G230))</f>
        <v/>
      </c>
      <c r="I230" s="85" t="str">
        <f aca="false">IF($A230="","",IF(G230&gt;=Settings!$B$7,"Full","Open"))</f>
        <v/>
      </c>
    </row>
    <row r="231" customFormat="false" ht="19.5" hidden="false" customHeight="true" outlineLevel="0" collapsed="false">
      <c r="A231" s="85" t="str">
        <f aca="false">IF(C231="","","C"&amp;TEXT(ROW()-4,"000"))</f>
        <v/>
      </c>
      <c r="B231" s="52"/>
      <c r="C231" s="52"/>
      <c r="D231" s="52"/>
      <c r="E231" s="89" t="str">
        <f aca="false">IF(D231="","",IFERROR(INDEX(Teachers!$B$5:$B$304,MATCH(D231,Teachers!$A$5:$A$304,0)),""))</f>
        <v/>
      </c>
      <c r="F231" s="86"/>
      <c r="G231" s="85" t="str">
        <f aca="false">IF($A231="","",COUNTIFS(Students!$E$5:$E$304,$B231,Students!$F$5:$F$304,$C231,Students!$K$5:$K$304,"Active"))</f>
        <v/>
      </c>
      <c r="H231" s="85" t="str">
        <f aca="false">IF($A231="","",MAX(0,Settings!$B$7-G231))</f>
        <v/>
      </c>
      <c r="I231" s="85" t="str">
        <f aca="false">IF($A231="","",IF(G231&gt;=Settings!$B$7,"Full","Open"))</f>
        <v/>
      </c>
    </row>
    <row r="232" customFormat="false" ht="19.5" hidden="false" customHeight="true" outlineLevel="0" collapsed="false">
      <c r="A232" s="85" t="str">
        <f aca="false">IF(C232="","","C"&amp;TEXT(ROW()-4,"000"))</f>
        <v/>
      </c>
      <c r="B232" s="52"/>
      <c r="C232" s="52"/>
      <c r="D232" s="52"/>
      <c r="E232" s="89" t="str">
        <f aca="false">IF(D232="","",IFERROR(INDEX(Teachers!$B$5:$B$304,MATCH(D232,Teachers!$A$5:$A$304,0)),""))</f>
        <v/>
      </c>
      <c r="F232" s="86"/>
      <c r="G232" s="85" t="str">
        <f aca="false">IF($A232="","",COUNTIFS(Students!$E$5:$E$304,$B232,Students!$F$5:$F$304,$C232,Students!$K$5:$K$304,"Active"))</f>
        <v/>
      </c>
      <c r="H232" s="85" t="str">
        <f aca="false">IF($A232="","",MAX(0,Settings!$B$7-G232))</f>
        <v/>
      </c>
      <c r="I232" s="85" t="str">
        <f aca="false">IF($A232="","",IF(G232&gt;=Settings!$B$7,"Full","Open"))</f>
        <v/>
      </c>
    </row>
    <row r="233" customFormat="false" ht="19.5" hidden="false" customHeight="true" outlineLevel="0" collapsed="false">
      <c r="A233" s="85" t="str">
        <f aca="false">IF(C233="","","C"&amp;TEXT(ROW()-4,"000"))</f>
        <v/>
      </c>
      <c r="B233" s="52"/>
      <c r="C233" s="52"/>
      <c r="D233" s="52"/>
      <c r="E233" s="89" t="str">
        <f aca="false">IF(D233="","",IFERROR(INDEX(Teachers!$B$5:$B$304,MATCH(D233,Teachers!$A$5:$A$304,0)),""))</f>
        <v/>
      </c>
      <c r="F233" s="86"/>
      <c r="G233" s="85" t="str">
        <f aca="false">IF($A233="","",COUNTIFS(Students!$E$5:$E$304,$B233,Students!$F$5:$F$304,$C233,Students!$K$5:$K$304,"Active"))</f>
        <v/>
      </c>
      <c r="H233" s="85" t="str">
        <f aca="false">IF($A233="","",MAX(0,Settings!$B$7-G233))</f>
        <v/>
      </c>
      <c r="I233" s="85" t="str">
        <f aca="false">IF($A233="","",IF(G233&gt;=Settings!$B$7,"Full","Open"))</f>
        <v/>
      </c>
    </row>
    <row r="234" customFormat="false" ht="19.5" hidden="false" customHeight="true" outlineLevel="0" collapsed="false">
      <c r="A234" s="85" t="str">
        <f aca="false">IF(C234="","","C"&amp;TEXT(ROW()-4,"000"))</f>
        <v/>
      </c>
      <c r="B234" s="52"/>
      <c r="C234" s="52"/>
      <c r="D234" s="52"/>
      <c r="E234" s="89" t="str">
        <f aca="false">IF(D234="","",IFERROR(INDEX(Teachers!$B$5:$B$304,MATCH(D234,Teachers!$A$5:$A$304,0)),""))</f>
        <v/>
      </c>
      <c r="F234" s="86"/>
      <c r="G234" s="85" t="str">
        <f aca="false">IF($A234="","",COUNTIFS(Students!$E$5:$E$304,$B234,Students!$F$5:$F$304,$C234,Students!$K$5:$K$304,"Active"))</f>
        <v/>
      </c>
      <c r="H234" s="85" t="str">
        <f aca="false">IF($A234="","",MAX(0,Settings!$B$7-G234))</f>
        <v/>
      </c>
      <c r="I234" s="85" t="str">
        <f aca="false">IF($A234="","",IF(G234&gt;=Settings!$B$7,"Full","Open"))</f>
        <v/>
      </c>
    </row>
    <row r="235" customFormat="false" ht="19.5" hidden="false" customHeight="true" outlineLevel="0" collapsed="false">
      <c r="A235" s="85" t="str">
        <f aca="false">IF(C235="","","C"&amp;TEXT(ROW()-4,"000"))</f>
        <v/>
      </c>
      <c r="B235" s="52"/>
      <c r="C235" s="52"/>
      <c r="D235" s="52"/>
      <c r="E235" s="89" t="str">
        <f aca="false">IF(D235="","",IFERROR(INDEX(Teachers!$B$5:$B$304,MATCH(D235,Teachers!$A$5:$A$304,0)),""))</f>
        <v/>
      </c>
      <c r="F235" s="86"/>
      <c r="G235" s="85" t="str">
        <f aca="false">IF($A235="","",COUNTIFS(Students!$E$5:$E$304,$B235,Students!$F$5:$F$304,$C235,Students!$K$5:$K$304,"Active"))</f>
        <v/>
      </c>
      <c r="H235" s="85" t="str">
        <f aca="false">IF($A235="","",MAX(0,Settings!$B$7-G235))</f>
        <v/>
      </c>
      <c r="I235" s="85" t="str">
        <f aca="false">IF($A235="","",IF(G235&gt;=Settings!$B$7,"Full","Open"))</f>
        <v/>
      </c>
    </row>
    <row r="236" customFormat="false" ht="19.5" hidden="false" customHeight="true" outlineLevel="0" collapsed="false">
      <c r="A236" s="85" t="str">
        <f aca="false">IF(C236="","","C"&amp;TEXT(ROW()-4,"000"))</f>
        <v/>
      </c>
      <c r="B236" s="52"/>
      <c r="C236" s="52"/>
      <c r="D236" s="52"/>
      <c r="E236" s="89" t="str">
        <f aca="false">IF(D236="","",IFERROR(INDEX(Teachers!$B$5:$B$304,MATCH(D236,Teachers!$A$5:$A$304,0)),""))</f>
        <v/>
      </c>
      <c r="F236" s="86"/>
      <c r="G236" s="85" t="str">
        <f aca="false">IF($A236="","",COUNTIFS(Students!$E$5:$E$304,$B236,Students!$F$5:$F$304,$C236,Students!$K$5:$K$304,"Active"))</f>
        <v/>
      </c>
      <c r="H236" s="85" t="str">
        <f aca="false">IF($A236="","",MAX(0,Settings!$B$7-G236))</f>
        <v/>
      </c>
      <c r="I236" s="85" t="str">
        <f aca="false">IF($A236="","",IF(G236&gt;=Settings!$B$7,"Full","Open"))</f>
        <v/>
      </c>
    </row>
    <row r="237" customFormat="false" ht="19.5" hidden="false" customHeight="true" outlineLevel="0" collapsed="false">
      <c r="A237" s="85" t="str">
        <f aca="false">IF(C237="","","C"&amp;TEXT(ROW()-4,"000"))</f>
        <v/>
      </c>
      <c r="B237" s="52"/>
      <c r="C237" s="52"/>
      <c r="D237" s="52"/>
      <c r="E237" s="89" t="str">
        <f aca="false">IF(D237="","",IFERROR(INDEX(Teachers!$B$5:$B$304,MATCH(D237,Teachers!$A$5:$A$304,0)),""))</f>
        <v/>
      </c>
      <c r="F237" s="86"/>
      <c r="G237" s="85" t="str">
        <f aca="false">IF($A237="","",COUNTIFS(Students!$E$5:$E$304,$B237,Students!$F$5:$F$304,$C237,Students!$K$5:$K$304,"Active"))</f>
        <v/>
      </c>
      <c r="H237" s="85" t="str">
        <f aca="false">IF($A237="","",MAX(0,Settings!$B$7-G237))</f>
        <v/>
      </c>
      <c r="I237" s="85" t="str">
        <f aca="false">IF($A237="","",IF(G237&gt;=Settings!$B$7,"Full","Open"))</f>
        <v/>
      </c>
    </row>
    <row r="238" customFormat="false" ht="19.5" hidden="false" customHeight="true" outlineLevel="0" collapsed="false">
      <c r="A238" s="85" t="str">
        <f aca="false">IF(C238="","","C"&amp;TEXT(ROW()-4,"000"))</f>
        <v/>
      </c>
      <c r="B238" s="52"/>
      <c r="C238" s="52"/>
      <c r="D238" s="52"/>
      <c r="E238" s="89" t="str">
        <f aca="false">IF(D238="","",IFERROR(INDEX(Teachers!$B$5:$B$304,MATCH(D238,Teachers!$A$5:$A$304,0)),""))</f>
        <v/>
      </c>
      <c r="F238" s="86"/>
      <c r="G238" s="85" t="str">
        <f aca="false">IF($A238="","",COUNTIFS(Students!$E$5:$E$304,$B238,Students!$F$5:$F$304,$C238,Students!$K$5:$K$304,"Active"))</f>
        <v/>
      </c>
      <c r="H238" s="85" t="str">
        <f aca="false">IF($A238="","",MAX(0,Settings!$B$7-G238))</f>
        <v/>
      </c>
      <c r="I238" s="85" t="str">
        <f aca="false">IF($A238="","",IF(G238&gt;=Settings!$B$7,"Full","Open"))</f>
        <v/>
      </c>
    </row>
    <row r="239" customFormat="false" ht="19.5" hidden="false" customHeight="true" outlineLevel="0" collapsed="false">
      <c r="A239" s="85" t="str">
        <f aca="false">IF(C239="","","C"&amp;TEXT(ROW()-4,"000"))</f>
        <v/>
      </c>
      <c r="B239" s="52"/>
      <c r="C239" s="52"/>
      <c r="D239" s="52"/>
      <c r="E239" s="89" t="str">
        <f aca="false">IF(D239="","",IFERROR(INDEX(Teachers!$B$5:$B$304,MATCH(D239,Teachers!$A$5:$A$304,0)),""))</f>
        <v/>
      </c>
      <c r="F239" s="86"/>
      <c r="G239" s="85" t="str">
        <f aca="false">IF($A239="","",COUNTIFS(Students!$E$5:$E$304,$B239,Students!$F$5:$F$304,$C239,Students!$K$5:$K$304,"Active"))</f>
        <v/>
      </c>
      <c r="H239" s="85" t="str">
        <f aca="false">IF($A239="","",MAX(0,Settings!$B$7-G239))</f>
        <v/>
      </c>
      <c r="I239" s="85" t="str">
        <f aca="false">IF($A239="","",IF(G239&gt;=Settings!$B$7,"Full","Open"))</f>
        <v/>
      </c>
    </row>
    <row r="240" customFormat="false" ht="19.5" hidden="false" customHeight="true" outlineLevel="0" collapsed="false">
      <c r="A240" s="85" t="str">
        <f aca="false">IF(C240="","","C"&amp;TEXT(ROW()-4,"000"))</f>
        <v/>
      </c>
      <c r="B240" s="52"/>
      <c r="C240" s="52"/>
      <c r="D240" s="52"/>
      <c r="E240" s="89" t="str">
        <f aca="false">IF(D240="","",IFERROR(INDEX(Teachers!$B$5:$B$304,MATCH(D240,Teachers!$A$5:$A$304,0)),""))</f>
        <v/>
      </c>
      <c r="F240" s="86"/>
      <c r="G240" s="85" t="str">
        <f aca="false">IF($A240="","",COUNTIFS(Students!$E$5:$E$304,$B240,Students!$F$5:$F$304,$C240,Students!$K$5:$K$304,"Active"))</f>
        <v/>
      </c>
      <c r="H240" s="85" t="str">
        <f aca="false">IF($A240="","",MAX(0,Settings!$B$7-G240))</f>
        <v/>
      </c>
      <c r="I240" s="85" t="str">
        <f aca="false">IF($A240="","",IF(G240&gt;=Settings!$B$7,"Full","Open"))</f>
        <v/>
      </c>
    </row>
    <row r="241" customFormat="false" ht="19.5" hidden="false" customHeight="true" outlineLevel="0" collapsed="false">
      <c r="A241" s="85" t="str">
        <f aca="false">IF(C241="","","C"&amp;TEXT(ROW()-4,"000"))</f>
        <v/>
      </c>
      <c r="B241" s="52"/>
      <c r="C241" s="52"/>
      <c r="D241" s="52"/>
      <c r="E241" s="89" t="str">
        <f aca="false">IF(D241="","",IFERROR(INDEX(Teachers!$B$5:$B$304,MATCH(D241,Teachers!$A$5:$A$304,0)),""))</f>
        <v/>
      </c>
      <c r="F241" s="86"/>
      <c r="G241" s="85" t="str">
        <f aca="false">IF($A241="","",COUNTIFS(Students!$E$5:$E$304,$B241,Students!$F$5:$F$304,$C241,Students!$K$5:$K$304,"Active"))</f>
        <v/>
      </c>
      <c r="H241" s="85" t="str">
        <f aca="false">IF($A241="","",MAX(0,Settings!$B$7-G241))</f>
        <v/>
      </c>
      <c r="I241" s="85" t="str">
        <f aca="false">IF($A241="","",IF(G241&gt;=Settings!$B$7,"Full","Open"))</f>
        <v/>
      </c>
    </row>
    <row r="242" customFormat="false" ht="19.5" hidden="false" customHeight="true" outlineLevel="0" collapsed="false">
      <c r="A242" s="85" t="str">
        <f aca="false">IF(C242="","","C"&amp;TEXT(ROW()-4,"000"))</f>
        <v/>
      </c>
      <c r="B242" s="52"/>
      <c r="C242" s="52"/>
      <c r="D242" s="52"/>
      <c r="E242" s="89" t="str">
        <f aca="false">IF(D242="","",IFERROR(INDEX(Teachers!$B$5:$B$304,MATCH(D242,Teachers!$A$5:$A$304,0)),""))</f>
        <v/>
      </c>
      <c r="F242" s="86"/>
      <c r="G242" s="85" t="str">
        <f aca="false">IF($A242="","",COUNTIFS(Students!$E$5:$E$304,$B242,Students!$F$5:$F$304,$C242,Students!$K$5:$K$304,"Active"))</f>
        <v/>
      </c>
      <c r="H242" s="85" t="str">
        <f aca="false">IF($A242="","",MAX(0,Settings!$B$7-G242))</f>
        <v/>
      </c>
      <c r="I242" s="85" t="str">
        <f aca="false">IF($A242="","",IF(G242&gt;=Settings!$B$7,"Full","Open"))</f>
        <v/>
      </c>
    </row>
    <row r="243" customFormat="false" ht="19.5" hidden="false" customHeight="true" outlineLevel="0" collapsed="false">
      <c r="A243" s="85" t="str">
        <f aca="false">IF(C243="","","C"&amp;TEXT(ROW()-4,"000"))</f>
        <v/>
      </c>
      <c r="B243" s="52"/>
      <c r="C243" s="52"/>
      <c r="D243" s="52"/>
      <c r="E243" s="89" t="str">
        <f aca="false">IF(D243="","",IFERROR(INDEX(Teachers!$B$5:$B$304,MATCH(D243,Teachers!$A$5:$A$304,0)),""))</f>
        <v/>
      </c>
      <c r="F243" s="86"/>
      <c r="G243" s="85" t="str">
        <f aca="false">IF($A243="","",COUNTIFS(Students!$E$5:$E$304,$B243,Students!$F$5:$F$304,$C243,Students!$K$5:$K$304,"Active"))</f>
        <v/>
      </c>
      <c r="H243" s="85" t="str">
        <f aca="false">IF($A243="","",MAX(0,Settings!$B$7-G243))</f>
        <v/>
      </c>
      <c r="I243" s="85" t="str">
        <f aca="false">IF($A243="","",IF(G243&gt;=Settings!$B$7,"Full","Open"))</f>
        <v/>
      </c>
    </row>
    <row r="244" customFormat="false" ht="19.5" hidden="false" customHeight="true" outlineLevel="0" collapsed="false">
      <c r="A244" s="85" t="str">
        <f aca="false">IF(C244="","","C"&amp;TEXT(ROW()-4,"000"))</f>
        <v/>
      </c>
      <c r="B244" s="52"/>
      <c r="C244" s="52"/>
      <c r="D244" s="52"/>
      <c r="E244" s="89" t="str">
        <f aca="false">IF(D244="","",IFERROR(INDEX(Teachers!$B$5:$B$304,MATCH(D244,Teachers!$A$5:$A$304,0)),""))</f>
        <v/>
      </c>
      <c r="F244" s="86"/>
      <c r="G244" s="85" t="str">
        <f aca="false">IF($A244="","",COUNTIFS(Students!$E$5:$E$304,$B244,Students!$F$5:$F$304,$C244,Students!$K$5:$K$304,"Active"))</f>
        <v/>
      </c>
      <c r="H244" s="85" t="str">
        <f aca="false">IF($A244="","",MAX(0,Settings!$B$7-G244))</f>
        <v/>
      </c>
      <c r="I244" s="85" t="str">
        <f aca="false">IF($A244="","",IF(G244&gt;=Settings!$B$7,"Full","Open"))</f>
        <v/>
      </c>
    </row>
    <row r="245" customFormat="false" ht="19.5" hidden="false" customHeight="true" outlineLevel="0" collapsed="false">
      <c r="A245" s="85" t="str">
        <f aca="false">IF(C245="","","C"&amp;TEXT(ROW()-4,"000"))</f>
        <v/>
      </c>
      <c r="B245" s="52"/>
      <c r="C245" s="52"/>
      <c r="D245" s="52"/>
      <c r="E245" s="89" t="str">
        <f aca="false">IF(D245="","",IFERROR(INDEX(Teachers!$B$5:$B$304,MATCH(D245,Teachers!$A$5:$A$304,0)),""))</f>
        <v/>
      </c>
      <c r="F245" s="86"/>
      <c r="G245" s="85" t="str">
        <f aca="false">IF($A245="","",COUNTIFS(Students!$E$5:$E$304,$B245,Students!$F$5:$F$304,$C245,Students!$K$5:$K$304,"Active"))</f>
        <v/>
      </c>
      <c r="H245" s="85" t="str">
        <f aca="false">IF($A245="","",MAX(0,Settings!$B$7-G245))</f>
        <v/>
      </c>
      <c r="I245" s="85" t="str">
        <f aca="false">IF($A245="","",IF(G245&gt;=Settings!$B$7,"Full","Open"))</f>
        <v/>
      </c>
    </row>
    <row r="246" customFormat="false" ht="19.5" hidden="false" customHeight="true" outlineLevel="0" collapsed="false">
      <c r="A246" s="85" t="str">
        <f aca="false">IF(C246="","","C"&amp;TEXT(ROW()-4,"000"))</f>
        <v/>
      </c>
      <c r="B246" s="52"/>
      <c r="C246" s="52"/>
      <c r="D246" s="52"/>
      <c r="E246" s="89" t="str">
        <f aca="false">IF(D246="","",IFERROR(INDEX(Teachers!$B$5:$B$304,MATCH(D246,Teachers!$A$5:$A$304,0)),""))</f>
        <v/>
      </c>
      <c r="F246" s="86"/>
      <c r="G246" s="85" t="str">
        <f aca="false">IF($A246="","",COUNTIFS(Students!$E$5:$E$304,$B246,Students!$F$5:$F$304,$C246,Students!$K$5:$K$304,"Active"))</f>
        <v/>
      </c>
      <c r="H246" s="85" t="str">
        <f aca="false">IF($A246="","",MAX(0,Settings!$B$7-G246))</f>
        <v/>
      </c>
      <c r="I246" s="85" t="str">
        <f aca="false">IF($A246="","",IF(G246&gt;=Settings!$B$7,"Full","Open"))</f>
        <v/>
      </c>
    </row>
    <row r="247" customFormat="false" ht="19.5" hidden="false" customHeight="true" outlineLevel="0" collapsed="false">
      <c r="A247" s="85" t="str">
        <f aca="false">IF(C247="","","C"&amp;TEXT(ROW()-4,"000"))</f>
        <v/>
      </c>
      <c r="B247" s="52"/>
      <c r="C247" s="52"/>
      <c r="D247" s="52"/>
      <c r="E247" s="89" t="str">
        <f aca="false">IF(D247="","",IFERROR(INDEX(Teachers!$B$5:$B$304,MATCH(D247,Teachers!$A$5:$A$304,0)),""))</f>
        <v/>
      </c>
      <c r="F247" s="86"/>
      <c r="G247" s="85" t="str">
        <f aca="false">IF($A247="","",COUNTIFS(Students!$E$5:$E$304,$B247,Students!$F$5:$F$304,$C247,Students!$K$5:$K$304,"Active"))</f>
        <v/>
      </c>
      <c r="H247" s="85" t="str">
        <f aca="false">IF($A247="","",MAX(0,Settings!$B$7-G247))</f>
        <v/>
      </c>
      <c r="I247" s="85" t="str">
        <f aca="false">IF($A247="","",IF(G247&gt;=Settings!$B$7,"Full","Open"))</f>
        <v/>
      </c>
    </row>
    <row r="248" customFormat="false" ht="19.5" hidden="false" customHeight="true" outlineLevel="0" collapsed="false">
      <c r="A248" s="85" t="str">
        <f aca="false">IF(C248="","","C"&amp;TEXT(ROW()-4,"000"))</f>
        <v/>
      </c>
      <c r="B248" s="52"/>
      <c r="C248" s="52"/>
      <c r="D248" s="52"/>
      <c r="E248" s="89" t="str">
        <f aca="false">IF(D248="","",IFERROR(INDEX(Teachers!$B$5:$B$304,MATCH(D248,Teachers!$A$5:$A$304,0)),""))</f>
        <v/>
      </c>
      <c r="F248" s="86"/>
      <c r="G248" s="85" t="str">
        <f aca="false">IF($A248="","",COUNTIFS(Students!$E$5:$E$304,$B248,Students!$F$5:$F$304,$C248,Students!$K$5:$K$304,"Active"))</f>
        <v/>
      </c>
      <c r="H248" s="85" t="str">
        <f aca="false">IF($A248="","",MAX(0,Settings!$B$7-G248))</f>
        <v/>
      </c>
      <c r="I248" s="85" t="str">
        <f aca="false">IF($A248="","",IF(G248&gt;=Settings!$B$7,"Full","Open"))</f>
        <v/>
      </c>
    </row>
    <row r="249" customFormat="false" ht="19.5" hidden="false" customHeight="true" outlineLevel="0" collapsed="false">
      <c r="A249" s="85" t="str">
        <f aca="false">IF(C249="","","C"&amp;TEXT(ROW()-4,"000"))</f>
        <v/>
      </c>
      <c r="B249" s="52"/>
      <c r="C249" s="52"/>
      <c r="D249" s="52"/>
      <c r="E249" s="89" t="str">
        <f aca="false">IF(D249="","",IFERROR(INDEX(Teachers!$B$5:$B$304,MATCH(D249,Teachers!$A$5:$A$304,0)),""))</f>
        <v/>
      </c>
      <c r="F249" s="86"/>
      <c r="G249" s="85" t="str">
        <f aca="false">IF($A249="","",COUNTIFS(Students!$E$5:$E$304,$B249,Students!$F$5:$F$304,$C249,Students!$K$5:$K$304,"Active"))</f>
        <v/>
      </c>
      <c r="H249" s="85" t="str">
        <f aca="false">IF($A249="","",MAX(0,Settings!$B$7-G249))</f>
        <v/>
      </c>
      <c r="I249" s="85" t="str">
        <f aca="false">IF($A249="","",IF(G249&gt;=Settings!$B$7,"Full","Open"))</f>
        <v/>
      </c>
    </row>
    <row r="250" customFormat="false" ht="19.5" hidden="false" customHeight="true" outlineLevel="0" collapsed="false">
      <c r="A250" s="85" t="str">
        <f aca="false">IF(C250="","","C"&amp;TEXT(ROW()-4,"000"))</f>
        <v/>
      </c>
      <c r="B250" s="52"/>
      <c r="C250" s="52"/>
      <c r="D250" s="52"/>
      <c r="E250" s="89" t="str">
        <f aca="false">IF(D250="","",IFERROR(INDEX(Teachers!$B$5:$B$304,MATCH(D250,Teachers!$A$5:$A$304,0)),""))</f>
        <v/>
      </c>
      <c r="F250" s="86"/>
      <c r="G250" s="85" t="str">
        <f aca="false">IF($A250="","",COUNTIFS(Students!$E$5:$E$304,$B250,Students!$F$5:$F$304,$C250,Students!$K$5:$K$304,"Active"))</f>
        <v/>
      </c>
      <c r="H250" s="85" t="str">
        <f aca="false">IF($A250="","",MAX(0,Settings!$B$7-G250))</f>
        <v/>
      </c>
      <c r="I250" s="85" t="str">
        <f aca="false">IF($A250="","",IF(G250&gt;=Settings!$B$7,"Full","Open"))</f>
        <v/>
      </c>
    </row>
    <row r="251" customFormat="false" ht="19.5" hidden="false" customHeight="true" outlineLevel="0" collapsed="false">
      <c r="A251" s="85" t="str">
        <f aca="false">IF(C251="","","C"&amp;TEXT(ROW()-4,"000"))</f>
        <v/>
      </c>
      <c r="B251" s="52"/>
      <c r="C251" s="52"/>
      <c r="D251" s="52"/>
      <c r="E251" s="89" t="str">
        <f aca="false">IF(D251="","",IFERROR(INDEX(Teachers!$B$5:$B$304,MATCH(D251,Teachers!$A$5:$A$304,0)),""))</f>
        <v/>
      </c>
      <c r="F251" s="86"/>
      <c r="G251" s="85" t="str">
        <f aca="false">IF($A251="","",COUNTIFS(Students!$E$5:$E$304,$B251,Students!$F$5:$F$304,$C251,Students!$K$5:$K$304,"Active"))</f>
        <v/>
      </c>
      <c r="H251" s="85" t="str">
        <f aca="false">IF($A251="","",MAX(0,Settings!$B$7-G251))</f>
        <v/>
      </c>
      <c r="I251" s="85" t="str">
        <f aca="false">IF($A251="","",IF(G251&gt;=Settings!$B$7,"Full","Open"))</f>
        <v/>
      </c>
    </row>
    <row r="252" customFormat="false" ht="19.5" hidden="false" customHeight="true" outlineLevel="0" collapsed="false">
      <c r="A252" s="85" t="str">
        <f aca="false">IF(C252="","","C"&amp;TEXT(ROW()-4,"000"))</f>
        <v/>
      </c>
      <c r="B252" s="52"/>
      <c r="C252" s="52"/>
      <c r="D252" s="52"/>
      <c r="E252" s="89" t="str">
        <f aca="false">IF(D252="","",IFERROR(INDEX(Teachers!$B$5:$B$304,MATCH(D252,Teachers!$A$5:$A$304,0)),""))</f>
        <v/>
      </c>
      <c r="F252" s="86"/>
      <c r="G252" s="85" t="str">
        <f aca="false">IF($A252="","",COUNTIFS(Students!$E$5:$E$304,$B252,Students!$F$5:$F$304,$C252,Students!$K$5:$K$304,"Active"))</f>
        <v/>
      </c>
      <c r="H252" s="85" t="str">
        <f aca="false">IF($A252="","",MAX(0,Settings!$B$7-G252))</f>
        <v/>
      </c>
      <c r="I252" s="85" t="str">
        <f aca="false">IF($A252="","",IF(G252&gt;=Settings!$B$7,"Full","Open"))</f>
        <v/>
      </c>
    </row>
    <row r="253" customFormat="false" ht="19.5" hidden="false" customHeight="true" outlineLevel="0" collapsed="false">
      <c r="A253" s="85" t="str">
        <f aca="false">IF(C253="","","C"&amp;TEXT(ROW()-4,"000"))</f>
        <v/>
      </c>
      <c r="B253" s="52"/>
      <c r="C253" s="52"/>
      <c r="D253" s="52"/>
      <c r="E253" s="89" t="str">
        <f aca="false">IF(D253="","",IFERROR(INDEX(Teachers!$B$5:$B$304,MATCH(D253,Teachers!$A$5:$A$304,0)),""))</f>
        <v/>
      </c>
      <c r="F253" s="86"/>
      <c r="G253" s="85" t="str">
        <f aca="false">IF($A253="","",COUNTIFS(Students!$E$5:$E$304,$B253,Students!$F$5:$F$304,$C253,Students!$K$5:$K$304,"Active"))</f>
        <v/>
      </c>
      <c r="H253" s="85" t="str">
        <f aca="false">IF($A253="","",MAX(0,Settings!$B$7-G253))</f>
        <v/>
      </c>
      <c r="I253" s="85" t="str">
        <f aca="false">IF($A253="","",IF(G253&gt;=Settings!$B$7,"Full","Open"))</f>
        <v/>
      </c>
    </row>
    <row r="254" customFormat="false" ht="19.5" hidden="false" customHeight="true" outlineLevel="0" collapsed="false">
      <c r="A254" s="85" t="str">
        <f aca="false">IF(C254="","","C"&amp;TEXT(ROW()-4,"000"))</f>
        <v/>
      </c>
      <c r="B254" s="52"/>
      <c r="C254" s="52"/>
      <c r="D254" s="52"/>
      <c r="E254" s="89" t="str">
        <f aca="false">IF(D254="","",IFERROR(INDEX(Teachers!$B$5:$B$304,MATCH(D254,Teachers!$A$5:$A$304,0)),""))</f>
        <v/>
      </c>
      <c r="F254" s="86"/>
      <c r="G254" s="85" t="str">
        <f aca="false">IF($A254="","",COUNTIFS(Students!$E$5:$E$304,$B254,Students!$F$5:$F$304,$C254,Students!$K$5:$K$304,"Active"))</f>
        <v/>
      </c>
      <c r="H254" s="85" t="str">
        <f aca="false">IF($A254="","",MAX(0,Settings!$B$7-G254))</f>
        <v/>
      </c>
      <c r="I254" s="85" t="str">
        <f aca="false">IF($A254="","",IF(G254&gt;=Settings!$B$7,"Full","Open"))</f>
        <v/>
      </c>
    </row>
    <row r="255" customFormat="false" ht="19.5" hidden="false" customHeight="true" outlineLevel="0" collapsed="false">
      <c r="A255" s="85" t="str">
        <f aca="false">IF(C255="","","C"&amp;TEXT(ROW()-4,"000"))</f>
        <v/>
      </c>
      <c r="B255" s="52"/>
      <c r="C255" s="52"/>
      <c r="D255" s="52"/>
      <c r="E255" s="89" t="str">
        <f aca="false">IF(D255="","",IFERROR(INDEX(Teachers!$B$5:$B$304,MATCH(D255,Teachers!$A$5:$A$304,0)),""))</f>
        <v/>
      </c>
      <c r="F255" s="86"/>
      <c r="G255" s="85" t="str">
        <f aca="false">IF($A255="","",COUNTIFS(Students!$E$5:$E$304,$B255,Students!$F$5:$F$304,$C255,Students!$K$5:$K$304,"Active"))</f>
        <v/>
      </c>
      <c r="H255" s="85" t="str">
        <f aca="false">IF($A255="","",MAX(0,Settings!$B$7-G255))</f>
        <v/>
      </c>
      <c r="I255" s="85" t="str">
        <f aca="false">IF($A255="","",IF(G255&gt;=Settings!$B$7,"Full","Open"))</f>
        <v/>
      </c>
    </row>
    <row r="256" customFormat="false" ht="19.5" hidden="false" customHeight="true" outlineLevel="0" collapsed="false">
      <c r="A256" s="85" t="str">
        <f aca="false">IF(C256="","","C"&amp;TEXT(ROW()-4,"000"))</f>
        <v/>
      </c>
      <c r="B256" s="52"/>
      <c r="C256" s="52"/>
      <c r="D256" s="52"/>
      <c r="E256" s="89" t="str">
        <f aca="false">IF(D256="","",IFERROR(INDEX(Teachers!$B$5:$B$304,MATCH(D256,Teachers!$A$5:$A$304,0)),""))</f>
        <v/>
      </c>
      <c r="F256" s="86"/>
      <c r="G256" s="85" t="str">
        <f aca="false">IF($A256="","",COUNTIFS(Students!$E$5:$E$304,$B256,Students!$F$5:$F$304,$C256,Students!$K$5:$K$304,"Active"))</f>
        <v/>
      </c>
      <c r="H256" s="85" t="str">
        <f aca="false">IF($A256="","",MAX(0,Settings!$B$7-G256))</f>
        <v/>
      </c>
      <c r="I256" s="85" t="str">
        <f aca="false">IF($A256="","",IF(G256&gt;=Settings!$B$7,"Full","Open"))</f>
        <v/>
      </c>
    </row>
    <row r="257" customFormat="false" ht="19.5" hidden="false" customHeight="true" outlineLevel="0" collapsed="false">
      <c r="A257" s="85" t="str">
        <f aca="false">IF(C257="","","C"&amp;TEXT(ROW()-4,"000"))</f>
        <v/>
      </c>
      <c r="B257" s="52"/>
      <c r="C257" s="52"/>
      <c r="D257" s="52"/>
      <c r="E257" s="89" t="str">
        <f aca="false">IF(D257="","",IFERROR(INDEX(Teachers!$B$5:$B$304,MATCH(D257,Teachers!$A$5:$A$304,0)),""))</f>
        <v/>
      </c>
      <c r="F257" s="86"/>
      <c r="G257" s="85" t="str">
        <f aca="false">IF($A257="","",COUNTIFS(Students!$E$5:$E$304,$B257,Students!$F$5:$F$304,$C257,Students!$K$5:$K$304,"Active"))</f>
        <v/>
      </c>
      <c r="H257" s="85" t="str">
        <f aca="false">IF($A257="","",MAX(0,Settings!$B$7-G257))</f>
        <v/>
      </c>
      <c r="I257" s="85" t="str">
        <f aca="false">IF($A257="","",IF(G257&gt;=Settings!$B$7,"Full","Open"))</f>
        <v/>
      </c>
    </row>
    <row r="258" customFormat="false" ht="19.5" hidden="false" customHeight="true" outlineLevel="0" collapsed="false">
      <c r="A258" s="85" t="str">
        <f aca="false">IF(C258="","","C"&amp;TEXT(ROW()-4,"000"))</f>
        <v/>
      </c>
      <c r="B258" s="52"/>
      <c r="C258" s="52"/>
      <c r="D258" s="52"/>
      <c r="E258" s="89" t="str">
        <f aca="false">IF(D258="","",IFERROR(INDEX(Teachers!$B$5:$B$304,MATCH(D258,Teachers!$A$5:$A$304,0)),""))</f>
        <v/>
      </c>
      <c r="F258" s="86"/>
      <c r="G258" s="85" t="str">
        <f aca="false">IF($A258="","",COUNTIFS(Students!$E$5:$E$304,$B258,Students!$F$5:$F$304,$C258,Students!$K$5:$K$304,"Active"))</f>
        <v/>
      </c>
      <c r="H258" s="85" t="str">
        <f aca="false">IF($A258="","",MAX(0,Settings!$B$7-G258))</f>
        <v/>
      </c>
      <c r="I258" s="85" t="str">
        <f aca="false">IF($A258="","",IF(G258&gt;=Settings!$B$7,"Full","Open"))</f>
        <v/>
      </c>
    </row>
    <row r="259" customFormat="false" ht="19.5" hidden="false" customHeight="true" outlineLevel="0" collapsed="false">
      <c r="A259" s="85" t="str">
        <f aca="false">IF(C259="","","C"&amp;TEXT(ROW()-4,"000"))</f>
        <v/>
      </c>
      <c r="B259" s="52"/>
      <c r="C259" s="52"/>
      <c r="D259" s="52"/>
      <c r="E259" s="89" t="str">
        <f aca="false">IF(D259="","",IFERROR(INDEX(Teachers!$B$5:$B$304,MATCH(D259,Teachers!$A$5:$A$304,0)),""))</f>
        <v/>
      </c>
      <c r="F259" s="86"/>
      <c r="G259" s="85" t="str">
        <f aca="false">IF($A259="","",COUNTIFS(Students!$E$5:$E$304,$B259,Students!$F$5:$F$304,$C259,Students!$K$5:$K$304,"Active"))</f>
        <v/>
      </c>
      <c r="H259" s="85" t="str">
        <f aca="false">IF($A259="","",MAX(0,Settings!$B$7-G259))</f>
        <v/>
      </c>
      <c r="I259" s="85" t="str">
        <f aca="false">IF($A259="","",IF(G259&gt;=Settings!$B$7,"Full","Open"))</f>
        <v/>
      </c>
    </row>
    <row r="260" customFormat="false" ht="19.5" hidden="false" customHeight="true" outlineLevel="0" collapsed="false">
      <c r="A260" s="85" t="str">
        <f aca="false">IF(C260="","","C"&amp;TEXT(ROW()-4,"000"))</f>
        <v/>
      </c>
      <c r="B260" s="52"/>
      <c r="C260" s="52"/>
      <c r="D260" s="52"/>
      <c r="E260" s="89" t="str">
        <f aca="false">IF(D260="","",IFERROR(INDEX(Teachers!$B$5:$B$304,MATCH(D260,Teachers!$A$5:$A$304,0)),""))</f>
        <v/>
      </c>
      <c r="F260" s="86"/>
      <c r="G260" s="85" t="str">
        <f aca="false">IF($A260="","",COUNTIFS(Students!$E$5:$E$304,$B260,Students!$F$5:$F$304,$C260,Students!$K$5:$K$304,"Active"))</f>
        <v/>
      </c>
      <c r="H260" s="85" t="str">
        <f aca="false">IF($A260="","",MAX(0,Settings!$B$7-G260))</f>
        <v/>
      </c>
      <c r="I260" s="85" t="str">
        <f aca="false">IF($A260="","",IF(G260&gt;=Settings!$B$7,"Full","Open"))</f>
        <v/>
      </c>
    </row>
    <row r="261" customFormat="false" ht="19.5" hidden="false" customHeight="true" outlineLevel="0" collapsed="false">
      <c r="A261" s="85" t="str">
        <f aca="false">IF(C261="","","C"&amp;TEXT(ROW()-4,"000"))</f>
        <v/>
      </c>
      <c r="B261" s="52"/>
      <c r="C261" s="52"/>
      <c r="D261" s="52"/>
      <c r="E261" s="89" t="str">
        <f aca="false">IF(D261="","",IFERROR(INDEX(Teachers!$B$5:$B$304,MATCH(D261,Teachers!$A$5:$A$304,0)),""))</f>
        <v/>
      </c>
      <c r="F261" s="86"/>
      <c r="G261" s="85" t="str">
        <f aca="false">IF($A261="","",COUNTIFS(Students!$E$5:$E$304,$B261,Students!$F$5:$F$304,$C261,Students!$K$5:$K$304,"Active"))</f>
        <v/>
      </c>
      <c r="H261" s="85" t="str">
        <f aca="false">IF($A261="","",MAX(0,Settings!$B$7-G261))</f>
        <v/>
      </c>
      <c r="I261" s="85" t="str">
        <f aca="false">IF($A261="","",IF(G261&gt;=Settings!$B$7,"Full","Open"))</f>
        <v/>
      </c>
    </row>
    <row r="262" customFormat="false" ht="19.5" hidden="false" customHeight="true" outlineLevel="0" collapsed="false">
      <c r="A262" s="85" t="str">
        <f aca="false">IF(C262="","","C"&amp;TEXT(ROW()-4,"000"))</f>
        <v/>
      </c>
      <c r="B262" s="52"/>
      <c r="C262" s="52"/>
      <c r="D262" s="52"/>
      <c r="E262" s="89" t="str">
        <f aca="false">IF(D262="","",IFERROR(INDEX(Teachers!$B$5:$B$304,MATCH(D262,Teachers!$A$5:$A$304,0)),""))</f>
        <v/>
      </c>
      <c r="F262" s="86"/>
      <c r="G262" s="85" t="str">
        <f aca="false">IF($A262="","",COUNTIFS(Students!$E$5:$E$304,$B262,Students!$F$5:$F$304,$C262,Students!$K$5:$K$304,"Active"))</f>
        <v/>
      </c>
      <c r="H262" s="85" t="str">
        <f aca="false">IF($A262="","",MAX(0,Settings!$B$7-G262))</f>
        <v/>
      </c>
      <c r="I262" s="85" t="str">
        <f aca="false">IF($A262="","",IF(G262&gt;=Settings!$B$7,"Full","Open"))</f>
        <v/>
      </c>
    </row>
    <row r="263" customFormat="false" ht="19.5" hidden="false" customHeight="true" outlineLevel="0" collapsed="false">
      <c r="A263" s="85" t="str">
        <f aca="false">IF(C263="","","C"&amp;TEXT(ROW()-4,"000"))</f>
        <v/>
      </c>
      <c r="B263" s="52"/>
      <c r="C263" s="52"/>
      <c r="D263" s="52"/>
      <c r="E263" s="89" t="str">
        <f aca="false">IF(D263="","",IFERROR(INDEX(Teachers!$B$5:$B$304,MATCH(D263,Teachers!$A$5:$A$304,0)),""))</f>
        <v/>
      </c>
      <c r="F263" s="86"/>
      <c r="G263" s="85" t="str">
        <f aca="false">IF($A263="","",COUNTIFS(Students!$E$5:$E$304,$B263,Students!$F$5:$F$304,$C263,Students!$K$5:$K$304,"Active"))</f>
        <v/>
      </c>
      <c r="H263" s="85" t="str">
        <f aca="false">IF($A263="","",MAX(0,Settings!$B$7-G263))</f>
        <v/>
      </c>
      <c r="I263" s="85" t="str">
        <f aca="false">IF($A263="","",IF(G263&gt;=Settings!$B$7,"Full","Open"))</f>
        <v/>
      </c>
    </row>
    <row r="264" customFormat="false" ht="19.5" hidden="false" customHeight="true" outlineLevel="0" collapsed="false">
      <c r="A264" s="85" t="str">
        <f aca="false">IF(C264="","","C"&amp;TEXT(ROW()-4,"000"))</f>
        <v/>
      </c>
      <c r="B264" s="52"/>
      <c r="C264" s="52"/>
      <c r="D264" s="52"/>
      <c r="E264" s="89" t="str">
        <f aca="false">IF(D264="","",IFERROR(INDEX(Teachers!$B$5:$B$304,MATCH(D264,Teachers!$A$5:$A$304,0)),""))</f>
        <v/>
      </c>
      <c r="F264" s="86"/>
      <c r="G264" s="85" t="str">
        <f aca="false">IF($A264="","",COUNTIFS(Students!$E$5:$E$304,$B264,Students!$F$5:$F$304,$C264,Students!$K$5:$K$304,"Active"))</f>
        <v/>
      </c>
      <c r="H264" s="85" t="str">
        <f aca="false">IF($A264="","",MAX(0,Settings!$B$7-G264))</f>
        <v/>
      </c>
      <c r="I264" s="85" t="str">
        <f aca="false">IF($A264="","",IF(G264&gt;=Settings!$B$7,"Full","Open"))</f>
        <v/>
      </c>
    </row>
    <row r="265" customFormat="false" ht="19.5" hidden="false" customHeight="true" outlineLevel="0" collapsed="false">
      <c r="A265" s="85" t="str">
        <f aca="false">IF(C265="","","C"&amp;TEXT(ROW()-4,"000"))</f>
        <v/>
      </c>
      <c r="B265" s="52"/>
      <c r="C265" s="52"/>
      <c r="D265" s="52"/>
      <c r="E265" s="89" t="str">
        <f aca="false">IF(D265="","",IFERROR(INDEX(Teachers!$B$5:$B$304,MATCH(D265,Teachers!$A$5:$A$304,0)),""))</f>
        <v/>
      </c>
      <c r="F265" s="86"/>
      <c r="G265" s="85" t="str">
        <f aca="false">IF($A265="","",COUNTIFS(Students!$E$5:$E$304,$B265,Students!$F$5:$F$304,$C265,Students!$K$5:$K$304,"Active"))</f>
        <v/>
      </c>
      <c r="H265" s="85" t="str">
        <f aca="false">IF($A265="","",MAX(0,Settings!$B$7-G265))</f>
        <v/>
      </c>
      <c r="I265" s="85" t="str">
        <f aca="false">IF($A265="","",IF(G265&gt;=Settings!$B$7,"Full","Open"))</f>
        <v/>
      </c>
    </row>
    <row r="266" customFormat="false" ht="19.5" hidden="false" customHeight="true" outlineLevel="0" collapsed="false">
      <c r="A266" s="85" t="str">
        <f aca="false">IF(C266="","","C"&amp;TEXT(ROW()-4,"000"))</f>
        <v/>
      </c>
      <c r="B266" s="52"/>
      <c r="C266" s="52"/>
      <c r="D266" s="52"/>
      <c r="E266" s="89" t="str">
        <f aca="false">IF(D266="","",IFERROR(INDEX(Teachers!$B$5:$B$304,MATCH(D266,Teachers!$A$5:$A$304,0)),""))</f>
        <v/>
      </c>
      <c r="F266" s="86"/>
      <c r="G266" s="85" t="str">
        <f aca="false">IF($A266="","",COUNTIFS(Students!$E$5:$E$304,$B266,Students!$F$5:$F$304,$C266,Students!$K$5:$K$304,"Active"))</f>
        <v/>
      </c>
      <c r="H266" s="85" t="str">
        <f aca="false">IF($A266="","",MAX(0,Settings!$B$7-G266))</f>
        <v/>
      </c>
      <c r="I266" s="85" t="str">
        <f aca="false">IF($A266="","",IF(G266&gt;=Settings!$B$7,"Full","Open"))</f>
        <v/>
      </c>
    </row>
    <row r="267" customFormat="false" ht="19.5" hidden="false" customHeight="true" outlineLevel="0" collapsed="false">
      <c r="A267" s="85" t="str">
        <f aca="false">IF(C267="","","C"&amp;TEXT(ROW()-4,"000"))</f>
        <v/>
      </c>
      <c r="B267" s="52"/>
      <c r="C267" s="52"/>
      <c r="D267" s="52"/>
      <c r="E267" s="89" t="str">
        <f aca="false">IF(D267="","",IFERROR(INDEX(Teachers!$B$5:$B$304,MATCH(D267,Teachers!$A$5:$A$304,0)),""))</f>
        <v/>
      </c>
      <c r="F267" s="86"/>
      <c r="G267" s="85" t="str">
        <f aca="false">IF($A267="","",COUNTIFS(Students!$E$5:$E$304,$B267,Students!$F$5:$F$304,$C267,Students!$K$5:$K$304,"Active"))</f>
        <v/>
      </c>
      <c r="H267" s="85" t="str">
        <f aca="false">IF($A267="","",MAX(0,Settings!$B$7-G267))</f>
        <v/>
      </c>
      <c r="I267" s="85" t="str">
        <f aca="false">IF($A267="","",IF(G267&gt;=Settings!$B$7,"Full","Open"))</f>
        <v/>
      </c>
    </row>
    <row r="268" customFormat="false" ht="19.5" hidden="false" customHeight="true" outlineLevel="0" collapsed="false">
      <c r="A268" s="85" t="str">
        <f aca="false">IF(C268="","","C"&amp;TEXT(ROW()-4,"000"))</f>
        <v/>
      </c>
      <c r="B268" s="52"/>
      <c r="C268" s="52"/>
      <c r="D268" s="52"/>
      <c r="E268" s="89" t="str">
        <f aca="false">IF(D268="","",IFERROR(INDEX(Teachers!$B$5:$B$304,MATCH(D268,Teachers!$A$5:$A$304,0)),""))</f>
        <v/>
      </c>
      <c r="F268" s="86"/>
      <c r="G268" s="85" t="str">
        <f aca="false">IF($A268="","",COUNTIFS(Students!$E$5:$E$304,$B268,Students!$F$5:$F$304,$C268,Students!$K$5:$K$304,"Active"))</f>
        <v/>
      </c>
      <c r="H268" s="85" t="str">
        <f aca="false">IF($A268="","",MAX(0,Settings!$B$7-G268))</f>
        <v/>
      </c>
      <c r="I268" s="85" t="str">
        <f aca="false">IF($A268="","",IF(G268&gt;=Settings!$B$7,"Full","Open"))</f>
        <v/>
      </c>
    </row>
    <row r="269" customFormat="false" ht="19.5" hidden="false" customHeight="true" outlineLevel="0" collapsed="false">
      <c r="A269" s="85" t="str">
        <f aca="false">IF(C269="","","C"&amp;TEXT(ROW()-4,"000"))</f>
        <v/>
      </c>
      <c r="B269" s="52"/>
      <c r="C269" s="52"/>
      <c r="D269" s="52"/>
      <c r="E269" s="89" t="str">
        <f aca="false">IF(D269="","",IFERROR(INDEX(Teachers!$B$5:$B$304,MATCH(D269,Teachers!$A$5:$A$304,0)),""))</f>
        <v/>
      </c>
      <c r="F269" s="86"/>
      <c r="G269" s="85" t="str">
        <f aca="false">IF($A269="","",COUNTIFS(Students!$E$5:$E$304,$B269,Students!$F$5:$F$304,$C269,Students!$K$5:$K$304,"Active"))</f>
        <v/>
      </c>
      <c r="H269" s="85" t="str">
        <f aca="false">IF($A269="","",MAX(0,Settings!$B$7-G269))</f>
        <v/>
      </c>
      <c r="I269" s="85" t="str">
        <f aca="false">IF($A269="","",IF(G269&gt;=Settings!$B$7,"Full","Open"))</f>
        <v/>
      </c>
    </row>
    <row r="270" customFormat="false" ht="19.5" hidden="false" customHeight="true" outlineLevel="0" collapsed="false">
      <c r="A270" s="85" t="str">
        <f aca="false">IF(C270="","","C"&amp;TEXT(ROW()-4,"000"))</f>
        <v/>
      </c>
      <c r="B270" s="52"/>
      <c r="C270" s="52"/>
      <c r="D270" s="52"/>
      <c r="E270" s="89" t="str">
        <f aca="false">IF(D270="","",IFERROR(INDEX(Teachers!$B$5:$B$304,MATCH(D270,Teachers!$A$5:$A$304,0)),""))</f>
        <v/>
      </c>
      <c r="F270" s="86"/>
      <c r="G270" s="85" t="str">
        <f aca="false">IF($A270="","",COUNTIFS(Students!$E$5:$E$304,$B270,Students!$F$5:$F$304,$C270,Students!$K$5:$K$304,"Active"))</f>
        <v/>
      </c>
      <c r="H270" s="85" t="str">
        <f aca="false">IF($A270="","",MAX(0,Settings!$B$7-G270))</f>
        <v/>
      </c>
      <c r="I270" s="85" t="str">
        <f aca="false">IF($A270="","",IF(G270&gt;=Settings!$B$7,"Full","Open"))</f>
        <v/>
      </c>
    </row>
    <row r="271" customFormat="false" ht="19.5" hidden="false" customHeight="true" outlineLevel="0" collapsed="false">
      <c r="A271" s="85" t="str">
        <f aca="false">IF(C271="","","C"&amp;TEXT(ROW()-4,"000"))</f>
        <v/>
      </c>
      <c r="B271" s="52"/>
      <c r="C271" s="52"/>
      <c r="D271" s="52"/>
      <c r="E271" s="89" t="str">
        <f aca="false">IF(D271="","",IFERROR(INDEX(Teachers!$B$5:$B$304,MATCH(D271,Teachers!$A$5:$A$304,0)),""))</f>
        <v/>
      </c>
      <c r="F271" s="86"/>
      <c r="G271" s="85" t="str">
        <f aca="false">IF($A271="","",COUNTIFS(Students!$E$5:$E$304,$B271,Students!$F$5:$F$304,$C271,Students!$K$5:$K$304,"Active"))</f>
        <v/>
      </c>
      <c r="H271" s="85" t="str">
        <f aca="false">IF($A271="","",MAX(0,Settings!$B$7-G271))</f>
        <v/>
      </c>
      <c r="I271" s="85" t="str">
        <f aca="false">IF($A271="","",IF(G271&gt;=Settings!$B$7,"Full","Open"))</f>
        <v/>
      </c>
    </row>
    <row r="272" customFormat="false" ht="19.5" hidden="false" customHeight="true" outlineLevel="0" collapsed="false">
      <c r="A272" s="85" t="str">
        <f aca="false">IF(C272="","","C"&amp;TEXT(ROW()-4,"000"))</f>
        <v/>
      </c>
      <c r="B272" s="52"/>
      <c r="C272" s="52"/>
      <c r="D272" s="52"/>
      <c r="E272" s="89" t="str">
        <f aca="false">IF(D272="","",IFERROR(INDEX(Teachers!$B$5:$B$304,MATCH(D272,Teachers!$A$5:$A$304,0)),""))</f>
        <v/>
      </c>
      <c r="F272" s="86"/>
      <c r="G272" s="85" t="str">
        <f aca="false">IF($A272="","",COUNTIFS(Students!$E$5:$E$304,$B272,Students!$F$5:$F$304,$C272,Students!$K$5:$K$304,"Active"))</f>
        <v/>
      </c>
      <c r="H272" s="85" t="str">
        <f aca="false">IF($A272="","",MAX(0,Settings!$B$7-G272))</f>
        <v/>
      </c>
      <c r="I272" s="85" t="str">
        <f aca="false">IF($A272="","",IF(G272&gt;=Settings!$B$7,"Full","Open"))</f>
        <v/>
      </c>
    </row>
    <row r="273" customFormat="false" ht="19.5" hidden="false" customHeight="true" outlineLevel="0" collapsed="false">
      <c r="A273" s="85" t="str">
        <f aca="false">IF(C273="","","C"&amp;TEXT(ROW()-4,"000"))</f>
        <v/>
      </c>
      <c r="B273" s="52"/>
      <c r="C273" s="52"/>
      <c r="D273" s="52"/>
      <c r="E273" s="89" t="str">
        <f aca="false">IF(D273="","",IFERROR(INDEX(Teachers!$B$5:$B$304,MATCH(D273,Teachers!$A$5:$A$304,0)),""))</f>
        <v/>
      </c>
      <c r="F273" s="86"/>
      <c r="G273" s="85" t="str">
        <f aca="false">IF($A273="","",COUNTIFS(Students!$E$5:$E$304,$B273,Students!$F$5:$F$304,$C273,Students!$K$5:$K$304,"Active"))</f>
        <v/>
      </c>
      <c r="H273" s="85" t="str">
        <f aca="false">IF($A273="","",MAX(0,Settings!$B$7-G273))</f>
        <v/>
      </c>
      <c r="I273" s="85" t="str">
        <f aca="false">IF($A273="","",IF(G273&gt;=Settings!$B$7,"Full","Open"))</f>
        <v/>
      </c>
    </row>
    <row r="274" customFormat="false" ht="19.5" hidden="false" customHeight="true" outlineLevel="0" collapsed="false">
      <c r="A274" s="85" t="str">
        <f aca="false">IF(C274="","","C"&amp;TEXT(ROW()-4,"000"))</f>
        <v/>
      </c>
      <c r="B274" s="52"/>
      <c r="C274" s="52"/>
      <c r="D274" s="52"/>
      <c r="E274" s="89" t="str">
        <f aca="false">IF(D274="","",IFERROR(INDEX(Teachers!$B$5:$B$304,MATCH(D274,Teachers!$A$5:$A$304,0)),""))</f>
        <v/>
      </c>
      <c r="F274" s="86"/>
      <c r="G274" s="85" t="str">
        <f aca="false">IF($A274="","",COUNTIFS(Students!$E$5:$E$304,$B274,Students!$F$5:$F$304,$C274,Students!$K$5:$K$304,"Active"))</f>
        <v/>
      </c>
      <c r="H274" s="85" t="str">
        <f aca="false">IF($A274="","",MAX(0,Settings!$B$7-G274))</f>
        <v/>
      </c>
      <c r="I274" s="85" t="str">
        <f aca="false">IF($A274="","",IF(G274&gt;=Settings!$B$7,"Full","Open"))</f>
        <v/>
      </c>
    </row>
    <row r="275" customFormat="false" ht="19.5" hidden="false" customHeight="true" outlineLevel="0" collapsed="false">
      <c r="A275" s="85" t="str">
        <f aca="false">IF(C275="","","C"&amp;TEXT(ROW()-4,"000"))</f>
        <v/>
      </c>
      <c r="B275" s="52"/>
      <c r="C275" s="52"/>
      <c r="D275" s="52"/>
      <c r="E275" s="89" t="str">
        <f aca="false">IF(D275="","",IFERROR(INDEX(Teachers!$B$5:$B$304,MATCH(D275,Teachers!$A$5:$A$304,0)),""))</f>
        <v/>
      </c>
      <c r="F275" s="86"/>
      <c r="G275" s="85" t="str">
        <f aca="false">IF($A275="","",COUNTIFS(Students!$E$5:$E$304,$B275,Students!$F$5:$F$304,$C275,Students!$K$5:$K$304,"Active"))</f>
        <v/>
      </c>
      <c r="H275" s="85" t="str">
        <f aca="false">IF($A275="","",MAX(0,Settings!$B$7-G275))</f>
        <v/>
      </c>
      <c r="I275" s="85" t="str">
        <f aca="false">IF($A275="","",IF(G275&gt;=Settings!$B$7,"Full","Open"))</f>
        <v/>
      </c>
    </row>
    <row r="276" customFormat="false" ht="19.5" hidden="false" customHeight="true" outlineLevel="0" collapsed="false">
      <c r="A276" s="85" t="str">
        <f aca="false">IF(C276="","","C"&amp;TEXT(ROW()-4,"000"))</f>
        <v/>
      </c>
      <c r="B276" s="52"/>
      <c r="C276" s="52"/>
      <c r="D276" s="52"/>
      <c r="E276" s="89" t="str">
        <f aca="false">IF(D276="","",IFERROR(INDEX(Teachers!$B$5:$B$304,MATCH(D276,Teachers!$A$5:$A$304,0)),""))</f>
        <v/>
      </c>
      <c r="F276" s="86"/>
      <c r="G276" s="85" t="str">
        <f aca="false">IF($A276="","",COUNTIFS(Students!$E$5:$E$304,$B276,Students!$F$5:$F$304,$C276,Students!$K$5:$K$304,"Active"))</f>
        <v/>
      </c>
      <c r="H276" s="85" t="str">
        <f aca="false">IF($A276="","",MAX(0,Settings!$B$7-G276))</f>
        <v/>
      </c>
      <c r="I276" s="85" t="str">
        <f aca="false">IF($A276="","",IF(G276&gt;=Settings!$B$7,"Full","Open"))</f>
        <v/>
      </c>
    </row>
    <row r="277" customFormat="false" ht="19.5" hidden="false" customHeight="true" outlineLevel="0" collapsed="false">
      <c r="A277" s="85" t="str">
        <f aca="false">IF(C277="","","C"&amp;TEXT(ROW()-4,"000"))</f>
        <v/>
      </c>
      <c r="B277" s="52"/>
      <c r="C277" s="52"/>
      <c r="D277" s="52"/>
      <c r="E277" s="89" t="str">
        <f aca="false">IF(D277="","",IFERROR(INDEX(Teachers!$B$5:$B$304,MATCH(D277,Teachers!$A$5:$A$304,0)),""))</f>
        <v/>
      </c>
      <c r="F277" s="86"/>
      <c r="G277" s="85" t="str">
        <f aca="false">IF($A277="","",COUNTIFS(Students!$E$5:$E$304,$B277,Students!$F$5:$F$304,$C277,Students!$K$5:$K$304,"Active"))</f>
        <v/>
      </c>
      <c r="H277" s="85" t="str">
        <f aca="false">IF($A277="","",MAX(0,Settings!$B$7-G277))</f>
        <v/>
      </c>
      <c r="I277" s="85" t="str">
        <f aca="false">IF($A277="","",IF(G277&gt;=Settings!$B$7,"Full","Open"))</f>
        <v/>
      </c>
    </row>
    <row r="278" customFormat="false" ht="19.5" hidden="false" customHeight="true" outlineLevel="0" collapsed="false">
      <c r="A278" s="85" t="str">
        <f aca="false">IF(C278="","","C"&amp;TEXT(ROW()-4,"000"))</f>
        <v/>
      </c>
      <c r="B278" s="52"/>
      <c r="C278" s="52"/>
      <c r="D278" s="52"/>
      <c r="E278" s="89" t="str">
        <f aca="false">IF(D278="","",IFERROR(INDEX(Teachers!$B$5:$B$304,MATCH(D278,Teachers!$A$5:$A$304,0)),""))</f>
        <v/>
      </c>
      <c r="F278" s="86"/>
      <c r="G278" s="85" t="str">
        <f aca="false">IF($A278="","",COUNTIFS(Students!$E$5:$E$304,$B278,Students!$F$5:$F$304,$C278,Students!$K$5:$K$304,"Active"))</f>
        <v/>
      </c>
      <c r="H278" s="85" t="str">
        <f aca="false">IF($A278="","",MAX(0,Settings!$B$7-G278))</f>
        <v/>
      </c>
      <c r="I278" s="85" t="str">
        <f aca="false">IF($A278="","",IF(G278&gt;=Settings!$B$7,"Full","Open"))</f>
        <v/>
      </c>
    </row>
    <row r="279" customFormat="false" ht="19.5" hidden="false" customHeight="true" outlineLevel="0" collapsed="false">
      <c r="A279" s="85" t="str">
        <f aca="false">IF(C279="","","C"&amp;TEXT(ROW()-4,"000"))</f>
        <v/>
      </c>
      <c r="B279" s="52"/>
      <c r="C279" s="52"/>
      <c r="D279" s="52"/>
      <c r="E279" s="89" t="str">
        <f aca="false">IF(D279="","",IFERROR(INDEX(Teachers!$B$5:$B$304,MATCH(D279,Teachers!$A$5:$A$304,0)),""))</f>
        <v/>
      </c>
      <c r="F279" s="86"/>
      <c r="G279" s="85" t="str">
        <f aca="false">IF($A279="","",COUNTIFS(Students!$E$5:$E$304,$B279,Students!$F$5:$F$304,$C279,Students!$K$5:$K$304,"Active"))</f>
        <v/>
      </c>
      <c r="H279" s="85" t="str">
        <f aca="false">IF($A279="","",MAX(0,Settings!$B$7-G279))</f>
        <v/>
      </c>
      <c r="I279" s="85" t="str">
        <f aca="false">IF($A279="","",IF(G279&gt;=Settings!$B$7,"Full","Open"))</f>
        <v/>
      </c>
    </row>
    <row r="280" customFormat="false" ht="19.5" hidden="false" customHeight="true" outlineLevel="0" collapsed="false">
      <c r="A280" s="85" t="str">
        <f aca="false">IF(C280="","","C"&amp;TEXT(ROW()-4,"000"))</f>
        <v/>
      </c>
      <c r="B280" s="52"/>
      <c r="C280" s="52"/>
      <c r="D280" s="52"/>
      <c r="E280" s="89" t="str">
        <f aca="false">IF(D280="","",IFERROR(INDEX(Teachers!$B$5:$B$304,MATCH(D280,Teachers!$A$5:$A$304,0)),""))</f>
        <v/>
      </c>
      <c r="F280" s="86"/>
      <c r="G280" s="85" t="str">
        <f aca="false">IF($A280="","",COUNTIFS(Students!$E$5:$E$304,$B280,Students!$F$5:$F$304,$C280,Students!$K$5:$K$304,"Active"))</f>
        <v/>
      </c>
      <c r="H280" s="85" t="str">
        <f aca="false">IF($A280="","",MAX(0,Settings!$B$7-G280))</f>
        <v/>
      </c>
      <c r="I280" s="85" t="str">
        <f aca="false">IF($A280="","",IF(G280&gt;=Settings!$B$7,"Full","Open"))</f>
        <v/>
      </c>
    </row>
    <row r="281" customFormat="false" ht="19.5" hidden="false" customHeight="true" outlineLevel="0" collapsed="false">
      <c r="A281" s="85" t="str">
        <f aca="false">IF(C281="","","C"&amp;TEXT(ROW()-4,"000"))</f>
        <v/>
      </c>
      <c r="B281" s="52"/>
      <c r="C281" s="52"/>
      <c r="D281" s="52"/>
      <c r="E281" s="89" t="str">
        <f aca="false">IF(D281="","",IFERROR(INDEX(Teachers!$B$5:$B$304,MATCH(D281,Teachers!$A$5:$A$304,0)),""))</f>
        <v/>
      </c>
      <c r="F281" s="86"/>
      <c r="G281" s="85" t="str">
        <f aca="false">IF($A281="","",COUNTIFS(Students!$E$5:$E$304,$B281,Students!$F$5:$F$304,$C281,Students!$K$5:$K$304,"Active"))</f>
        <v/>
      </c>
      <c r="H281" s="85" t="str">
        <f aca="false">IF($A281="","",MAX(0,Settings!$B$7-G281))</f>
        <v/>
      </c>
      <c r="I281" s="85" t="str">
        <f aca="false">IF($A281="","",IF(G281&gt;=Settings!$B$7,"Full","Open"))</f>
        <v/>
      </c>
    </row>
    <row r="282" customFormat="false" ht="19.5" hidden="false" customHeight="true" outlineLevel="0" collapsed="false">
      <c r="A282" s="85" t="str">
        <f aca="false">IF(C282="","","C"&amp;TEXT(ROW()-4,"000"))</f>
        <v/>
      </c>
      <c r="B282" s="52"/>
      <c r="C282" s="52"/>
      <c r="D282" s="52"/>
      <c r="E282" s="89" t="str">
        <f aca="false">IF(D282="","",IFERROR(INDEX(Teachers!$B$5:$B$304,MATCH(D282,Teachers!$A$5:$A$304,0)),""))</f>
        <v/>
      </c>
      <c r="F282" s="86"/>
      <c r="G282" s="85" t="str">
        <f aca="false">IF($A282="","",COUNTIFS(Students!$E$5:$E$304,$B282,Students!$F$5:$F$304,$C282,Students!$K$5:$K$304,"Active"))</f>
        <v/>
      </c>
      <c r="H282" s="85" t="str">
        <f aca="false">IF($A282="","",MAX(0,Settings!$B$7-G282))</f>
        <v/>
      </c>
      <c r="I282" s="85" t="str">
        <f aca="false">IF($A282="","",IF(G282&gt;=Settings!$B$7,"Full","Open"))</f>
        <v/>
      </c>
    </row>
    <row r="283" customFormat="false" ht="19.5" hidden="false" customHeight="true" outlineLevel="0" collapsed="false">
      <c r="A283" s="85" t="str">
        <f aca="false">IF(C283="","","C"&amp;TEXT(ROW()-4,"000"))</f>
        <v/>
      </c>
      <c r="B283" s="52"/>
      <c r="C283" s="52"/>
      <c r="D283" s="52"/>
      <c r="E283" s="89" t="str">
        <f aca="false">IF(D283="","",IFERROR(INDEX(Teachers!$B$5:$B$304,MATCH(D283,Teachers!$A$5:$A$304,0)),""))</f>
        <v/>
      </c>
      <c r="F283" s="86"/>
      <c r="G283" s="85" t="str">
        <f aca="false">IF($A283="","",COUNTIFS(Students!$E$5:$E$304,$B283,Students!$F$5:$F$304,$C283,Students!$K$5:$K$304,"Active"))</f>
        <v/>
      </c>
      <c r="H283" s="85" t="str">
        <f aca="false">IF($A283="","",MAX(0,Settings!$B$7-G283))</f>
        <v/>
      </c>
      <c r="I283" s="85" t="str">
        <f aca="false">IF($A283="","",IF(G283&gt;=Settings!$B$7,"Full","Open"))</f>
        <v/>
      </c>
    </row>
    <row r="284" customFormat="false" ht="19.5" hidden="false" customHeight="true" outlineLevel="0" collapsed="false">
      <c r="A284" s="85" t="str">
        <f aca="false">IF(C284="","","C"&amp;TEXT(ROW()-4,"000"))</f>
        <v/>
      </c>
      <c r="B284" s="52"/>
      <c r="C284" s="52"/>
      <c r="D284" s="52"/>
      <c r="E284" s="89" t="str">
        <f aca="false">IF(D284="","",IFERROR(INDEX(Teachers!$B$5:$B$304,MATCH(D284,Teachers!$A$5:$A$304,0)),""))</f>
        <v/>
      </c>
      <c r="F284" s="86"/>
      <c r="G284" s="85" t="str">
        <f aca="false">IF($A284="","",COUNTIFS(Students!$E$5:$E$304,$B284,Students!$F$5:$F$304,$C284,Students!$K$5:$K$304,"Active"))</f>
        <v/>
      </c>
      <c r="H284" s="85" t="str">
        <f aca="false">IF($A284="","",MAX(0,Settings!$B$7-G284))</f>
        <v/>
      </c>
      <c r="I284" s="85" t="str">
        <f aca="false">IF($A284="","",IF(G284&gt;=Settings!$B$7,"Full","Open"))</f>
        <v/>
      </c>
    </row>
    <row r="285" customFormat="false" ht="19.5" hidden="false" customHeight="true" outlineLevel="0" collapsed="false">
      <c r="A285" s="85" t="str">
        <f aca="false">IF(C285="","","C"&amp;TEXT(ROW()-4,"000"))</f>
        <v/>
      </c>
      <c r="B285" s="52"/>
      <c r="C285" s="52"/>
      <c r="D285" s="52"/>
      <c r="E285" s="89" t="str">
        <f aca="false">IF(D285="","",IFERROR(INDEX(Teachers!$B$5:$B$304,MATCH(D285,Teachers!$A$5:$A$304,0)),""))</f>
        <v/>
      </c>
      <c r="F285" s="86"/>
      <c r="G285" s="85" t="str">
        <f aca="false">IF($A285="","",COUNTIFS(Students!$E$5:$E$304,$B285,Students!$F$5:$F$304,$C285,Students!$K$5:$K$304,"Active"))</f>
        <v/>
      </c>
      <c r="H285" s="85" t="str">
        <f aca="false">IF($A285="","",MAX(0,Settings!$B$7-G285))</f>
        <v/>
      </c>
      <c r="I285" s="85" t="str">
        <f aca="false">IF($A285="","",IF(G285&gt;=Settings!$B$7,"Full","Open"))</f>
        <v/>
      </c>
    </row>
    <row r="286" customFormat="false" ht="19.5" hidden="false" customHeight="true" outlineLevel="0" collapsed="false">
      <c r="A286" s="85" t="str">
        <f aca="false">IF(C286="","","C"&amp;TEXT(ROW()-4,"000"))</f>
        <v/>
      </c>
      <c r="B286" s="52"/>
      <c r="C286" s="52"/>
      <c r="D286" s="52"/>
      <c r="E286" s="89" t="str">
        <f aca="false">IF(D286="","",IFERROR(INDEX(Teachers!$B$5:$B$304,MATCH(D286,Teachers!$A$5:$A$304,0)),""))</f>
        <v/>
      </c>
      <c r="F286" s="86"/>
      <c r="G286" s="85" t="str">
        <f aca="false">IF($A286="","",COUNTIFS(Students!$E$5:$E$304,$B286,Students!$F$5:$F$304,$C286,Students!$K$5:$K$304,"Active"))</f>
        <v/>
      </c>
      <c r="H286" s="85" t="str">
        <f aca="false">IF($A286="","",MAX(0,Settings!$B$7-G286))</f>
        <v/>
      </c>
      <c r="I286" s="85" t="str">
        <f aca="false">IF($A286="","",IF(G286&gt;=Settings!$B$7,"Full","Open"))</f>
        <v/>
      </c>
    </row>
    <row r="287" customFormat="false" ht="19.5" hidden="false" customHeight="true" outlineLevel="0" collapsed="false">
      <c r="A287" s="85" t="str">
        <f aca="false">IF(C287="","","C"&amp;TEXT(ROW()-4,"000"))</f>
        <v/>
      </c>
      <c r="B287" s="52"/>
      <c r="C287" s="52"/>
      <c r="D287" s="52"/>
      <c r="E287" s="89" t="str">
        <f aca="false">IF(D287="","",IFERROR(INDEX(Teachers!$B$5:$B$304,MATCH(D287,Teachers!$A$5:$A$304,0)),""))</f>
        <v/>
      </c>
      <c r="F287" s="86"/>
      <c r="G287" s="85" t="str">
        <f aca="false">IF($A287="","",COUNTIFS(Students!$E$5:$E$304,$B287,Students!$F$5:$F$304,$C287,Students!$K$5:$K$304,"Active"))</f>
        <v/>
      </c>
      <c r="H287" s="85" t="str">
        <f aca="false">IF($A287="","",MAX(0,Settings!$B$7-G287))</f>
        <v/>
      </c>
      <c r="I287" s="85" t="str">
        <f aca="false">IF($A287="","",IF(G287&gt;=Settings!$B$7,"Full","Open"))</f>
        <v/>
      </c>
    </row>
    <row r="288" customFormat="false" ht="19.5" hidden="false" customHeight="true" outlineLevel="0" collapsed="false">
      <c r="A288" s="85" t="str">
        <f aca="false">IF(C288="","","C"&amp;TEXT(ROW()-4,"000"))</f>
        <v/>
      </c>
      <c r="B288" s="52"/>
      <c r="C288" s="52"/>
      <c r="D288" s="52"/>
      <c r="E288" s="89" t="str">
        <f aca="false">IF(D288="","",IFERROR(INDEX(Teachers!$B$5:$B$304,MATCH(D288,Teachers!$A$5:$A$304,0)),""))</f>
        <v/>
      </c>
      <c r="F288" s="86"/>
      <c r="G288" s="85" t="str">
        <f aca="false">IF($A288="","",COUNTIFS(Students!$E$5:$E$304,$B288,Students!$F$5:$F$304,$C288,Students!$K$5:$K$304,"Active"))</f>
        <v/>
      </c>
      <c r="H288" s="85" t="str">
        <f aca="false">IF($A288="","",MAX(0,Settings!$B$7-G288))</f>
        <v/>
      </c>
      <c r="I288" s="85" t="str">
        <f aca="false">IF($A288="","",IF(G288&gt;=Settings!$B$7,"Full","Open"))</f>
        <v/>
      </c>
    </row>
    <row r="289" customFormat="false" ht="19.5" hidden="false" customHeight="true" outlineLevel="0" collapsed="false">
      <c r="A289" s="85" t="str">
        <f aca="false">IF(C289="","","C"&amp;TEXT(ROW()-4,"000"))</f>
        <v/>
      </c>
      <c r="B289" s="52"/>
      <c r="C289" s="52"/>
      <c r="D289" s="52"/>
      <c r="E289" s="89" t="str">
        <f aca="false">IF(D289="","",IFERROR(INDEX(Teachers!$B$5:$B$304,MATCH(D289,Teachers!$A$5:$A$304,0)),""))</f>
        <v/>
      </c>
      <c r="F289" s="86"/>
      <c r="G289" s="85" t="str">
        <f aca="false">IF($A289="","",COUNTIFS(Students!$E$5:$E$304,$B289,Students!$F$5:$F$304,$C289,Students!$K$5:$K$304,"Active"))</f>
        <v/>
      </c>
      <c r="H289" s="85" t="str">
        <f aca="false">IF($A289="","",MAX(0,Settings!$B$7-G289))</f>
        <v/>
      </c>
      <c r="I289" s="85" t="str">
        <f aca="false">IF($A289="","",IF(G289&gt;=Settings!$B$7,"Full","Open"))</f>
        <v/>
      </c>
    </row>
    <row r="290" customFormat="false" ht="19.5" hidden="false" customHeight="true" outlineLevel="0" collapsed="false">
      <c r="A290" s="85" t="str">
        <f aca="false">IF(C290="","","C"&amp;TEXT(ROW()-4,"000"))</f>
        <v/>
      </c>
      <c r="B290" s="52"/>
      <c r="C290" s="52"/>
      <c r="D290" s="52"/>
      <c r="E290" s="89" t="str">
        <f aca="false">IF(D290="","",IFERROR(INDEX(Teachers!$B$5:$B$304,MATCH(D290,Teachers!$A$5:$A$304,0)),""))</f>
        <v/>
      </c>
      <c r="F290" s="86"/>
      <c r="G290" s="85" t="str">
        <f aca="false">IF($A290="","",COUNTIFS(Students!$E$5:$E$304,$B290,Students!$F$5:$F$304,$C290,Students!$K$5:$K$304,"Active"))</f>
        <v/>
      </c>
      <c r="H290" s="85" t="str">
        <f aca="false">IF($A290="","",MAX(0,Settings!$B$7-G290))</f>
        <v/>
      </c>
      <c r="I290" s="85" t="str">
        <f aca="false">IF($A290="","",IF(G290&gt;=Settings!$B$7,"Full","Open"))</f>
        <v/>
      </c>
    </row>
    <row r="291" customFormat="false" ht="19.5" hidden="false" customHeight="true" outlineLevel="0" collapsed="false">
      <c r="A291" s="85" t="str">
        <f aca="false">IF(C291="","","C"&amp;TEXT(ROW()-4,"000"))</f>
        <v/>
      </c>
      <c r="B291" s="52"/>
      <c r="C291" s="52"/>
      <c r="D291" s="52"/>
      <c r="E291" s="89" t="str">
        <f aca="false">IF(D291="","",IFERROR(INDEX(Teachers!$B$5:$B$304,MATCH(D291,Teachers!$A$5:$A$304,0)),""))</f>
        <v/>
      </c>
      <c r="F291" s="86"/>
      <c r="G291" s="85" t="str">
        <f aca="false">IF($A291="","",COUNTIFS(Students!$E$5:$E$304,$B291,Students!$F$5:$F$304,$C291,Students!$K$5:$K$304,"Active"))</f>
        <v/>
      </c>
      <c r="H291" s="85" t="str">
        <f aca="false">IF($A291="","",MAX(0,Settings!$B$7-G291))</f>
        <v/>
      </c>
      <c r="I291" s="85" t="str">
        <f aca="false">IF($A291="","",IF(G291&gt;=Settings!$B$7,"Full","Open"))</f>
        <v/>
      </c>
    </row>
    <row r="292" customFormat="false" ht="19.5" hidden="false" customHeight="true" outlineLevel="0" collapsed="false">
      <c r="A292" s="85" t="str">
        <f aca="false">IF(C292="","","C"&amp;TEXT(ROW()-4,"000"))</f>
        <v/>
      </c>
      <c r="B292" s="52"/>
      <c r="C292" s="52"/>
      <c r="D292" s="52"/>
      <c r="E292" s="89" t="str">
        <f aca="false">IF(D292="","",IFERROR(INDEX(Teachers!$B$5:$B$304,MATCH(D292,Teachers!$A$5:$A$304,0)),""))</f>
        <v/>
      </c>
      <c r="F292" s="86"/>
      <c r="G292" s="85" t="str">
        <f aca="false">IF($A292="","",COUNTIFS(Students!$E$5:$E$304,$B292,Students!$F$5:$F$304,$C292,Students!$K$5:$K$304,"Active"))</f>
        <v/>
      </c>
      <c r="H292" s="85" t="str">
        <f aca="false">IF($A292="","",MAX(0,Settings!$B$7-G292))</f>
        <v/>
      </c>
      <c r="I292" s="85" t="str">
        <f aca="false">IF($A292="","",IF(G292&gt;=Settings!$B$7,"Full","Open"))</f>
        <v/>
      </c>
    </row>
    <row r="293" customFormat="false" ht="19.5" hidden="false" customHeight="true" outlineLevel="0" collapsed="false">
      <c r="A293" s="85" t="str">
        <f aca="false">IF(C293="","","C"&amp;TEXT(ROW()-4,"000"))</f>
        <v/>
      </c>
      <c r="B293" s="52"/>
      <c r="C293" s="52"/>
      <c r="D293" s="52"/>
      <c r="E293" s="89" t="str">
        <f aca="false">IF(D293="","",IFERROR(INDEX(Teachers!$B$5:$B$304,MATCH(D293,Teachers!$A$5:$A$304,0)),""))</f>
        <v/>
      </c>
      <c r="F293" s="86"/>
      <c r="G293" s="85" t="str">
        <f aca="false">IF($A293="","",COUNTIFS(Students!$E$5:$E$304,$B293,Students!$F$5:$F$304,$C293,Students!$K$5:$K$304,"Active"))</f>
        <v/>
      </c>
      <c r="H293" s="85" t="str">
        <f aca="false">IF($A293="","",MAX(0,Settings!$B$7-G293))</f>
        <v/>
      </c>
      <c r="I293" s="85" t="str">
        <f aca="false">IF($A293="","",IF(G293&gt;=Settings!$B$7,"Full","Open"))</f>
        <v/>
      </c>
    </row>
    <row r="294" customFormat="false" ht="19.5" hidden="false" customHeight="true" outlineLevel="0" collapsed="false">
      <c r="A294" s="85" t="str">
        <f aca="false">IF(C294="","","C"&amp;TEXT(ROW()-4,"000"))</f>
        <v/>
      </c>
      <c r="B294" s="52"/>
      <c r="C294" s="52"/>
      <c r="D294" s="52"/>
      <c r="E294" s="89" t="str">
        <f aca="false">IF(D294="","",IFERROR(INDEX(Teachers!$B$5:$B$304,MATCH(D294,Teachers!$A$5:$A$304,0)),""))</f>
        <v/>
      </c>
      <c r="F294" s="86"/>
      <c r="G294" s="85" t="str">
        <f aca="false">IF($A294="","",COUNTIFS(Students!$E$5:$E$304,$B294,Students!$F$5:$F$304,$C294,Students!$K$5:$K$304,"Active"))</f>
        <v/>
      </c>
      <c r="H294" s="85" t="str">
        <f aca="false">IF($A294="","",MAX(0,Settings!$B$7-G294))</f>
        <v/>
      </c>
      <c r="I294" s="85" t="str">
        <f aca="false">IF($A294="","",IF(G294&gt;=Settings!$B$7,"Full","Open"))</f>
        <v/>
      </c>
    </row>
    <row r="295" customFormat="false" ht="19.5" hidden="false" customHeight="true" outlineLevel="0" collapsed="false">
      <c r="A295" s="85" t="str">
        <f aca="false">IF(C295="","","C"&amp;TEXT(ROW()-4,"000"))</f>
        <v/>
      </c>
      <c r="B295" s="52"/>
      <c r="C295" s="52"/>
      <c r="D295" s="52"/>
      <c r="E295" s="89" t="str">
        <f aca="false">IF(D295="","",IFERROR(INDEX(Teachers!$B$5:$B$304,MATCH(D295,Teachers!$A$5:$A$304,0)),""))</f>
        <v/>
      </c>
      <c r="F295" s="86"/>
      <c r="G295" s="85" t="str">
        <f aca="false">IF($A295="","",COUNTIFS(Students!$E$5:$E$304,$B295,Students!$F$5:$F$304,$C295,Students!$K$5:$K$304,"Active"))</f>
        <v/>
      </c>
      <c r="H295" s="85" t="str">
        <f aca="false">IF($A295="","",MAX(0,Settings!$B$7-G295))</f>
        <v/>
      </c>
      <c r="I295" s="85" t="str">
        <f aca="false">IF($A295="","",IF(G295&gt;=Settings!$B$7,"Full","Open"))</f>
        <v/>
      </c>
    </row>
    <row r="296" customFormat="false" ht="19.5" hidden="false" customHeight="true" outlineLevel="0" collapsed="false">
      <c r="A296" s="85" t="str">
        <f aca="false">IF(C296="","","C"&amp;TEXT(ROW()-4,"000"))</f>
        <v/>
      </c>
      <c r="B296" s="52"/>
      <c r="C296" s="52"/>
      <c r="D296" s="52"/>
      <c r="E296" s="89" t="str">
        <f aca="false">IF(D296="","",IFERROR(INDEX(Teachers!$B$5:$B$304,MATCH(D296,Teachers!$A$5:$A$304,0)),""))</f>
        <v/>
      </c>
      <c r="F296" s="86"/>
      <c r="G296" s="85" t="str">
        <f aca="false">IF($A296="","",COUNTIFS(Students!$E$5:$E$304,$B296,Students!$F$5:$F$304,$C296,Students!$K$5:$K$304,"Active"))</f>
        <v/>
      </c>
      <c r="H296" s="85" t="str">
        <f aca="false">IF($A296="","",MAX(0,Settings!$B$7-G296))</f>
        <v/>
      </c>
      <c r="I296" s="85" t="str">
        <f aca="false">IF($A296="","",IF(G296&gt;=Settings!$B$7,"Full","Open"))</f>
        <v/>
      </c>
    </row>
    <row r="297" customFormat="false" ht="19.5" hidden="false" customHeight="true" outlineLevel="0" collapsed="false">
      <c r="A297" s="85" t="str">
        <f aca="false">IF(C297="","","C"&amp;TEXT(ROW()-4,"000"))</f>
        <v/>
      </c>
      <c r="B297" s="52"/>
      <c r="C297" s="52"/>
      <c r="D297" s="52"/>
      <c r="E297" s="89" t="str">
        <f aca="false">IF(D297="","",IFERROR(INDEX(Teachers!$B$5:$B$304,MATCH(D297,Teachers!$A$5:$A$304,0)),""))</f>
        <v/>
      </c>
      <c r="F297" s="86"/>
      <c r="G297" s="85" t="str">
        <f aca="false">IF($A297="","",COUNTIFS(Students!$E$5:$E$304,$B297,Students!$F$5:$F$304,$C297,Students!$K$5:$K$304,"Active"))</f>
        <v/>
      </c>
      <c r="H297" s="85" t="str">
        <f aca="false">IF($A297="","",MAX(0,Settings!$B$7-G297))</f>
        <v/>
      </c>
      <c r="I297" s="85" t="str">
        <f aca="false">IF($A297="","",IF(G297&gt;=Settings!$B$7,"Full","Open"))</f>
        <v/>
      </c>
    </row>
    <row r="298" customFormat="false" ht="19.5" hidden="false" customHeight="true" outlineLevel="0" collapsed="false">
      <c r="A298" s="85" t="str">
        <f aca="false">IF(C298="","","C"&amp;TEXT(ROW()-4,"000"))</f>
        <v/>
      </c>
      <c r="B298" s="52"/>
      <c r="C298" s="52"/>
      <c r="D298" s="52"/>
      <c r="E298" s="89" t="str">
        <f aca="false">IF(D298="","",IFERROR(INDEX(Teachers!$B$5:$B$304,MATCH(D298,Teachers!$A$5:$A$304,0)),""))</f>
        <v/>
      </c>
      <c r="F298" s="86"/>
      <c r="G298" s="85" t="str">
        <f aca="false">IF($A298="","",COUNTIFS(Students!$E$5:$E$304,$B298,Students!$F$5:$F$304,$C298,Students!$K$5:$K$304,"Active"))</f>
        <v/>
      </c>
      <c r="H298" s="85" t="str">
        <f aca="false">IF($A298="","",MAX(0,Settings!$B$7-G298))</f>
        <v/>
      </c>
      <c r="I298" s="85" t="str">
        <f aca="false">IF($A298="","",IF(G298&gt;=Settings!$B$7,"Full","Open"))</f>
        <v/>
      </c>
    </row>
    <row r="299" customFormat="false" ht="19.5" hidden="false" customHeight="true" outlineLevel="0" collapsed="false">
      <c r="A299" s="85" t="str">
        <f aca="false">IF(C299="","","C"&amp;TEXT(ROW()-4,"000"))</f>
        <v/>
      </c>
      <c r="B299" s="52"/>
      <c r="C299" s="52"/>
      <c r="D299" s="52"/>
      <c r="E299" s="89" t="str">
        <f aca="false">IF(D299="","",IFERROR(INDEX(Teachers!$B$5:$B$304,MATCH(D299,Teachers!$A$5:$A$304,0)),""))</f>
        <v/>
      </c>
      <c r="F299" s="86"/>
      <c r="G299" s="85" t="str">
        <f aca="false">IF($A299="","",COUNTIFS(Students!$E$5:$E$304,$B299,Students!$F$5:$F$304,$C299,Students!$K$5:$K$304,"Active"))</f>
        <v/>
      </c>
      <c r="H299" s="85" t="str">
        <f aca="false">IF($A299="","",MAX(0,Settings!$B$7-G299))</f>
        <v/>
      </c>
      <c r="I299" s="85" t="str">
        <f aca="false">IF($A299="","",IF(G299&gt;=Settings!$B$7,"Full","Open"))</f>
        <v/>
      </c>
    </row>
    <row r="300" customFormat="false" ht="19.5" hidden="false" customHeight="true" outlineLevel="0" collapsed="false">
      <c r="A300" s="85" t="str">
        <f aca="false">IF(C300="","","C"&amp;TEXT(ROW()-4,"000"))</f>
        <v/>
      </c>
      <c r="B300" s="52"/>
      <c r="C300" s="52"/>
      <c r="D300" s="52"/>
      <c r="E300" s="89" t="str">
        <f aca="false">IF(D300="","",IFERROR(INDEX(Teachers!$B$5:$B$304,MATCH(D300,Teachers!$A$5:$A$304,0)),""))</f>
        <v/>
      </c>
      <c r="F300" s="86"/>
      <c r="G300" s="85" t="str">
        <f aca="false">IF($A300="","",COUNTIFS(Students!$E$5:$E$304,$B300,Students!$F$5:$F$304,$C300,Students!$K$5:$K$304,"Active"))</f>
        <v/>
      </c>
      <c r="H300" s="85" t="str">
        <f aca="false">IF($A300="","",MAX(0,Settings!$B$7-G300))</f>
        <v/>
      </c>
      <c r="I300" s="85" t="str">
        <f aca="false">IF($A300="","",IF(G300&gt;=Settings!$B$7,"Full","Open"))</f>
        <v/>
      </c>
    </row>
    <row r="301" customFormat="false" ht="19.5" hidden="false" customHeight="true" outlineLevel="0" collapsed="false">
      <c r="A301" s="85" t="str">
        <f aca="false">IF(C301="","","C"&amp;TEXT(ROW()-4,"000"))</f>
        <v/>
      </c>
      <c r="B301" s="52"/>
      <c r="C301" s="52"/>
      <c r="D301" s="52"/>
      <c r="E301" s="89" t="str">
        <f aca="false">IF(D301="","",IFERROR(INDEX(Teachers!$B$5:$B$304,MATCH(D301,Teachers!$A$5:$A$304,0)),""))</f>
        <v/>
      </c>
      <c r="F301" s="86"/>
      <c r="G301" s="85" t="str">
        <f aca="false">IF($A301="","",COUNTIFS(Students!$E$5:$E$304,$B301,Students!$F$5:$F$304,$C301,Students!$K$5:$K$304,"Active"))</f>
        <v/>
      </c>
      <c r="H301" s="85" t="str">
        <f aca="false">IF($A301="","",MAX(0,Settings!$B$7-G301))</f>
        <v/>
      </c>
      <c r="I301" s="85" t="str">
        <f aca="false">IF($A301="","",IF(G301&gt;=Settings!$B$7,"Full","Open"))</f>
        <v/>
      </c>
    </row>
    <row r="302" customFormat="false" ht="19.5" hidden="false" customHeight="true" outlineLevel="0" collapsed="false">
      <c r="A302" s="85" t="str">
        <f aca="false">IF(C302="","","C"&amp;TEXT(ROW()-4,"000"))</f>
        <v/>
      </c>
      <c r="B302" s="52"/>
      <c r="C302" s="52"/>
      <c r="D302" s="52"/>
      <c r="E302" s="89" t="str">
        <f aca="false">IF(D302="","",IFERROR(INDEX(Teachers!$B$5:$B$304,MATCH(D302,Teachers!$A$5:$A$304,0)),""))</f>
        <v/>
      </c>
      <c r="F302" s="86"/>
      <c r="G302" s="85" t="str">
        <f aca="false">IF($A302="","",COUNTIFS(Students!$E$5:$E$304,$B302,Students!$F$5:$F$304,$C302,Students!$K$5:$K$304,"Active"))</f>
        <v/>
      </c>
      <c r="H302" s="85" t="str">
        <f aca="false">IF($A302="","",MAX(0,Settings!$B$7-G302))</f>
        <v/>
      </c>
      <c r="I302" s="85" t="str">
        <f aca="false">IF($A302="","",IF(G302&gt;=Settings!$B$7,"Full","Open"))</f>
        <v/>
      </c>
    </row>
    <row r="303" customFormat="false" ht="19.5" hidden="false" customHeight="true" outlineLevel="0" collapsed="false">
      <c r="A303" s="85" t="str">
        <f aca="false">IF(C303="","","C"&amp;TEXT(ROW()-4,"000"))</f>
        <v/>
      </c>
      <c r="B303" s="52"/>
      <c r="C303" s="52"/>
      <c r="D303" s="52"/>
      <c r="E303" s="89" t="str">
        <f aca="false">IF(D303="","",IFERROR(INDEX(Teachers!$B$5:$B$304,MATCH(D303,Teachers!$A$5:$A$304,0)),""))</f>
        <v/>
      </c>
      <c r="F303" s="86"/>
      <c r="G303" s="85" t="str">
        <f aca="false">IF($A303="","",COUNTIFS(Students!$E$5:$E$304,$B303,Students!$F$5:$F$304,$C303,Students!$K$5:$K$304,"Active"))</f>
        <v/>
      </c>
      <c r="H303" s="85" t="str">
        <f aca="false">IF($A303="","",MAX(0,Settings!$B$7-G303))</f>
        <v/>
      </c>
      <c r="I303" s="85" t="str">
        <f aca="false">IF($A303="","",IF(G303&gt;=Settings!$B$7,"Full","Open"))</f>
        <v/>
      </c>
    </row>
    <row r="304" customFormat="false" ht="19.5" hidden="false" customHeight="true" outlineLevel="0" collapsed="false">
      <c r="A304" s="85" t="str">
        <f aca="false">IF(C304="","","C"&amp;TEXT(ROW()-4,"000"))</f>
        <v/>
      </c>
      <c r="B304" s="52"/>
      <c r="C304" s="52"/>
      <c r="D304" s="52"/>
      <c r="E304" s="89" t="str">
        <f aca="false">IF(D304="","",IFERROR(INDEX(Teachers!$B$5:$B$304,MATCH(D304,Teachers!$A$5:$A$304,0)),""))</f>
        <v/>
      </c>
      <c r="F304" s="86"/>
      <c r="G304" s="85" t="str">
        <f aca="false">IF($A304="","",COUNTIFS(Students!$E$5:$E$304,$B304,Students!$F$5:$F$304,$C304,Students!$K$5:$K$304,"Active"))</f>
        <v/>
      </c>
      <c r="H304" s="85" t="str">
        <f aca="false">IF($A304="","",MAX(0,Settings!$B$7-G304))</f>
        <v/>
      </c>
      <c r="I304" s="85" t="str">
        <f aca="false">IF($A304="","",IF(G304&gt;=Settings!$B$7,"Full","Open"))</f>
        <v/>
      </c>
    </row>
  </sheetData>
  <mergeCells count="3">
    <mergeCell ref="A1:I1"/>
    <mergeCell ref="A2:I2"/>
    <mergeCell ref="A3:I3"/>
  </mergeCells>
  <conditionalFormatting sqref="A5:I304">
    <cfRule type="expression" priority="2" aboveAverage="0" equalAverage="0" bottom="0" percent="0" rank="0" text="" dxfId="0">
      <formula>AND(MOD(ROW(),2)=0,$A5&lt;&gt;"")</formula>
    </cfRule>
  </conditionalFormatting>
  <conditionalFormatting sqref="I5:I304">
    <cfRule type="expression" priority="3" aboveAverage="0" equalAverage="0" bottom="0" percent="0" rank="0" text="" dxfId="6">
      <formula>$I5="Open"</formula>
    </cfRule>
    <cfRule type="expression" priority="4" aboveAverage="0" equalAverage="0" bottom="0" percent="0" rank="0" text="" dxfId="7">
      <formula>$I5="Full"</formula>
    </cfRule>
  </conditionalFormatting>
  <dataValidations count="3">
    <dataValidation allowBlank="true" error="Pick a School ID from the Schools tab." errorStyle="stop" errorTitle="Invalid entry" operator="between" showDropDown="false" showErrorMessage="true" showInputMessage="false" sqref="B5:B304" type="list">
      <formula1>Schools!$A$5:$A$304</formula1>
      <formula2>0</formula2>
    </dataValidation>
    <dataValidation allowBlank="true" error="Choose from the list." errorStyle="stop" errorTitle="Invalid entry" operator="between" showDropDown="false" showErrorMessage="true" showInputMessage="false" sqref="C5:C304" type="list">
      <formula1>Settings!$B$11:$B$30</formula1>
      <formula2>0</formula2>
    </dataValidation>
    <dataValidation allowBlank="true" error="Pick a Teacher ID from the Teachers tab." errorStyle="stop" errorTitle="Invalid entry" operator="between" showDropDown="false" showErrorMessage="true" showInputMessage="false" sqref="D5:D304" type="list">
      <formula1>Teachers!$A$5:$A$304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355B"/>
    <pageSetUpPr fitToPage="true"/>
  </sheetPr>
  <dimension ref="A1:J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3" min="3" style="1" width="9"/>
    <col collapsed="false" customWidth="true" hidden="false" outlineLevel="0" max="4" min="4" style="1" width="24"/>
    <col collapsed="false" customWidth="true" hidden="false" outlineLevel="0" max="5" min="5" style="1" width="12"/>
    <col collapsed="false" customWidth="true" hidden="false" outlineLevel="0" max="6" min="6" style="1" width="16"/>
    <col collapsed="false" customWidth="true" hidden="false" outlineLevel="0" max="7" min="7" style="1" width="26"/>
    <col collapsed="false" customWidth="true" hidden="false" outlineLevel="0" max="8" min="8" style="1" width="14"/>
    <col collapsed="false" customWidth="true" hidden="false" outlineLevel="0" max="9" min="9" style="1" width="12"/>
    <col collapsed="false" customWidth="true" hidden="false" outlineLevel="0" max="10" min="10" style="1" width="20"/>
  </cols>
  <sheetData>
    <row r="1" customFormat="false" ht="42" hidden="false" customHeight="true" outlineLevel="0" collapsed="false">
      <c r="A1" s="2" t="s">
        <v>326</v>
      </c>
      <c r="B1" s="2"/>
      <c r="C1" s="2"/>
      <c r="D1" s="2"/>
      <c r="E1" s="2"/>
      <c r="F1" s="2"/>
      <c r="G1" s="2"/>
      <c r="H1" s="2"/>
      <c r="I1" s="2"/>
      <c r="J1" s="2"/>
    </row>
    <row r="2" customFormat="false" ht="19.5" hidden="false" customHeight="true" outlineLevel="0" collapsed="false">
      <c r="A2" s="3" t="s">
        <v>327</v>
      </c>
      <c r="B2" s="3"/>
      <c r="C2" s="3"/>
      <c r="D2" s="3"/>
      <c r="E2" s="3"/>
      <c r="F2" s="3"/>
      <c r="G2" s="3"/>
      <c r="H2" s="3"/>
      <c r="I2" s="3"/>
      <c r="J2" s="3"/>
    </row>
    <row r="3" customFormat="false" ht="3.75" hidden="false" customHeight="true" outlineLevel="0" collapsed="false">
      <c r="A3" s="4"/>
      <c r="B3" s="4"/>
      <c r="C3" s="4"/>
      <c r="D3" s="4"/>
      <c r="E3" s="4"/>
      <c r="F3" s="4"/>
      <c r="G3" s="4"/>
      <c r="H3" s="4"/>
      <c r="I3" s="4"/>
      <c r="J3" s="4"/>
    </row>
    <row r="4" customFormat="false" ht="33.75" hidden="false" customHeight="true" outlineLevel="0" collapsed="false">
      <c r="A4" s="15" t="s">
        <v>328</v>
      </c>
      <c r="B4" s="15" t="s">
        <v>158</v>
      </c>
      <c r="C4" s="15" t="s">
        <v>159</v>
      </c>
      <c r="D4" s="15" t="s">
        <v>329</v>
      </c>
      <c r="E4" s="15" t="s">
        <v>99</v>
      </c>
      <c r="F4" s="15" t="s">
        <v>304</v>
      </c>
      <c r="G4" s="15" t="s">
        <v>305</v>
      </c>
      <c r="H4" s="15" t="s">
        <v>330</v>
      </c>
      <c r="I4" s="15" t="s">
        <v>331</v>
      </c>
      <c r="J4" s="15" t="s">
        <v>308</v>
      </c>
    </row>
    <row r="5" customFormat="false" ht="19.5" hidden="false" customHeight="true" outlineLevel="0" collapsed="false">
      <c r="A5" s="83" t="str">
        <f aca="false">IF(B5="","","T"&amp;TEXT(ROW()-4,"000"))</f>
        <v>T001</v>
      </c>
      <c r="B5" s="84" t="s">
        <v>332</v>
      </c>
      <c r="C5" s="87" t="s">
        <v>333</v>
      </c>
      <c r="D5" s="84" t="s">
        <v>181</v>
      </c>
      <c r="E5" s="87" t="s">
        <v>143</v>
      </c>
      <c r="F5" s="84" t="s">
        <v>334</v>
      </c>
      <c r="G5" s="84" t="s">
        <v>335</v>
      </c>
      <c r="H5" s="90" t="n">
        <v>44075</v>
      </c>
      <c r="I5" s="87" t="s">
        <v>336</v>
      </c>
      <c r="J5" s="88" t="s">
        <v>314</v>
      </c>
    </row>
    <row r="6" customFormat="false" ht="19.5" hidden="false" customHeight="true" outlineLevel="0" collapsed="false">
      <c r="A6" s="85" t="str">
        <f aca="false">IF(B6="","","T"&amp;TEXT(ROW()-4,"000"))</f>
        <v/>
      </c>
      <c r="B6" s="86"/>
      <c r="C6" s="52"/>
      <c r="D6" s="86"/>
      <c r="E6" s="52"/>
      <c r="F6" s="86"/>
      <c r="G6" s="86"/>
      <c r="H6" s="91"/>
      <c r="I6" s="52"/>
      <c r="J6" s="89"/>
    </row>
    <row r="7" customFormat="false" ht="19.5" hidden="false" customHeight="true" outlineLevel="0" collapsed="false">
      <c r="A7" s="85" t="str">
        <f aca="false">IF(B7="","","T"&amp;TEXT(ROW()-4,"000"))</f>
        <v/>
      </c>
      <c r="B7" s="86"/>
      <c r="C7" s="52"/>
      <c r="D7" s="86"/>
      <c r="E7" s="52"/>
      <c r="F7" s="86"/>
      <c r="G7" s="86"/>
      <c r="H7" s="91"/>
      <c r="I7" s="52"/>
      <c r="J7" s="89"/>
    </row>
    <row r="8" customFormat="false" ht="19.5" hidden="false" customHeight="true" outlineLevel="0" collapsed="false">
      <c r="A8" s="85" t="str">
        <f aca="false">IF(B8="","","T"&amp;TEXT(ROW()-4,"000"))</f>
        <v/>
      </c>
      <c r="B8" s="86"/>
      <c r="C8" s="52"/>
      <c r="D8" s="86"/>
      <c r="E8" s="52"/>
      <c r="F8" s="86"/>
      <c r="G8" s="86"/>
      <c r="H8" s="91"/>
      <c r="I8" s="52"/>
      <c r="J8" s="89"/>
    </row>
    <row r="9" customFormat="false" ht="19.5" hidden="false" customHeight="true" outlineLevel="0" collapsed="false">
      <c r="A9" s="85" t="str">
        <f aca="false">IF(B9="","","T"&amp;TEXT(ROW()-4,"000"))</f>
        <v/>
      </c>
      <c r="B9" s="86"/>
      <c r="C9" s="52"/>
      <c r="D9" s="86"/>
      <c r="E9" s="52"/>
      <c r="F9" s="86"/>
      <c r="G9" s="86"/>
      <c r="H9" s="91"/>
      <c r="I9" s="52"/>
      <c r="J9" s="89"/>
    </row>
    <row r="10" customFormat="false" ht="19.5" hidden="false" customHeight="true" outlineLevel="0" collapsed="false">
      <c r="A10" s="85" t="str">
        <f aca="false">IF(B10="","","T"&amp;TEXT(ROW()-4,"000"))</f>
        <v/>
      </c>
      <c r="B10" s="86"/>
      <c r="C10" s="52"/>
      <c r="D10" s="86"/>
      <c r="E10" s="52"/>
      <c r="F10" s="86"/>
      <c r="G10" s="86"/>
      <c r="H10" s="91"/>
      <c r="I10" s="52"/>
      <c r="J10" s="89"/>
    </row>
    <row r="11" customFormat="false" ht="19.5" hidden="false" customHeight="true" outlineLevel="0" collapsed="false">
      <c r="A11" s="85" t="str">
        <f aca="false">IF(B11="","","T"&amp;TEXT(ROW()-4,"000"))</f>
        <v/>
      </c>
      <c r="B11" s="86"/>
      <c r="C11" s="52"/>
      <c r="D11" s="86"/>
      <c r="E11" s="52"/>
      <c r="F11" s="86"/>
      <c r="G11" s="86"/>
      <c r="H11" s="91"/>
      <c r="I11" s="52"/>
      <c r="J11" s="89"/>
    </row>
    <row r="12" customFormat="false" ht="19.5" hidden="false" customHeight="true" outlineLevel="0" collapsed="false">
      <c r="A12" s="85" t="str">
        <f aca="false">IF(B12="","","T"&amp;TEXT(ROW()-4,"000"))</f>
        <v/>
      </c>
      <c r="B12" s="86"/>
      <c r="C12" s="52"/>
      <c r="D12" s="86"/>
      <c r="E12" s="52"/>
      <c r="F12" s="86"/>
      <c r="G12" s="86"/>
      <c r="H12" s="91"/>
      <c r="I12" s="52"/>
      <c r="J12" s="89"/>
    </row>
    <row r="13" customFormat="false" ht="19.5" hidden="false" customHeight="true" outlineLevel="0" collapsed="false">
      <c r="A13" s="85" t="str">
        <f aca="false">IF(B13="","","T"&amp;TEXT(ROW()-4,"000"))</f>
        <v/>
      </c>
      <c r="B13" s="86"/>
      <c r="C13" s="52"/>
      <c r="D13" s="86"/>
      <c r="E13" s="52"/>
      <c r="F13" s="86"/>
      <c r="G13" s="86"/>
      <c r="H13" s="91"/>
      <c r="I13" s="52"/>
      <c r="J13" s="89"/>
    </row>
    <row r="14" customFormat="false" ht="19.5" hidden="false" customHeight="true" outlineLevel="0" collapsed="false">
      <c r="A14" s="85" t="str">
        <f aca="false">IF(B14="","","T"&amp;TEXT(ROW()-4,"000"))</f>
        <v/>
      </c>
      <c r="B14" s="86"/>
      <c r="C14" s="52"/>
      <c r="D14" s="86"/>
      <c r="E14" s="52"/>
      <c r="F14" s="86"/>
      <c r="G14" s="86"/>
      <c r="H14" s="91"/>
      <c r="I14" s="52"/>
      <c r="J14" s="89"/>
    </row>
    <row r="15" customFormat="false" ht="19.5" hidden="false" customHeight="true" outlineLevel="0" collapsed="false">
      <c r="A15" s="85" t="str">
        <f aca="false">IF(B15="","","T"&amp;TEXT(ROW()-4,"000"))</f>
        <v/>
      </c>
      <c r="B15" s="86"/>
      <c r="C15" s="52"/>
      <c r="D15" s="86"/>
      <c r="E15" s="52"/>
      <c r="F15" s="86"/>
      <c r="G15" s="86"/>
      <c r="H15" s="91"/>
      <c r="I15" s="52"/>
      <c r="J15" s="89"/>
    </row>
    <row r="16" customFormat="false" ht="19.5" hidden="false" customHeight="true" outlineLevel="0" collapsed="false">
      <c r="A16" s="85" t="str">
        <f aca="false">IF(B16="","","T"&amp;TEXT(ROW()-4,"000"))</f>
        <v/>
      </c>
      <c r="B16" s="86"/>
      <c r="C16" s="52"/>
      <c r="D16" s="86"/>
      <c r="E16" s="52"/>
      <c r="F16" s="86"/>
      <c r="G16" s="86"/>
      <c r="H16" s="91"/>
      <c r="I16" s="52"/>
      <c r="J16" s="89"/>
    </row>
    <row r="17" customFormat="false" ht="19.5" hidden="false" customHeight="true" outlineLevel="0" collapsed="false">
      <c r="A17" s="85" t="str">
        <f aca="false">IF(B17="","","T"&amp;TEXT(ROW()-4,"000"))</f>
        <v/>
      </c>
      <c r="B17" s="86"/>
      <c r="C17" s="52"/>
      <c r="D17" s="86"/>
      <c r="E17" s="52"/>
      <c r="F17" s="86"/>
      <c r="G17" s="86"/>
      <c r="H17" s="91"/>
      <c r="I17" s="52"/>
      <c r="J17" s="89"/>
    </row>
    <row r="18" customFormat="false" ht="19.5" hidden="false" customHeight="true" outlineLevel="0" collapsed="false">
      <c r="A18" s="85" t="str">
        <f aca="false">IF(B18="","","T"&amp;TEXT(ROW()-4,"000"))</f>
        <v/>
      </c>
      <c r="B18" s="86"/>
      <c r="C18" s="52"/>
      <c r="D18" s="86"/>
      <c r="E18" s="52"/>
      <c r="F18" s="86"/>
      <c r="G18" s="86"/>
      <c r="H18" s="91"/>
      <c r="I18" s="52"/>
      <c r="J18" s="89"/>
    </row>
    <row r="19" customFormat="false" ht="19.5" hidden="false" customHeight="true" outlineLevel="0" collapsed="false">
      <c r="A19" s="85" t="str">
        <f aca="false">IF(B19="","","T"&amp;TEXT(ROW()-4,"000"))</f>
        <v/>
      </c>
      <c r="B19" s="86"/>
      <c r="C19" s="52"/>
      <c r="D19" s="86"/>
      <c r="E19" s="52"/>
      <c r="F19" s="86"/>
      <c r="G19" s="86"/>
      <c r="H19" s="91"/>
      <c r="I19" s="52"/>
      <c r="J19" s="89"/>
    </row>
    <row r="20" customFormat="false" ht="19.5" hidden="false" customHeight="true" outlineLevel="0" collapsed="false">
      <c r="A20" s="85" t="str">
        <f aca="false">IF(B20="","","T"&amp;TEXT(ROW()-4,"000"))</f>
        <v/>
      </c>
      <c r="B20" s="86"/>
      <c r="C20" s="52"/>
      <c r="D20" s="86"/>
      <c r="E20" s="52"/>
      <c r="F20" s="86"/>
      <c r="G20" s="86"/>
      <c r="H20" s="91"/>
      <c r="I20" s="52"/>
      <c r="J20" s="89"/>
    </row>
    <row r="21" customFormat="false" ht="19.5" hidden="false" customHeight="true" outlineLevel="0" collapsed="false">
      <c r="A21" s="85" t="str">
        <f aca="false">IF(B21="","","T"&amp;TEXT(ROW()-4,"000"))</f>
        <v/>
      </c>
      <c r="B21" s="86"/>
      <c r="C21" s="52"/>
      <c r="D21" s="86"/>
      <c r="E21" s="52"/>
      <c r="F21" s="86"/>
      <c r="G21" s="86"/>
      <c r="H21" s="91"/>
      <c r="I21" s="52"/>
      <c r="J21" s="89"/>
    </row>
    <row r="22" customFormat="false" ht="19.5" hidden="false" customHeight="true" outlineLevel="0" collapsed="false">
      <c r="A22" s="85" t="str">
        <f aca="false">IF(B22="","","T"&amp;TEXT(ROW()-4,"000"))</f>
        <v/>
      </c>
      <c r="B22" s="86"/>
      <c r="C22" s="52"/>
      <c r="D22" s="86"/>
      <c r="E22" s="52"/>
      <c r="F22" s="86"/>
      <c r="G22" s="86"/>
      <c r="H22" s="91"/>
      <c r="I22" s="52"/>
      <c r="J22" s="89"/>
    </row>
    <row r="23" customFormat="false" ht="19.5" hidden="false" customHeight="true" outlineLevel="0" collapsed="false">
      <c r="A23" s="85" t="str">
        <f aca="false">IF(B23="","","T"&amp;TEXT(ROW()-4,"000"))</f>
        <v/>
      </c>
      <c r="B23" s="86"/>
      <c r="C23" s="52"/>
      <c r="D23" s="86"/>
      <c r="E23" s="52"/>
      <c r="F23" s="86"/>
      <c r="G23" s="86"/>
      <c r="H23" s="91"/>
      <c r="I23" s="52"/>
      <c r="J23" s="89"/>
    </row>
    <row r="24" customFormat="false" ht="19.5" hidden="false" customHeight="true" outlineLevel="0" collapsed="false">
      <c r="A24" s="85" t="str">
        <f aca="false">IF(B24="","","T"&amp;TEXT(ROW()-4,"000"))</f>
        <v/>
      </c>
      <c r="B24" s="86"/>
      <c r="C24" s="52"/>
      <c r="D24" s="86"/>
      <c r="E24" s="52"/>
      <c r="F24" s="86"/>
      <c r="G24" s="86"/>
      <c r="H24" s="91"/>
      <c r="I24" s="52"/>
      <c r="J24" s="89"/>
    </row>
    <row r="25" customFormat="false" ht="19.5" hidden="false" customHeight="true" outlineLevel="0" collapsed="false">
      <c r="A25" s="85" t="str">
        <f aca="false">IF(B25="","","T"&amp;TEXT(ROW()-4,"000"))</f>
        <v/>
      </c>
      <c r="B25" s="86"/>
      <c r="C25" s="52"/>
      <c r="D25" s="86"/>
      <c r="E25" s="52"/>
      <c r="F25" s="86"/>
      <c r="G25" s="86"/>
      <c r="H25" s="91"/>
      <c r="I25" s="52"/>
      <c r="J25" s="89"/>
    </row>
    <row r="26" customFormat="false" ht="19.5" hidden="false" customHeight="true" outlineLevel="0" collapsed="false">
      <c r="A26" s="85" t="str">
        <f aca="false">IF(B26="","","T"&amp;TEXT(ROW()-4,"000"))</f>
        <v/>
      </c>
      <c r="B26" s="86"/>
      <c r="C26" s="52"/>
      <c r="D26" s="86"/>
      <c r="E26" s="52"/>
      <c r="F26" s="86"/>
      <c r="G26" s="86"/>
      <c r="H26" s="91"/>
      <c r="I26" s="52"/>
      <c r="J26" s="89"/>
    </row>
    <row r="27" customFormat="false" ht="19.5" hidden="false" customHeight="true" outlineLevel="0" collapsed="false">
      <c r="A27" s="85" t="str">
        <f aca="false">IF(B27="","","T"&amp;TEXT(ROW()-4,"000"))</f>
        <v/>
      </c>
      <c r="B27" s="86"/>
      <c r="C27" s="52"/>
      <c r="D27" s="86"/>
      <c r="E27" s="52"/>
      <c r="F27" s="86"/>
      <c r="G27" s="86"/>
      <c r="H27" s="91"/>
      <c r="I27" s="52"/>
      <c r="J27" s="89"/>
    </row>
    <row r="28" customFormat="false" ht="19.5" hidden="false" customHeight="true" outlineLevel="0" collapsed="false">
      <c r="A28" s="85" t="str">
        <f aca="false">IF(B28="","","T"&amp;TEXT(ROW()-4,"000"))</f>
        <v/>
      </c>
      <c r="B28" s="86"/>
      <c r="C28" s="52"/>
      <c r="D28" s="86"/>
      <c r="E28" s="52"/>
      <c r="F28" s="86"/>
      <c r="G28" s="86"/>
      <c r="H28" s="91"/>
      <c r="I28" s="52"/>
      <c r="J28" s="89"/>
    </row>
    <row r="29" customFormat="false" ht="19.5" hidden="false" customHeight="true" outlineLevel="0" collapsed="false">
      <c r="A29" s="85" t="str">
        <f aca="false">IF(B29="","","T"&amp;TEXT(ROW()-4,"000"))</f>
        <v/>
      </c>
      <c r="B29" s="86"/>
      <c r="C29" s="52"/>
      <c r="D29" s="86"/>
      <c r="E29" s="52"/>
      <c r="F29" s="86"/>
      <c r="G29" s="86"/>
      <c r="H29" s="91"/>
      <c r="I29" s="52"/>
      <c r="J29" s="89"/>
    </row>
    <row r="30" customFormat="false" ht="19.5" hidden="false" customHeight="true" outlineLevel="0" collapsed="false">
      <c r="A30" s="85" t="str">
        <f aca="false">IF(B30="","","T"&amp;TEXT(ROW()-4,"000"))</f>
        <v/>
      </c>
      <c r="B30" s="86"/>
      <c r="C30" s="52"/>
      <c r="D30" s="86"/>
      <c r="E30" s="52"/>
      <c r="F30" s="86"/>
      <c r="G30" s="86"/>
      <c r="H30" s="91"/>
      <c r="I30" s="52"/>
      <c r="J30" s="89"/>
    </row>
    <row r="31" customFormat="false" ht="19.5" hidden="false" customHeight="true" outlineLevel="0" collapsed="false">
      <c r="A31" s="85" t="str">
        <f aca="false">IF(B31="","","T"&amp;TEXT(ROW()-4,"000"))</f>
        <v/>
      </c>
      <c r="B31" s="86"/>
      <c r="C31" s="52"/>
      <c r="D31" s="86"/>
      <c r="E31" s="52"/>
      <c r="F31" s="86"/>
      <c r="G31" s="86"/>
      <c r="H31" s="91"/>
      <c r="I31" s="52"/>
      <c r="J31" s="89"/>
    </row>
    <row r="32" customFormat="false" ht="19.5" hidden="false" customHeight="true" outlineLevel="0" collapsed="false">
      <c r="A32" s="85" t="str">
        <f aca="false">IF(B32="","","T"&amp;TEXT(ROW()-4,"000"))</f>
        <v/>
      </c>
      <c r="B32" s="86"/>
      <c r="C32" s="52"/>
      <c r="D32" s="86"/>
      <c r="E32" s="52"/>
      <c r="F32" s="86"/>
      <c r="G32" s="86"/>
      <c r="H32" s="91"/>
      <c r="I32" s="52"/>
      <c r="J32" s="89"/>
    </row>
    <row r="33" customFormat="false" ht="19.5" hidden="false" customHeight="true" outlineLevel="0" collapsed="false">
      <c r="A33" s="85" t="str">
        <f aca="false">IF(B33="","","T"&amp;TEXT(ROW()-4,"000"))</f>
        <v/>
      </c>
      <c r="B33" s="86"/>
      <c r="C33" s="52"/>
      <c r="D33" s="86"/>
      <c r="E33" s="52"/>
      <c r="F33" s="86"/>
      <c r="G33" s="86"/>
      <c r="H33" s="91"/>
      <c r="I33" s="52"/>
      <c r="J33" s="89"/>
    </row>
    <row r="34" customFormat="false" ht="19.5" hidden="false" customHeight="true" outlineLevel="0" collapsed="false">
      <c r="A34" s="85" t="str">
        <f aca="false">IF(B34="","","T"&amp;TEXT(ROW()-4,"000"))</f>
        <v/>
      </c>
      <c r="B34" s="86"/>
      <c r="C34" s="52"/>
      <c r="D34" s="86"/>
      <c r="E34" s="52"/>
      <c r="F34" s="86"/>
      <c r="G34" s="86"/>
      <c r="H34" s="91"/>
      <c r="I34" s="52"/>
      <c r="J34" s="89"/>
    </row>
    <row r="35" customFormat="false" ht="19.5" hidden="false" customHeight="true" outlineLevel="0" collapsed="false">
      <c r="A35" s="85" t="str">
        <f aca="false">IF(B35="","","T"&amp;TEXT(ROW()-4,"000"))</f>
        <v/>
      </c>
      <c r="B35" s="86"/>
      <c r="C35" s="52"/>
      <c r="D35" s="86"/>
      <c r="E35" s="52"/>
      <c r="F35" s="86"/>
      <c r="G35" s="86"/>
      <c r="H35" s="91"/>
      <c r="I35" s="52"/>
      <c r="J35" s="89"/>
    </row>
    <row r="36" customFormat="false" ht="19.5" hidden="false" customHeight="true" outlineLevel="0" collapsed="false">
      <c r="A36" s="85" t="str">
        <f aca="false">IF(B36="","","T"&amp;TEXT(ROW()-4,"000"))</f>
        <v/>
      </c>
      <c r="B36" s="86"/>
      <c r="C36" s="52"/>
      <c r="D36" s="86"/>
      <c r="E36" s="52"/>
      <c r="F36" s="86"/>
      <c r="G36" s="86"/>
      <c r="H36" s="91"/>
      <c r="I36" s="52"/>
      <c r="J36" s="89"/>
    </row>
    <row r="37" customFormat="false" ht="19.5" hidden="false" customHeight="true" outlineLevel="0" collapsed="false">
      <c r="A37" s="85" t="str">
        <f aca="false">IF(B37="","","T"&amp;TEXT(ROW()-4,"000"))</f>
        <v/>
      </c>
      <c r="B37" s="86"/>
      <c r="C37" s="52"/>
      <c r="D37" s="86"/>
      <c r="E37" s="52"/>
      <c r="F37" s="86"/>
      <c r="G37" s="86"/>
      <c r="H37" s="91"/>
      <c r="I37" s="52"/>
      <c r="J37" s="89"/>
    </row>
    <row r="38" customFormat="false" ht="19.5" hidden="false" customHeight="true" outlineLevel="0" collapsed="false">
      <c r="A38" s="85" t="str">
        <f aca="false">IF(B38="","","T"&amp;TEXT(ROW()-4,"000"))</f>
        <v/>
      </c>
      <c r="B38" s="86"/>
      <c r="C38" s="52"/>
      <c r="D38" s="86"/>
      <c r="E38" s="52"/>
      <c r="F38" s="86"/>
      <c r="G38" s="86"/>
      <c r="H38" s="91"/>
      <c r="I38" s="52"/>
      <c r="J38" s="89"/>
    </row>
    <row r="39" customFormat="false" ht="19.5" hidden="false" customHeight="true" outlineLevel="0" collapsed="false">
      <c r="A39" s="85" t="str">
        <f aca="false">IF(B39="","","T"&amp;TEXT(ROW()-4,"000"))</f>
        <v/>
      </c>
      <c r="B39" s="86"/>
      <c r="C39" s="52"/>
      <c r="D39" s="86"/>
      <c r="E39" s="52"/>
      <c r="F39" s="86"/>
      <c r="G39" s="86"/>
      <c r="H39" s="91"/>
      <c r="I39" s="52"/>
      <c r="J39" s="89"/>
    </row>
    <row r="40" customFormat="false" ht="19.5" hidden="false" customHeight="true" outlineLevel="0" collapsed="false">
      <c r="A40" s="85" t="str">
        <f aca="false">IF(B40="","","T"&amp;TEXT(ROW()-4,"000"))</f>
        <v/>
      </c>
      <c r="B40" s="86"/>
      <c r="C40" s="52"/>
      <c r="D40" s="86"/>
      <c r="E40" s="52"/>
      <c r="F40" s="86"/>
      <c r="G40" s="86"/>
      <c r="H40" s="91"/>
      <c r="I40" s="52"/>
      <c r="J40" s="89"/>
    </row>
    <row r="41" customFormat="false" ht="19.5" hidden="false" customHeight="true" outlineLevel="0" collapsed="false">
      <c r="A41" s="85" t="str">
        <f aca="false">IF(B41="","","T"&amp;TEXT(ROW()-4,"000"))</f>
        <v/>
      </c>
      <c r="B41" s="86"/>
      <c r="C41" s="52"/>
      <c r="D41" s="86"/>
      <c r="E41" s="52"/>
      <c r="F41" s="86"/>
      <c r="G41" s="86"/>
      <c r="H41" s="91"/>
      <c r="I41" s="52"/>
      <c r="J41" s="89"/>
    </row>
    <row r="42" customFormat="false" ht="19.5" hidden="false" customHeight="true" outlineLevel="0" collapsed="false">
      <c r="A42" s="85" t="str">
        <f aca="false">IF(B42="","","T"&amp;TEXT(ROW()-4,"000"))</f>
        <v/>
      </c>
      <c r="B42" s="86"/>
      <c r="C42" s="52"/>
      <c r="D42" s="86"/>
      <c r="E42" s="52"/>
      <c r="F42" s="86"/>
      <c r="G42" s="86"/>
      <c r="H42" s="91"/>
      <c r="I42" s="52"/>
      <c r="J42" s="89"/>
    </row>
    <row r="43" customFormat="false" ht="19.5" hidden="false" customHeight="true" outlineLevel="0" collapsed="false">
      <c r="A43" s="85" t="str">
        <f aca="false">IF(B43="","","T"&amp;TEXT(ROW()-4,"000"))</f>
        <v/>
      </c>
      <c r="B43" s="86"/>
      <c r="C43" s="52"/>
      <c r="D43" s="86"/>
      <c r="E43" s="52"/>
      <c r="F43" s="86"/>
      <c r="G43" s="86"/>
      <c r="H43" s="91"/>
      <c r="I43" s="52"/>
      <c r="J43" s="89"/>
    </row>
    <row r="44" customFormat="false" ht="19.5" hidden="false" customHeight="true" outlineLevel="0" collapsed="false">
      <c r="A44" s="85" t="str">
        <f aca="false">IF(B44="","","T"&amp;TEXT(ROW()-4,"000"))</f>
        <v/>
      </c>
      <c r="B44" s="86"/>
      <c r="C44" s="52"/>
      <c r="D44" s="86"/>
      <c r="E44" s="52"/>
      <c r="F44" s="86"/>
      <c r="G44" s="86"/>
      <c r="H44" s="91"/>
      <c r="I44" s="52"/>
      <c r="J44" s="89"/>
    </row>
    <row r="45" customFormat="false" ht="19.5" hidden="false" customHeight="true" outlineLevel="0" collapsed="false">
      <c r="A45" s="85" t="str">
        <f aca="false">IF(B45="","","T"&amp;TEXT(ROW()-4,"000"))</f>
        <v/>
      </c>
      <c r="B45" s="86"/>
      <c r="C45" s="52"/>
      <c r="D45" s="86"/>
      <c r="E45" s="52"/>
      <c r="F45" s="86"/>
      <c r="G45" s="86"/>
      <c r="H45" s="91"/>
      <c r="I45" s="52"/>
      <c r="J45" s="89"/>
    </row>
    <row r="46" customFormat="false" ht="19.5" hidden="false" customHeight="true" outlineLevel="0" collapsed="false">
      <c r="A46" s="85" t="str">
        <f aca="false">IF(B46="","","T"&amp;TEXT(ROW()-4,"000"))</f>
        <v/>
      </c>
      <c r="B46" s="86"/>
      <c r="C46" s="52"/>
      <c r="D46" s="86"/>
      <c r="E46" s="52"/>
      <c r="F46" s="86"/>
      <c r="G46" s="86"/>
      <c r="H46" s="91"/>
      <c r="I46" s="52"/>
      <c r="J46" s="89"/>
    </row>
    <row r="47" customFormat="false" ht="19.5" hidden="false" customHeight="true" outlineLevel="0" collapsed="false">
      <c r="A47" s="85" t="str">
        <f aca="false">IF(B47="","","T"&amp;TEXT(ROW()-4,"000"))</f>
        <v/>
      </c>
      <c r="B47" s="86"/>
      <c r="C47" s="52"/>
      <c r="D47" s="86"/>
      <c r="E47" s="52"/>
      <c r="F47" s="86"/>
      <c r="G47" s="86"/>
      <c r="H47" s="91"/>
      <c r="I47" s="52"/>
      <c r="J47" s="89"/>
    </row>
    <row r="48" customFormat="false" ht="19.5" hidden="false" customHeight="true" outlineLevel="0" collapsed="false">
      <c r="A48" s="85" t="str">
        <f aca="false">IF(B48="","","T"&amp;TEXT(ROW()-4,"000"))</f>
        <v/>
      </c>
      <c r="B48" s="86"/>
      <c r="C48" s="52"/>
      <c r="D48" s="86"/>
      <c r="E48" s="52"/>
      <c r="F48" s="86"/>
      <c r="G48" s="86"/>
      <c r="H48" s="91"/>
      <c r="I48" s="52"/>
      <c r="J48" s="89"/>
    </row>
    <row r="49" customFormat="false" ht="19.5" hidden="false" customHeight="true" outlineLevel="0" collapsed="false">
      <c r="A49" s="85" t="str">
        <f aca="false">IF(B49="","","T"&amp;TEXT(ROW()-4,"000"))</f>
        <v/>
      </c>
      <c r="B49" s="86"/>
      <c r="C49" s="52"/>
      <c r="D49" s="86"/>
      <c r="E49" s="52"/>
      <c r="F49" s="86"/>
      <c r="G49" s="86"/>
      <c r="H49" s="91"/>
      <c r="I49" s="52"/>
      <c r="J49" s="89"/>
    </row>
    <row r="50" customFormat="false" ht="19.5" hidden="false" customHeight="true" outlineLevel="0" collapsed="false">
      <c r="A50" s="85" t="str">
        <f aca="false">IF(B50="","","T"&amp;TEXT(ROW()-4,"000"))</f>
        <v/>
      </c>
      <c r="B50" s="86"/>
      <c r="C50" s="52"/>
      <c r="D50" s="86"/>
      <c r="E50" s="52"/>
      <c r="F50" s="86"/>
      <c r="G50" s="86"/>
      <c r="H50" s="91"/>
      <c r="I50" s="52"/>
      <c r="J50" s="89"/>
    </row>
    <row r="51" customFormat="false" ht="19.5" hidden="false" customHeight="true" outlineLevel="0" collapsed="false">
      <c r="A51" s="85" t="str">
        <f aca="false">IF(B51="","","T"&amp;TEXT(ROW()-4,"000"))</f>
        <v/>
      </c>
      <c r="B51" s="86"/>
      <c r="C51" s="52"/>
      <c r="D51" s="86"/>
      <c r="E51" s="52"/>
      <c r="F51" s="86"/>
      <c r="G51" s="86"/>
      <c r="H51" s="91"/>
      <c r="I51" s="52"/>
      <c r="J51" s="89"/>
    </row>
    <row r="52" customFormat="false" ht="19.5" hidden="false" customHeight="true" outlineLevel="0" collapsed="false">
      <c r="A52" s="85" t="str">
        <f aca="false">IF(B52="","","T"&amp;TEXT(ROW()-4,"000"))</f>
        <v/>
      </c>
      <c r="B52" s="86"/>
      <c r="C52" s="52"/>
      <c r="D52" s="86"/>
      <c r="E52" s="52"/>
      <c r="F52" s="86"/>
      <c r="G52" s="86"/>
      <c r="H52" s="91"/>
      <c r="I52" s="52"/>
      <c r="J52" s="89"/>
    </row>
    <row r="53" customFormat="false" ht="19.5" hidden="false" customHeight="true" outlineLevel="0" collapsed="false">
      <c r="A53" s="85" t="str">
        <f aca="false">IF(B53="","","T"&amp;TEXT(ROW()-4,"000"))</f>
        <v/>
      </c>
      <c r="B53" s="86"/>
      <c r="C53" s="52"/>
      <c r="D53" s="86"/>
      <c r="E53" s="52"/>
      <c r="F53" s="86"/>
      <c r="G53" s="86"/>
      <c r="H53" s="91"/>
      <c r="I53" s="52"/>
      <c r="J53" s="89"/>
    </row>
    <row r="54" customFormat="false" ht="19.5" hidden="false" customHeight="true" outlineLevel="0" collapsed="false">
      <c r="A54" s="85" t="str">
        <f aca="false">IF(B54="","","T"&amp;TEXT(ROW()-4,"000"))</f>
        <v/>
      </c>
      <c r="B54" s="86"/>
      <c r="C54" s="52"/>
      <c r="D54" s="86"/>
      <c r="E54" s="52"/>
      <c r="F54" s="86"/>
      <c r="G54" s="86"/>
      <c r="H54" s="91"/>
      <c r="I54" s="52"/>
      <c r="J54" s="89"/>
    </row>
    <row r="55" customFormat="false" ht="19.5" hidden="false" customHeight="true" outlineLevel="0" collapsed="false">
      <c r="A55" s="85" t="str">
        <f aca="false">IF(B55="","","T"&amp;TEXT(ROW()-4,"000"))</f>
        <v/>
      </c>
      <c r="B55" s="86"/>
      <c r="C55" s="52"/>
      <c r="D55" s="86"/>
      <c r="E55" s="52"/>
      <c r="F55" s="86"/>
      <c r="G55" s="86"/>
      <c r="H55" s="91"/>
      <c r="I55" s="52"/>
      <c r="J55" s="89"/>
    </row>
    <row r="56" customFormat="false" ht="19.5" hidden="false" customHeight="true" outlineLevel="0" collapsed="false">
      <c r="A56" s="85" t="str">
        <f aca="false">IF(B56="","","T"&amp;TEXT(ROW()-4,"000"))</f>
        <v/>
      </c>
      <c r="B56" s="86"/>
      <c r="C56" s="52"/>
      <c r="D56" s="86"/>
      <c r="E56" s="52"/>
      <c r="F56" s="86"/>
      <c r="G56" s="86"/>
      <c r="H56" s="91"/>
      <c r="I56" s="52"/>
      <c r="J56" s="89"/>
    </row>
    <row r="57" customFormat="false" ht="19.5" hidden="false" customHeight="true" outlineLevel="0" collapsed="false">
      <c r="A57" s="85" t="str">
        <f aca="false">IF(B57="","","T"&amp;TEXT(ROW()-4,"000"))</f>
        <v/>
      </c>
      <c r="B57" s="86"/>
      <c r="C57" s="52"/>
      <c r="D57" s="86"/>
      <c r="E57" s="52"/>
      <c r="F57" s="86"/>
      <c r="G57" s="86"/>
      <c r="H57" s="91"/>
      <c r="I57" s="52"/>
      <c r="J57" s="89"/>
    </row>
    <row r="58" customFormat="false" ht="19.5" hidden="false" customHeight="true" outlineLevel="0" collapsed="false">
      <c r="A58" s="85" t="str">
        <f aca="false">IF(B58="","","T"&amp;TEXT(ROW()-4,"000"))</f>
        <v/>
      </c>
      <c r="B58" s="86"/>
      <c r="C58" s="52"/>
      <c r="D58" s="86"/>
      <c r="E58" s="52"/>
      <c r="F58" s="86"/>
      <c r="G58" s="86"/>
      <c r="H58" s="91"/>
      <c r="I58" s="52"/>
      <c r="J58" s="89"/>
    </row>
    <row r="59" customFormat="false" ht="19.5" hidden="false" customHeight="true" outlineLevel="0" collapsed="false">
      <c r="A59" s="85" t="str">
        <f aca="false">IF(B59="","","T"&amp;TEXT(ROW()-4,"000"))</f>
        <v/>
      </c>
      <c r="B59" s="86"/>
      <c r="C59" s="52"/>
      <c r="D59" s="86"/>
      <c r="E59" s="52"/>
      <c r="F59" s="86"/>
      <c r="G59" s="86"/>
      <c r="H59" s="91"/>
      <c r="I59" s="52"/>
      <c r="J59" s="89"/>
    </row>
    <row r="60" customFormat="false" ht="19.5" hidden="false" customHeight="true" outlineLevel="0" collapsed="false">
      <c r="A60" s="85" t="str">
        <f aca="false">IF(B60="","","T"&amp;TEXT(ROW()-4,"000"))</f>
        <v/>
      </c>
      <c r="B60" s="86"/>
      <c r="C60" s="52"/>
      <c r="D60" s="86"/>
      <c r="E60" s="52"/>
      <c r="F60" s="86"/>
      <c r="G60" s="86"/>
      <c r="H60" s="91"/>
      <c r="I60" s="52"/>
      <c r="J60" s="89"/>
    </row>
    <row r="61" customFormat="false" ht="19.5" hidden="false" customHeight="true" outlineLevel="0" collapsed="false">
      <c r="A61" s="85" t="str">
        <f aca="false">IF(B61="","","T"&amp;TEXT(ROW()-4,"000"))</f>
        <v/>
      </c>
      <c r="B61" s="86"/>
      <c r="C61" s="52"/>
      <c r="D61" s="86"/>
      <c r="E61" s="52"/>
      <c r="F61" s="86"/>
      <c r="G61" s="86"/>
      <c r="H61" s="91"/>
      <c r="I61" s="52"/>
      <c r="J61" s="89"/>
    </row>
    <row r="62" customFormat="false" ht="19.5" hidden="false" customHeight="true" outlineLevel="0" collapsed="false">
      <c r="A62" s="85" t="str">
        <f aca="false">IF(B62="","","T"&amp;TEXT(ROW()-4,"000"))</f>
        <v/>
      </c>
      <c r="B62" s="86"/>
      <c r="C62" s="52"/>
      <c r="D62" s="86"/>
      <c r="E62" s="52"/>
      <c r="F62" s="86"/>
      <c r="G62" s="86"/>
      <c r="H62" s="91"/>
      <c r="I62" s="52"/>
      <c r="J62" s="89"/>
    </row>
    <row r="63" customFormat="false" ht="19.5" hidden="false" customHeight="true" outlineLevel="0" collapsed="false">
      <c r="A63" s="85" t="str">
        <f aca="false">IF(B63="","","T"&amp;TEXT(ROW()-4,"000"))</f>
        <v/>
      </c>
      <c r="B63" s="86"/>
      <c r="C63" s="52"/>
      <c r="D63" s="86"/>
      <c r="E63" s="52"/>
      <c r="F63" s="86"/>
      <c r="G63" s="86"/>
      <c r="H63" s="91"/>
      <c r="I63" s="52"/>
      <c r="J63" s="89"/>
    </row>
    <row r="64" customFormat="false" ht="19.5" hidden="false" customHeight="true" outlineLevel="0" collapsed="false">
      <c r="A64" s="85" t="str">
        <f aca="false">IF(B64="","","T"&amp;TEXT(ROW()-4,"000"))</f>
        <v/>
      </c>
      <c r="B64" s="86"/>
      <c r="C64" s="52"/>
      <c r="D64" s="86"/>
      <c r="E64" s="52"/>
      <c r="F64" s="86"/>
      <c r="G64" s="86"/>
      <c r="H64" s="91"/>
      <c r="I64" s="52"/>
      <c r="J64" s="89"/>
    </row>
    <row r="65" customFormat="false" ht="19.5" hidden="false" customHeight="true" outlineLevel="0" collapsed="false">
      <c r="A65" s="85" t="str">
        <f aca="false">IF(B65="","","T"&amp;TEXT(ROW()-4,"000"))</f>
        <v/>
      </c>
      <c r="B65" s="86"/>
      <c r="C65" s="52"/>
      <c r="D65" s="86"/>
      <c r="E65" s="52"/>
      <c r="F65" s="86"/>
      <c r="G65" s="86"/>
      <c r="H65" s="91"/>
      <c r="I65" s="52"/>
      <c r="J65" s="89"/>
    </row>
    <row r="66" customFormat="false" ht="19.5" hidden="false" customHeight="true" outlineLevel="0" collapsed="false">
      <c r="A66" s="85" t="str">
        <f aca="false">IF(B66="","","T"&amp;TEXT(ROW()-4,"000"))</f>
        <v/>
      </c>
      <c r="B66" s="86"/>
      <c r="C66" s="52"/>
      <c r="D66" s="86"/>
      <c r="E66" s="52"/>
      <c r="F66" s="86"/>
      <c r="G66" s="86"/>
      <c r="H66" s="91"/>
      <c r="I66" s="52"/>
      <c r="J66" s="89"/>
    </row>
    <row r="67" customFormat="false" ht="19.5" hidden="false" customHeight="true" outlineLevel="0" collapsed="false">
      <c r="A67" s="85" t="str">
        <f aca="false">IF(B67="","","T"&amp;TEXT(ROW()-4,"000"))</f>
        <v/>
      </c>
      <c r="B67" s="86"/>
      <c r="C67" s="52"/>
      <c r="D67" s="86"/>
      <c r="E67" s="52"/>
      <c r="F67" s="86"/>
      <c r="G67" s="86"/>
      <c r="H67" s="91"/>
      <c r="I67" s="52"/>
      <c r="J67" s="89"/>
    </row>
    <row r="68" customFormat="false" ht="19.5" hidden="false" customHeight="true" outlineLevel="0" collapsed="false">
      <c r="A68" s="85" t="str">
        <f aca="false">IF(B68="","","T"&amp;TEXT(ROW()-4,"000"))</f>
        <v/>
      </c>
      <c r="B68" s="86"/>
      <c r="C68" s="52"/>
      <c r="D68" s="86"/>
      <c r="E68" s="52"/>
      <c r="F68" s="86"/>
      <c r="G68" s="86"/>
      <c r="H68" s="91"/>
      <c r="I68" s="52"/>
      <c r="J68" s="89"/>
    </row>
    <row r="69" customFormat="false" ht="19.5" hidden="false" customHeight="true" outlineLevel="0" collapsed="false">
      <c r="A69" s="85" t="str">
        <f aca="false">IF(B69="","","T"&amp;TEXT(ROW()-4,"000"))</f>
        <v/>
      </c>
      <c r="B69" s="86"/>
      <c r="C69" s="52"/>
      <c r="D69" s="86"/>
      <c r="E69" s="52"/>
      <c r="F69" s="86"/>
      <c r="G69" s="86"/>
      <c r="H69" s="91"/>
      <c r="I69" s="52"/>
      <c r="J69" s="89"/>
    </row>
    <row r="70" customFormat="false" ht="19.5" hidden="false" customHeight="true" outlineLevel="0" collapsed="false">
      <c r="A70" s="85" t="str">
        <f aca="false">IF(B70="","","T"&amp;TEXT(ROW()-4,"000"))</f>
        <v/>
      </c>
      <c r="B70" s="86"/>
      <c r="C70" s="52"/>
      <c r="D70" s="86"/>
      <c r="E70" s="52"/>
      <c r="F70" s="86"/>
      <c r="G70" s="86"/>
      <c r="H70" s="91"/>
      <c r="I70" s="52"/>
      <c r="J70" s="89"/>
    </row>
    <row r="71" customFormat="false" ht="19.5" hidden="false" customHeight="true" outlineLevel="0" collapsed="false">
      <c r="A71" s="85" t="str">
        <f aca="false">IF(B71="","","T"&amp;TEXT(ROW()-4,"000"))</f>
        <v/>
      </c>
      <c r="B71" s="86"/>
      <c r="C71" s="52"/>
      <c r="D71" s="86"/>
      <c r="E71" s="52"/>
      <c r="F71" s="86"/>
      <c r="G71" s="86"/>
      <c r="H71" s="91"/>
      <c r="I71" s="52"/>
      <c r="J71" s="89"/>
    </row>
    <row r="72" customFormat="false" ht="19.5" hidden="false" customHeight="true" outlineLevel="0" collapsed="false">
      <c r="A72" s="85" t="str">
        <f aca="false">IF(B72="","","T"&amp;TEXT(ROW()-4,"000"))</f>
        <v/>
      </c>
      <c r="B72" s="86"/>
      <c r="C72" s="52"/>
      <c r="D72" s="86"/>
      <c r="E72" s="52"/>
      <c r="F72" s="86"/>
      <c r="G72" s="86"/>
      <c r="H72" s="91"/>
      <c r="I72" s="52"/>
      <c r="J72" s="89"/>
    </row>
    <row r="73" customFormat="false" ht="19.5" hidden="false" customHeight="true" outlineLevel="0" collapsed="false">
      <c r="A73" s="85" t="str">
        <f aca="false">IF(B73="","","T"&amp;TEXT(ROW()-4,"000"))</f>
        <v/>
      </c>
      <c r="B73" s="86"/>
      <c r="C73" s="52"/>
      <c r="D73" s="86"/>
      <c r="E73" s="52"/>
      <c r="F73" s="86"/>
      <c r="G73" s="86"/>
      <c r="H73" s="91"/>
      <c r="I73" s="52"/>
      <c r="J73" s="89"/>
    </row>
    <row r="74" customFormat="false" ht="19.5" hidden="false" customHeight="true" outlineLevel="0" collapsed="false">
      <c r="A74" s="85" t="str">
        <f aca="false">IF(B74="","","T"&amp;TEXT(ROW()-4,"000"))</f>
        <v/>
      </c>
      <c r="B74" s="86"/>
      <c r="C74" s="52"/>
      <c r="D74" s="86"/>
      <c r="E74" s="52"/>
      <c r="F74" s="86"/>
      <c r="G74" s="86"/>
      <c r="H74" s="91"/>
      <c r="I74" s="52"/>
      <c r="J74" s="89"/>
    </row>
    <row r="75" customFormat="false" ht="19.5" hidden="false" customHeight="true" outlineLevel="0" collapsed="false">
      <c r="A75" s="85" t="str">
        <f aca="false">IF(B75="","","T"&amp;TEXT(ROW()-4,"000"))</f>
        <v/>
      </c>
      <c r="B75" s="86"/>
      <c r="C75" s="52"/>
      <c r="D75" s="86"/>
      <c r="E75" s="52"/>
      <c r="F75" s="86"/>
      <c r="G75" s="86"/>
      <c r="H75" s="91"/>
      <c r="I75" s="52"/>
      <c r="J75" s="89"/>
    </row>
    <row r="76" customFormat="false" ht="19.5" hidden="false" customHeight="true" outlineLevel="0" collapsed="false">
      <c r="A76" s="85" t="str">
        <f aca="false">IF(B76="","","T"&amp;TEXT(ROW()-4,"000"))</f>
        <v/>
      </c>
      <c r="B76" s="86"/>
      <c r="C76" s="52"/>
      <c r="D76" s="86"/>
      <c r="E76" s="52"/>
      <c r="F76" s="86"/>
      <c r="G76" s="86"/>
      <c r="H76" s="91"/>
      <c r="I76" s="52"/>
      <c r="J76" s="89"/>
    </row>
    <row r="77" customFormat="false" ht="19.5" hidden="false" customHeight="true" outlineLevel="0" collapsed="false">
      <c r="A77" s="85" t="str">
        <f aca="false">IF(B77="","","T"&amp;TEXT(ROW()-4,"000"))</f>
        <v/>
      </c>
      <c r="B77" s="86"/>
      <c r="C77" s="52"/>
      <c r="D77" s="86"/>
      <c r="E77" s="52"/>
      <c r="F77" s="86"/>
      <c r="G77" s="86"/>
      <c r="H77" s="91"/>
      <c r="I77" s="52"/>
      <c r="J77" s="89"/>
    </row>
    <row r="78" customFormat="false" ht="19.5" hidden="false" customHeight="true" outlineLevel="0" collapsed="false">
      <c r="A78" s="85" t="str">
        <f aca="false">IF(B78="","","T"&amp;TEXT(ROW()-4,"000"))</f>
        <v/>
      </c>
      <c r="B78" s="86"/>
      <c r="C78" s="52"/>
      <c r="D78" s="86"/>
      <c r="E78" s="52"/>
      <c r="F78" s="86"/>
      <c r="G78" s="86"/>
      <c r="H78" s="91"/>
      <c r="I78" s="52"/>
      <c r="J78" s="89"/>
    </row>
    <row r="79" customFormat="false" ht="19.5" hidden="false" customHeight="true" outlineLevel="0" collapsed="false">
      <c r="A79" s="85" t="str">
        <f aca="false">IF(B79="","","T"&amp;TEXT(ROW()-4,"000"))</f>
        <v/>
      </c>
      <c r="B79" s="86"/>
      <c r="C79" s="52"/>
      <c r="D79" s="86"/>
      <c r="E79" s="52"/>
      <c r="F79" s="86"/>
      <c r="G79" s="86"/>
      <c r="H79" s="91"/>
      <c r="I79" s="52"/>
      <c r="J79" s="89"/>
    </row>
    <row r="80" customFormat="false" ht="19.5" hidden="false" customHeight="true" outlineLevel="0" collapsed="false">
      <c r="A80" s="85" t="str">
        <f aca="false">IF(B80="","","T"&amp;TEXT(ROW()-4,"000"))</f>
        <v/>
      </c>
      <c r="B80" s="86"/>
      <c r="C80" s="52"/>
      <c r="D80" s="86"/>
      <c r="E80" s="52"/>
      <c r="F80" s="86"/>
      <c r="G80" s="86"/>
      <c r="H80" s="91"/>
      <c r="I80" s="52"/>
      <c r="J80" s="89"/>
    </row>
    <row r="81" customFormat="false" ht="19.5" hidden="false" customHeight="true" outlineLevel="0" collapsed="false">
      <c r="A81" s="85" t="str">
        <f aca="false">IF(B81="","","T"&amp;TEXT(ROW()-4,"000"))</f>
        <v/>
      </c>
      <c r="B81" s="86"/>
      <c r="C81" s="52"/>
      <c r="D81" s="86"/>
      <c r="E81" s="52"/>
      <c r="F81" s="86"/>
      <c r="G81" s="86"/>
      <c r="H81" s="91"/>
      <c r="I81" s="52"/>
      <c r="J81" s="89"/>
    </row>
    <row r="82" customFormat="false" ht="19.5" hidden="false" customHeight="true" outlineLevel="0" collapsed="false">
      <c r="A82" s="85" t="str">
        <f aca="false">IF(B82="","","T"&amp;TEXT(ROW()-4,"000"))</f>
        <v/>
      </c>
      <c r="B82" s="86"/>
      <c r="C82" s="52"/>
      <c r="D82" s="86"/>
      <c r="E82" s="52"/>
      <c r="F82" s="86"/>
      <c r="G82" s="86"/>
      <c r="H82" s="91"/>
      <c r="I82" s="52"/>
      <c r="J82" s="89"/>
    </row>
    <row r="83" customFormat="false" ht="19.5" hidden="false" customHeight="true" outlineLevel="0" collapsed="false">
      <c r="A83" s="85" t="str">
        <f aca="false">IF(B83="","","T"&amp;TEXT(ROW()-4,"000"))</f>
        <v/>
      </c>
      <c r="B83" s="86"/>
      <c r="C83" s="52"/>
      <c r="D83" s="86"/>
      <c r="E83" s="52"/>
      <c r="F83" s="86"/>
      <c r="G83" s="86"/>
      <c r="H83" s="91"/>
      <c r="I83" s="52"/>
      <c r="J83" s="89"/>
    </row>
    <row r="84" customFormat="false" ht="19.5" hidden="false" customHeight="true" outlineLevel="0" collapsed="false">
      <c r="A84" s="85" t="str">
        <f aca="false">IF(B84="","","T"&amp;TEXT(ROW()-4,"000"))</f>
        <v/>
      </c>
      <c r="B84" s="86"/>
      <c r="C84" s="52"/>
      <c r="D84" s="86"/>
      <c r="E84" s="52"/>
      <c r="F84" s="86"/>
      <c r="G84" s="86"/>
      <c r="H84" s="91"/>
      <c r="I84" s="52"/>
      <c r="J84" s="89"/>
    </row>
    <row r="85" customFormat="false" ht="19.5" hidden="false" customHeight="true" outlineLevel="0" collapsed="false">
      <c r="A85" s="85" t="str">
        <f aca="false">IF(B85="","","T"&amp;TEXT(ROW()-4,"000"))</f>
        <v/>
      </c>
      <c r="B85" s="86"/>
      <c r="C85" s="52"/>
      <c r="D85" s="86"/>
      <c r="E85" s="52"/>
      <c r="F85" s="86"/>
      <c r="G85" s="86"/>
      <c r="H85" s="91"/>
      <c r="I85" s="52"/>
      <c r="J85" s="89"/>
    </row>
    <row r="86" customFormat="false" ht="19.5" hidden="false" customHeight="true" outlineLevel="0" collapsed="false">
      <c r="A86" s="85" t="str">
        <f aca="false">IF(B86="","","T"&amp;TEXT(ROW()-4,"000"))</f>
        <v/>
      </c>
      <c r="B86" s="86"/>
      <c r="C86" s="52"/>
      <c r="D86" s="86"/>
      <c r="E86" s="52"/>
      <c r="F86" s="86"/>
      <c r="G86" s="86"/>
      <c r="H86" s="91"/>
      <c r="I86" s="52"/>
      <c r="J86" s="89"/>
    </row>
    <row r="87" customFormat="false" ht="19.5" hidden="false" customHeight="true" outlineLevel="0" collapsed="false">
      <c r="A87" s="85" t="str">
        <f aca="false">IF(B87="","","T"&amp;TEXT(ROW()-4,"000"))</f>
        <v/>
      </c>
      <c r="B87" s="86"/>
      <c r="C87" s="52"/>
      <c r="D87" s="86"/>
      <c r="E87" s="52"/>
      <c r="F87" s="86"/>
      <c r="G87" s="86"/>
      <c r="H87" s="91"/>
      <c r="I87" s="52"/>
      <c r="J87" s="89"/>
    </row>
    <row r="88" customFormat="false" ht="19.5" hidden="false" customHeight="true" outlineLevel="0" collapsed="false">
      <c r="A88" s="85" t="str">
        <f aca="false">IF(B88="","","T"&amp;TEXT(ROW()-4,"000"))</f>
        <v/>
      </c>
      <c r="B88" s="86"/>
      <c r="C88" s="52"/>
      <c r="D88" s="86"/>
      <c r="E88" s="52"/>
      <c r="F88" s="86"/>
      <c r="G88" s="86"/>
      <c r="H88" s="91"/>
      <c r="I88" s="52"/>
      <c r="J88" s="89"/>
    </row>
    <row r="89" customFormat="false" ht="19.5" hidden="false" customHeight="true" outlineLevel="0" collapsed="false">
      <c r="A89" s="85" t="str">
        <f aca="false">IF(B89="","","T"&amp;TEXT(ROW()-4,"000"))</f>
        <v/>
      </c>
      <c r="B89" s="86"/>
      <c r="C89" s="52"/>
      <c r="D89" s="86"/>
      <c r="E89" s="52"/>
      <c r="F89" s="86"/>
      <c r="G89" s="86"/>
      <c r="H89" s="91"/>
      <c r="I89" s="52"/>
      <c r="J89" s="89"/>
    </row>
    <row r="90" customFormat="false" ht="19.5" hidden="false" customHeight="true" outlineLevel="0" collapsed="false">
      <c r="A90" s="85" t="str">
        <f aca="false">IF(B90="","","T"&amp;TEXT(ROW()-4,"000"))</f>
        <v/>
      </c>
      <c r="B90" s="86"/>
      <c r="C90" s="52"/>
      <c r="D90" s="86"/>
      <c r="E90" s="52"/>
      <c r="F90" s="86"/>
      <c r="G90" s="86"/>
      <c r="H90" s="91"/>
      <c r="I90" s="52"/>
      <c r="J90" s="89"/>
    </row>
    <row r="91" customFormat="false" ht="19.5" hidden="false" customHeight="true" outlineLevel="0" collapsed="false">
      <c r="A91" s="85" t="str">
        <f aca="false">IF(B91="","","T"&amp;TEXT(ROW()-4,"000"))</f>
        <v/>
      </c>
      <c r="B91" s="86"/>
      <c r="C91" s="52"/>
      <c r="D91" s="86"/>
      <c r="E91" s="52"/>
      <c r="F91" s="86"/>
      <c r="G91" s="86"/>
      <c r="H91" s="91"/>
      <c r="I91" s="52"/>
      <c r="J91" s="89"/>
    </row>
    <row r="92" customFormat="false" ht="19.5" hidden="false" customHeight="true" outlineLevel="0" collapsed="false">
      <c r="A92" s="85" t="str">
        <f aca="false">IF(B92="","","T"&amp;TEXT(ROW()-4,"000"))</f>
        <v/>
      </c>
      <c r="B92" s="86"/>
      <c r="C92" s="52"/>
      <c r="D92" s="86"/>
      <c r="E92" s="52"/>
      <c r="F92" s="86"/>
      <c r="G92" s="86"/>
      <c r="H92" s="91"/>
      <c r="I92" s="52"/>
      <c r="J92" s="89"/>
    </row>
    <row r="93" customFormat="false" ht="19.5" hidden="false" customHeight="true" outlineLevel="0" collapsed="false">
      <c r="A93" s="85" t="str">
        <f aca="false">IF(B93="","","T"&amp;TEXT(ROW()-4,"000"))</f>
        <v/>
      </c>
      <c r="B93" s="86"/>
      <c r="C93" s="52"/>
      <c r="D93" s="86"/>
      <c r="E93" s="52"/>
      <c r="F93" s="86"/>
      <c r="G93" s="86"/>
      <c r="H93" s="91"/>
      <c r="I93" s="52"/>
      <c r="J93" s="89"/>
    </row>
    <row r="94" customFormat="false" ht="19.5" hidden="false" customHeight="true" outlineLevel="0" collapsed="false">
      <c r="A94" s="85" t="str">
        <f aca="false">IF(B94="","","T"&amp;TEXT(ROW()-4,"000"))</f>
        <v/>
      </c>
      <c r="B94" s="86"/>
      <c r="C94" s="52"/>
      <c r="D94" s="86"/>
      <c r="E94" s="52"/>
      <c r="F94" s="86"/>
      <c r="G94" s="86"/>
      <c r="H94" s="91"/>
      <c r="I94" s="52"/>
      <c r="J94" s="89"/>
    </row>
    <row r="95" customFormat="false" ht="19.5" hidden="false" customHeight="true" outlineLevel="0" collapsed="false">
      <c r="A95" s="85" t="str">
        <f aca="false">IF(B95="","","T"&amp;TEXT(ROW()-4,"000"))</f>
        <v/>
      </c>
      <c r="B95" s="86"/>
      <c r="C95" s="52"/>
      <c r="D95" s="86"/>
      <c r="E95" s="52"/>
      <c r="F95" s="86"/>
      <c r="G95" s="86"/>
      <c r="H95" s="91"/>
      <c r="I95" s="52"/>
      <c r="J95" s="89"/>
    </row>
    <row r="96" customFormat="false" ht="19.5" hidden="false" customHeight="true" outlineLevel="0" collapsed="false">
      <c r="A96" s="85" t="str">
        <f aca="false">IF(B96="","","T"&amp;TEXT(ROW()-4,"000"))</f>
        <v/>
      </c>
      <c r="B96" s="86"/>
      <c r="C96" s="52"/>
      <c r="D96" s="86"/>
      <c r="E96" s="52"/>
      <c r="F96" s="86"/>
      <c r="G96" s="86"/>
      <c r="H96" s="91"/>
      <c r="I96" s="52"/>
      <c r="J96" s="89"/>
    </row>
    <row r="97" customFormat="false" ht="19.5" hidden="false" customHeight="true" outlineLevel="0" collapsed="false">
      <c r="A97" s="85" t="str">
        <f aca="false">IF(B97="","","T"&amp;TEXT(ROW()-4,"000"))</f>
        <v/>
      </c>
      <c r="B97" s="86"/>
      <c r="C97" s="52"/>
      <c r="D97" s="86"/>
      <c r="E97" s="52"/>
      <c r="F97" s="86"/>
      <c r="G97" s="86"/>
      <c r="H97" s="91"/>
      <c r="I97" s="52"/>
      <c r="J97" s="89"/>
    </row>
    <row r="98" customFormat="false" ht="19.5" hidden="false" customHeight="true" outlineLevel="0" collapsed="false">
      <c r="A98" s="85" t="str">
        <f aca="false">IF(B98="","","T"&amp;TEXT(ROW()-4,"000"))</f>
        <v/>
      </c>
      <c r="B98" s="86"/>
      <c r="C98" s="52"/>
      <c r="D98" s="86"/>
      <c r="E98" s="52"/>
      <c r="F98" s="86"/>
      <c r="G98" s="86"/>
      <c r="H98" s="91"/>
      <c r="I98" s="52"/>
      <c r="J98" s="89"/>
    </row>
    <row r="99" customFormat="false" ht="19.5" hidden="false" customHeight="true" outlineLevel="0" collapsed="false">
      <c r="A99" s="85" t="str">
        <f aca="false">IF(B99="","","T"&amp;TEXT(ROW()-4,"000"))</f>
        <v/>
      </c>
      <c r="B99" s="86"/>
      <c r="C99" s="52"/>
      <c r="D99" s="86"/>
      <c r="E99" s="52"/>
      <c r="F99" s="86"/>
      <c r="G99" s="86"/>
      <c r="H99" s="91"/>
      <c r="I99" s="52"/>
      <c r="J99" s="89"/>
    </row>
    <row r="100" customFormat="false" ht="19.5" hidden="false" customHeight="true" outlineLevel="0" collapsed="false">
      <c r="A100" s="85" t="str">
        <f aca="false">IF(B100="","","T"&amp;TEXT(ROW()-4,"000"))</f>
        <v/>
      </c>
      <c r="B100" s="86"/>
      <c r="C100" s="52"/>
      <c r="D100" s="86"/>
      <c r="E100" s="52"/>
      <c r="F100" s="86"/>
      <c r="G100" s="86"/>
      <c r="H100" s="91"/>
      <c r="I100" s="52"/>
      <c r="J100" s="89"/>
    </row>
    <row r="101" customFormat="false" ht="19.5" hidden="false" customHeight="true" outlineLevel="0" collapsed="false">
      <c r="A101" s="85" t="str">
        <f aca="false">IF(B101="","","T"&amp;TEXT(ROW()-4,"000"))</f>
        <v/>
      </c>
      <c r="B101" s="86"/>
      <c r="C101" s="52"/>
      <c r="D101" s="86"/>
      <c r="E101" s="52"/>
      <c r="F101" s="86"/>
      <c r="G101" s="86"/>
      <c r="H101" s="91"/>
      <c r="I101" s="52"/>
      <c r="J101" s="89"/>
    </row>
    <row r="102" customFormat="false" ht="19.5" hidden="false" customHeight="true" outlineLevel="0" collapsed="false">
      <c r="A102" s="85" t="str">
        <f aca="false">IF(B102="","","T"&amp;TEXT(ROW()-4,"000"))</f>
        <v/>
      </c>
      <c r="B102" s="86"/>
      <c r="C102" s="52"/>
      <c r="D102" s="86"/>
      <c r="E102" s="52"/>
      <c r="F102" s="86"/>
      <c r="G102" s="86"/>
      <c r="H102" s="91"/>
      <c r="I102" s="52"/>
      <c r="J102" s="89"/>
    </row>
    <row r="103" customFormat="false" ht="19.5" hidden="false" customHeight="true" outlineLevel="0" collapsed="false">
      <c r="A103" s="85" t="str">
        <f aca="false">IF(B103="","","T"&amp;TEXT(ROW()-4,"000"))</f>
        <v/>
      </c>
      <c r="B103" s="86"/>
      <c r="C103" s="52"/>
      <c r="D103" s="86"/>
      <c r="E103" s="52"/>
      <c r="F103" s="86"/>
      <c r="G103" s="86"/>
      <c r="H103" s="91"/>
      <c r="I103" s="52"/>
      <c r="J103" s="89"/>
    </row>
    <row r="104" customFormat="false" ht="19.5" hidden="false" customHeight="true" outlineLevel="0" collapsed="false">
      <c r="A104" s="85" t="str">
        <f aca="false">IF(B104="","","T"&amp;TEXT(ROW()-4,"000"))</f>
        <v/>
      </c>
      <c r="B104" s="86"/>
      <c r="C104" s="52"/>
      <c r="D104" s="86"/>
      <c r="E104" s="52"/>
      <c r="F104" s="86"/>
      <c r="G104" s="86"/>
      <c r="H104" s="91"/>
      <c r="I104" s="52"/>
      <c r="J104" s="89"/>
    </row>
    <row r="105" customFormat="false" ht="19.5" hidden="false" customHeight="true" outlineLevel="0" collapsed="false">
      <c r="A105" s="85" t="str">
        <f aca="false">IF(B105="","","T"&amp;TEXT(ROW()-4,"000"))</f>
        <v/>
      </c>
      <c r="B105" s="86"/>
      <c r="C105" s="52"/>
      <c r="D105" s="86"/>
      <c r="E105" s="52"/>
      <c r="F105" s="86"/>
      <c r="G105" s="86"/>
      <c r="H105" s="91"/>
      <c r="I105" s="52"/>
      <c r="J105" s="89"/>
    </row>
    <row r="106" customFormat="false" ht="19.5" hidden="false" customHeight="true" outlineLevel="0" collapsed="false">
      <c r="A106" s="85" t="str">
        <f aca="false">IF(B106="","","T"&amp;TEXT(ROW()-4,"000"))</f>
        <v/>
      </c>
      <c r="B106" s="86"/>
      <c r="C106" s="52"/>
      <c r="D106" s="86"/>
      <c r="E106" s="52"/>
      <c r="F106" s="86"/>
      <c r="G106" s="86"/>
      <c r="H106" s="91"/>
      <c r="I106" s="52"/>
      <c r="J106" s="89"/>
    </row>
    <row r="107" customFormat="false" ht="19.5" hidden="false" customHeight="true" outlineLevel="0" collapsed="false">
      <c r="A107" s="85" t="str">
        <f aca="false">IF(B107="","","T"&amp;TEXT(ROW()-4,"000"))</f>
        <v/>
      </c>
      <c r="B107" s="86"/>
      <c r="C107" s="52"/>
      <c r="D107" s="86"/>
      <c r="E107" s="52"/>
      <c r="F107" s="86"/>
      <c r="G107" s="86"/>
      <c r="H107" s="91"/>
      <c r="I107" s="52"/>
      <c r="J107" s="89"/>
    </row>
    <row r="108" customFormat="false" ht="19.5" hidden="false" customHeight="true" outlineLevel="0" collapsed="false">
      <c r="A108" s="85" t="str">
        <f aca="false">IF(B108="","","T"&amp;TEXT(ROW()-4,"000"))</f>
        <v/>
      </c>
      <c r="B108" s="86"/>
      <c r="C108" s="52"/>
      <c r="D108" s="86"/>
      <c r="E108" s="52"/>
      <c r="F108" s="86"/>
      <c r="G108" s="86"/>
      <c r="H108" s="91"/>
      <c r="I108" s="52"/>
      <c r="J108" s="89"/>
    </row>
    <row r="109" customFormat="false" ht="19.5" hidden="false" customHeight="true" outlineLevel="0" collapsed="false">
      <c r="A109" s="85" t="str">
        <f aca="false">IF(B109="","","T"&amp;TEXT(ROW()-4,"000"))</f>
        <v/>
      </c>
      <c r="B109" s="86"/>
      <c r="C109" s="52"/>
      <c r="D109" s="86"/>
      <c r="E109" s="52"/>
      <c r="F109" s="86"/>
      <c r="G109" s="86"/>
      <c r="H109" s="91"/>
      <c r="I109" s="52"/>
      <c r="J109" s="89"/>
    </row>
    <row r="110" customFormat="false" ht="19.5" hidden="false" customHeight="true" outlineLevel="0" collapsed="false">
      <c r="A110" s="85" t="str">
        <f aca="false">IF(B110="","","T"&amp;TEXT(ROW()-4,"000"))</f>
        <v/>
      </c>
      <c r="B110" s="86"/>
      <c r="C110" s="52"/>
      <c r="D110" s="86"/>
      <c r="E110" s="52"/>
      <c r="F110" s="86"/>
      <c r="G110" s="86"/>
      <c r="H110" s="91"/>
      <c r="I110" s="52"/>
      <c r="J110" s="89"/>
    </row>
    <row r="111" customFormat="false" ht="19.5" hidden="false" customHeight="true" outlineLevel="0" collapsed="false">
      <c r="A111" s="85" t="str">
        <f aca="false">IF(B111="","","T"&amp;TEXT(ROW()-4,"000"))</f>
        <v/>
      </c>
      <c r="B111" s="86"/>
      <c r="C111" s="52"/>
      <c r="D111" s="86"/>
      <c r="E111" s="52"/>
      <c r="F111" s="86"/>
      <c r="G111" s="86"/>
      <c r="H111" s="91"/>
      <c r="I111" s="52"/>
      <c r="J111" s="89"/>
    </row>
    <row r="112" customFormat="false" ht="19.5" hidden="false" customHeight="true" outlineLevel="0" collapsed="false">
      <c r="A112" s="85" t="str">
        <f aca="false">IF(B112="","","T"&amp;TEXT(ROW()-4,"000"))</f>
        <v/>
      </c>
      <c r="B112" s="86"/>
      <c r="C112" s="52"/>
      <c r="D112" s="86"/>
      <c r="E112" s="52"/>
      <c r="F112" s="86"/>
      <c r="G112" s="86"/>
      <c r="H112" s="91"/>
      <c r="I112" s="52"/>
      <c r="J112" s="89"/>
    </row>
    <row r="113" customFormat="false" ht="19.5" hidden="false" customHeight="true" outlineLevel="0" collapsed="false">
      <c r="A113" s="85" t="str">
        <f aca="false">IF(B113="","","T"&amp;TEXT(ROW()-4,"000"))</f>
        <v/>
      </c>
      <c r="B113" s="86"/>
      <c r="C113" s="52"/>
      <c r="D113" s="86"/>
      <c r="E113" s="52"/>
      <c r="F113" s="86"/>
      <c r="G113" s="86"/>
      <c r="H113" s="91"/>
      <c r="I113" s="52"/>
      <c r="J113" s="89"/>
    </row>
    <row r="114" customFormat="false" ht="19.5" hidden="false" customHeight="true" outlineLevel="0" collapsed="false">
      <c r="A114" s="85" t="str">
        <f aca="false">IF(B114="","","T"&amp;TEXT(ROW()-4,"000"))</f>
        <v/>
      </c>
      <c r="B114" s="86"/>
      <c r="C114" s="52"/>
      <c r="D114" s="86"/>
      <c r="E114" s="52"/>
      <c r="F114" s="86"/>
      <c r="G114" s="86"/>
      <c r="H114" s="91"/>
      <c r="I114" s="52"/>
      <c r="J114" s="89"/>
    </row>
    <row r="115" customFormat="false" ht="19.5" hidden="false" customHeight="true" outlineLevel="0" collapsed="false">
      <c r="A115" s="85" t="str">
        <f aca="false">IF(B115="","","T"&amp;TEXT(ROW()-4,"000"))</f>
        <v/>
      </c>
      <c r="B115" s="86"/>
      <c r="C115" s="52"/>
      <c r="D115" s="86"/>
      <c r="E115" s="52"/>
      <c r="F115" s="86"/>
      <c r="G115" s="86"/>
      <c r="H115" s="91"/>
      <c r="I115" s="52"/>
      <c r="J115" s="89"/>
    </row>
    <row r="116" customFormat="false" ht="19.5" hidden="false" customHeight="true" outlineLevel="0" collapsed="false">
      <c r="A116" s="85" t="str">
        <f aca="false">IF(B116="","","T"&amp;TEXT(ROW()-4,"000"))</f>
        <v/>
      </c>
      <c r="B116" s="86"/>
      <c r="C116" s="52"/>
      <c r="D116" s="86"/>
      <c r="E116" s="52"/>
      <c r="F116" s="86"/>
      <c r="G116" s="86"/>
      <c r="H116" s="91"/>
      <c r="I116" s="52"/>
      <c r="J116" s="89"/>
    </row>
    <row r="117" customFormat="false" ht="19.5" hidden="false" customHeight="true" outlineLevel="0" collapsed="false">
      <c r="A117" s="85" t="str">
        <f aca="false">IF(B117="","","T"&amp;TEXT(ROW()-4,"000"))</f>
        <v/>
      </c>
      <c r="B117" s="86"/>
      <c r="C117" s="52"/>
      <c r="D117" s="86"/>
      <c r="E117" s="52"/>
      <c r="F117" s="86"/>
      <c r="G117" s="86"/>
      <c r="H117" s="91"/>
      <c r="I117" s="52"/>
      <c r="J117" s="89"/>
    </row>
    <row r="118" customFormat="false" ht="19.5" hidden="false" customHeight="true" outlineLevel="0" collapsed="false">
      <c r="A118" s="85" t="str">
        <f aca="false">IF(B118="","","T"&amp;TEXT(ROW()-4,"000"))</f>
        <v/>
      </c>
      <c r="B118" s="86"/>
      <c r="C118" s="52"/>
      <c r="D118" s="86"/>
      <c r="E118" s="52"/>
      <c r="F118" s="86"/>
      <c r="G118" s="86"/>
      <c r="H118" s="91"/>
      <c r="I118" s="52"/>
      <c r="J118" s="89"/>
    </row>
    <row r="119" customFormat="false" ht="19.5" hidden="false" customHeight="true" outlineLevel="0" collapsed="false">
      <c r="A119" s="85" t="str">
        <f aca="false">IF(B119="","","T"&amp;TEXT(ROW()-4,"000"))</f>
        <v/>
      </c>
      <c r="B119" s="86"/>
      <c r="C119" s="52"/>
      <c r="D119" s="86"/>
      <c r="E119" s="52"/>
      <c r="F119" s="86"/>
      <c r="G119" s="86"/>
      <c r="H119" s="91"/>
      <c r="I119" s="52"/>
      <c r="J119" s="89"/>
    </row>
    <row r="120" customFormat="false" ht="19.5" hidden="false" customHeight="true" outlineLevel="0" collapsed="false">
      <c r="A120" s="85" t="str">
        <f aca="false">IF(B120="","","T"&amp;TEXT(ROW()-4,"000"))</f>
        <v/>
      </c>
      <c r="B120" s="86"/>
      <c r="C120" s="52"/>
      <c r="D120" s="86"/>
      <c r="E120" s="52"/>
      <c r="F120" s="86"/>
      <c r="G120" s="86"/>
      <c r="H120" s="91"/>
      <c r="I120" s="52"/>
      <c r="J120" s="89"/>
    </row>
    <row r="121" customFormat="false" ht="19.5" hidden="false" customHeight="true" outlineLevel="0" collapsed="false">
      <c r="A121" s="85" t="str">
        <f aca="false">IF(B121="","","T"&amp;TEXT(ROW()-4,"000"))</f>
        <v/>
      </c>
      <c r="B121" s="86"/>
      <c r="C121" s="52"/>
      <c r="D121" s="86"/>
      <c r="E121" s="52"/>
      <c r="F121" s="86"/>
      <c r="G121" s="86"/>
      <c r="H121" s="91"/>
      <c r="I121" s="52"/>
      <c r="J121" s="89"/>
    </row>
    <row r="122" customFormat="false" ht="19.5" hidden="false" customHeight="true" outlineLevel="0" collapsed="false">
      <c r="A122" s="85" t="str">
        <f aca="false">IF(B122="","","T"&amp;TEXT(ROW()-4,"000"))</f>
        <v/>
      </c>
      <c r="B122" s="86"/>
      <c r="C122" s="52"/>
      <c r="D122" s="86"/>
      <c r="E122" s="52"/>
      <c r="F122" s="86"/>
      <c r="G122" s="86"/>
      <c r="H122" s="91"/>
      <c r="I122" s="52"/>
      <c r="J122" s="89"/>
    </row>
    <row r="123" customFormat="false" ht="19.5" hidden="false" customHeight="true" outlineLevel="0" collapsed="false">
      <c r="A123" s="85" t="str">
        <f aca="false">IF(B123="","","T"&amp;TEXT(ROW()-4,"000"))</f>
        <v/>
      </c>
      <c r="B123" s="86"/>
      <c r="C123" s="52"/>
      <c r="D123" s="86"/>
      <c r="E123" s="52"/>
      <c r="F123" s="86"/>
      <c r="G123" s="86"/>
      <c r="H123" s="91"/>
      <c r="I123" s="52"/>
      <c r="J123" s="89"/>
    </row>
    <row r="124" customFormat="false" ht="19.5" hidden="false" customHeight="true" outlineLevel="0" collapsed="false">
      <c r="A124" s="85" t="str">
        <f aca="false">IF(B124="","","T"&amp;TEXT(ROW()-4,"000"))</f>
        <v/>
      </c>
      <c r="B124" s="86"/>
      <c r="C124" s="52"/>
      <c r="D124" s="86"/>
      <c r="E124" s="52"/>
      <c r="F124" s="86"/>
      <c r="G124" s="86"/>
      <c r="H124" s="91"/>
      <c r="I124" s="52"/>
      <c r="J124" s="89"/>
    </row>
    <row r="125" customFormat="false" ht="19.5" hidden="false" customHeight="true" outlineLevel="0" collapsed="false">
      <c r="A125" s="85" t="str">
        <f aca="false">IF(B125="","","T"&amp;TEXT(ROW()-4,"000"))</f>
        <v/>
      </c>
      <c r="B125" s="86"/>
      <c r="C125" s="52"/>
      <c r="D125" s="86"/>
      <c r="E125" s="52"/>
      <c r="F125" s="86"/>
      <c r="G125" s="86"/>
      <c r="H125" s="91"/>
      <c r="I125" s="52"/>
      <c r="J125" s="89"/>
    </row>
    <row r="126" customFormat="false" ht="19.5" hidden="false" customHeight="true" outlineLevel="0" collapsed="false">
      <c r="A126" s="85" t="str">
        <f aca="false">IF(B126="","","T"&amp;TEXT(ROW()-4,"000"))</f>
        <v/>
      </c>
      <c r="B126" s="86"/>
      <c r="C126" s="52"/>
      <c r="D126" s="86"/>
      <c r="E126" s="52"/>
      <c r="F126" s="86"/>
      <c r="G126" s="86"/>
      <c r="H126" s="91"/>
      <c r="I126" s="52"/>
      <c r="J126" s="89"/>
    </row>
    <row r="127" customFormat="false" ht="19.5" hidden="false" customHeight="true" outlineLevel="0" collapsed="false">
      <c r="A127" s="85" t="str">
        <f aca="false">IF(B127="","","T"&amp;TEXT(ROW()-4,"000"))</f>
        <v/>
      </c>
      <c r="B127" s="86"/>
      <c r="C127" s="52"/>
      <c r="D127" s="86"/>
      <c r="E127" s="52"/>
      <c r="F127" s="86"/>
      <c r="G127" s="86"/>
      <c r="H127" s="91"/>
      <c r="I127" s="52"/>
      <c r="J127" s="89"/>
    </row>
    <row r="128" customFormat="false" ht="19.5" hidden="false" customHeight="true" outlineLevel="0" collapsed="false">
      <c r="A128" s="85" t="str">
        <f aca="false">IF(B128="","","T"&amp;TEXT(ROW()-4,"000"))</f>
        <v/>
      </c>
      <c r="B128" s="86"/>
      <c r="C128" s="52"/>
      <c r="D128" s="86"/>
      <c r="E128" s="52"/>
      <c r="F128" s="86"/>
      <c r="G128" s="86"/>
      <c r="H128" s="91"/>
      <c r="I128" s="52"/>
      <c r="J128" s="89"/>
    </row>
    <row r="129" customFormat="false" ht="19.5" hidden="false" customHeight="true" outlineLevel="0" collapsed="false">
      <c r="A129" s="85" t="str">
        <f aca="false">IF(B129="","","T"&amp;TEXT(ROW()-4,"000"))</f>
        <v/>
      </c>
      <c r="B129" s="86"/>
      <c r="C129" s="52"/>
      <c r="D129" s="86"/>
      <c r="E129" s="52"/>
      <c r="F129" s="86"/>
      <c r="G129" s="86"/>
      <c r="H129" s="91"/>
      <c r="I129" s="52"/>
      <c r="J129" s="89"/>
    </row>
    <row r="130" customFormat="false" ht="19.5" hidden="false" customHeight="true" outlineLevel="0" collapsed="false">
      <c r="A130" s="85" t="str">
        <f aca="false">IF(B130="","","T"&amp;TEXT(ROW()-4,"000"))</f>
        <v/>
      </c>
      <c r="B130" s="86"/>
      <c r="C130" s="52"/>
      <c r="D130" s="86"/>
      <c r="E130" s="52"/>
      <c r="F130" s="86"/>
      <c r="G130" s="86"/>
      <c r="H130" s="91"/>
      <c r="I130" s="52"/>
      <c r="J130" s="89"/>
    </row>
    <row r="131" customFormat="false" ht="19.5" hidden="false" customHeight="true" outlineLevel="0" collapsed="false">
      <c r="A131" s="85" t="str">
        <f aca="false">IF(B131="","","T"&amp;TEXT(ROW()-4,"000"))</f>
        <v/>
      </c>
      <c r="B131" s="86"/>
      <c r="C131" s="52"/>
      <c r="D131" s="86"/>
      <c r="E131" s="52"/>
      <c r="F131" s="86"/>
      <c r="G131" s="86"/>
      <c r="H131" s="91"/>
      <c r="I131" s="52"/>
      <c r="J131" s="89"/>
    </row>
    <row r="132" customFormat="false" ht="19.5" hidden="false" customHeight="true" outlineLevel="0" collapsed="false">
      <c r="A132" s="85" t="str">
        <f aca="false">IF(B132="","","T"&amp;TEXT(ROW()-4,"000"))</f>
        <v/>
      </c>
      <c r="B132" s="86"/>
      <c r="C132" s="52"/>
      <c r="D132" s="86"/>
      <c r="E132" s="52"/>
      <c r="F132" s="86"/>
      <c r="G132" s="86"/>
      <c r="H132" s="91"/>
      <c r="I132" s="52"/>
      <c r="J132" s="89"/>
    </row>
    <row r="133" customFormat="false" ht="19.5" hidden="false" customHeight="true" outlineLevel="0" collapsed="false">
      <c r="A133" s="85" t="str">
        <f aca="false">IF(B133="","","T"&amp;TEXT(ROW()-4,"000"))</f>
        <v/>
      </c>
      <c r="B133" s="86"/>
      <c r="C133" s="52"/>
      <c r="D133" s="86"/>
      <c r="E133" s="52"/>
      <c r="F133" s="86"/>
      <c r="G133" s="86"/>
      <c r="H133" s="91"/>
      <c r="I133" s="52"/>
      <c r="J133" s="89"/>
    </row>
    <row r="134" customFormat="false" ht="19.5" hidden="false" customHeight="true" outlineLevel="0" collapsed="false">
      <c r="A134" s="85" t="str">
        <f aca="false">IF(B134="","","T"&amp;TEXT(ROW()-4,"000"))</f>
        <v/>
      </c>
      <c r="B134" s="86"/>
      <c r="C134" s="52"/>
      <c r="D134" s="86"/>
      <c r="E134" s="52"/>
      <c r="F134" s="86"/>
      <c r="G134" s="86"/>
      <c r="H134" s="91"/>
      <c r="I134" s="52"/>
      <c r="J134" s="89"/>
    </row>
    <row r="135" customFormat="false" ht="19.5" hidden="false" customHeight="true" outlineLevel="0" collapsed="false">
      <c r="A135" s="85" t="str">
        <f aca="false">IF(B135="","","T"&amp;TEXT(ROW()-4,"000"))</f>
        <v/>
      </c>
      <c r="B135" s="86"/>
      <c r="C135" s="52"/>
      <c r="D135" s="86"/>
      <c r="E135" s="52"/>
      <c r="F135" s="86"/>
      <c r="G135" s="86"/>
      <c r="H135" s="91"/>
      <c r="I135" s="52"/>
      <c r="J135" s="89"/>
    </row>
    <row r="136" customFormat="false" ht="19.5" hidden="false" customHeight="true" outlineLevel="0" collapsed="false">
      <c r="A136" s="85" t="str">
        <f aca="false">IF(B136="","","T"&amp;TEXT(ROW()-4,"000"))</f>
        <v/>
      </c>
      <c r="B136" s="86"/>
      <c r="C136" s="52"/>
      <c r="D136" s="86"/>
      <c r="E136" s="52"/>
      <c r="F136" s="86"/>
      <c r="G136" s="86"/>
      <c r="H136" s="91"/>
      <c r="I136" s="52"/>
      <c r="J136" s="89"/>
    </row>
    <row r="137" customFormat="false" ht="19.5" hidden="false" customHeight="true" outlineLevel="0" collapsed="false">
      <c r="A137" s="85" t="str">
        <f aca="false">IF(B137="","","T"&amp;TEXT(ROW()-4,"000"))</f>
        <v/>
      </c>
      <c r="B137" s="86"/>
      <c r="C137" s="52"/>
      <c r="D137" s="86"/>
      <c r="E137" s="52"/>
      <c r="F137" s="86"/>
      <c r="G137" s="86"/>
      <c r="H137" s="91"/>
      <c r="I137" s="52"/>
      <c r="J137" s="89"/>
    </row>
    <row r="138" customFormat="false" ht="19.5" hidden="false" customHeight="true" outlineLevel="0" collapsed="false">
      <c r="A138" s="85" t="str">
        <f aca="false">IF(B138="","","T"&amp;TEXT(ROW()-4,"000"))</f>
        <v/>
      </c>
      <c r="B138" s="86"/>
      <c r="C138" s="52"/>
      <c r="D138" s="86"/>
      <c r="E138" s="52"/>
      <c r="F138" s="86"/>
      <c r="G138" s="86"/>
      <c r="H138" s="91"/>
      <c r="I138" s="52"/>
      <c r="J138" s="89"/>
    </row>
    <row r="139" customFormat="false" ht="19.5" hidden="false" customHeight="true" outlineLevel="0" collapsed="false">
      <c r="A139" s="85" t="str">
        <f aca="false">IF(B139="","","T"&amp;TEXT(ROW()-4,"000"))</f>
        <v/>
      </c>
      <c r="B139" s="86"/>
      <c r="C139" s="52"/>
      <c r="D139" s="86"/>
      <c r="E139" s="52"/>
      <c r="F139" s="86"/>
      <c r="G139" s="86"/>
      <c r="H139" s="91"/>
      <c r="I139" s="52"/>
      <c r="J139" s="89"/>
    </row>
    <row r="140" customFormat="false" ht="19.5" hidden="false" customHeight="true" outlineLevel="0" collapsed="false">
      <c r="A140" s="85" t="str">
        <f aca="false">IF(B140="","","T"&amp;TEXT(ROW()-4,"000"))</f>
        <v/>
      </c>
      <c r="B140" s="86"/>
      <c r="C140" s="52"/>
      <c r="D140" s="86"/>
      <c r="E140" s="52"/>
      <c r="F140" s="86"/>
      <c r="G140" s="86"/>
      <c r="H140" s="91"/>
      <c r="I140" s="52"/>
      <c r="J140" s="89"/>
    </row>
    <row r="141" customFormat="false" ht="19.5" hidden="false" customHeight="true" outlineLevel="0" collapsed="false">
      <c r="A141" s="85" t="str">
        <f aca="false">IF(B141="","","T"&amp;TEXT(ROW()-4,"000"))</f>
        <v/>
      </c>
      <c r="B141" s="86"/>
      <c r="C141" s="52"/>
      <c r="D141" s="86"/>
      <c r="E141" s="52"/>
      <c r="F141" s="86"/>
      <c r="G141" s="86"/>
      <c r="H141" s="91"/>
      <c r="I141" s="52"/>
      <c r="J141" s="89"/>
    </row>
    <row r="142" customFormat="false" ht="19.5" hidden="false" customHeight="true" outlineLevel="0" collapsed="false">
      <c r="A142" s="85" t="str">
        <f aca="false">IF(B142="","","T"&amp;TEXT(ROW()-4,"000"))</f>
        <v/>
      </c>
      <c r="B142" s="86"/>
      <c r="C142" s="52"/>
      <c r="D142" s="86"/>
      <c r="E142" s="52"/>
      <c r="F142" s="86"/>
      <c r="G142" s="86"/>
      <c r="H142" s="91"/>
      <c r="I142" s="52"/>
      <c r="J142" s="89"/>
    </row>
    <row r="143" customFormat="false" ht="19.5" hidden="false" customHeight="true" outlineLevel="0" collapsed="false">
      <c r="A143" s="85" t="str">
        <f aca="false">IF(B143="","","T"&amp;TEXT(ROW()-4,"000"))</f>
        <v/>
      </c>
      <c r="B143" s="86"/>
      <c r="C143" s="52"/>
      <c r="D143" s="86"/>
      <c r="E143" s="52"/>
      <c r="F143" s="86"/>
      <c r="G143" s="86"/>
      <c r="H143" s="91"/>
      <c r="I143" s="52"/>
      <c r="J143" s="89"/>
    </row>
    <row r="144" customFormat="false" ht="19.5" hidden="false" customHeight="true" outlineLevel="0" collapsed="false">
      <c r="A144" s="85" t="str">
        <f aca="false">IF(B144="","","T"&amp;TEXT(ROW()-4,"000"))</f>
        <v/>
      </c>
      <c r="B144" s="86"/>
      <c r="C144" s="52"/>
      <c r="D144" s="86"/>
      <c r="E144" s="52"/>
      <c r="F144" s="86"/>
      <c r="G144" s="86"/>
      <c r="H144" s="91"/>
      <c r="I144" s="52"/>
      <c r="J144" s="89"/>
    </row>
    <row r="145" customFormat="false" ht="19.5" hidden="false" customHeight="true" outlineLevel="0" collapsed="false">
      <c r="A145" s="85" t="str">
        <f aca="false">IF(B145="","","T"&amp;TEXT(ROW()-4,"000"))</f>
        <v/>
      </c>
      <c r="B145" s="86"/>
      <c r="C145" s="52"/>
      <c r="D145" s="86"/>
      <c r="E145" s="52"/>
      <c r="F145" s="86"/>
      <c r="G145" s="86"/>
      <c r="H145" s="91"/>
      <c r="I145" s="52"/>
      <c r="J145" s="89"/>
    </row>
    <row r="146" customFormat="false" ht="19.5" hidden="false" customHeight="true" outlineLevel="0" collapsed="false">
      <c r="A146" s="85" t="str">
        <f aca="false">IF(B146="","","T"&amp;TEXT(ROW()-4,"000"))</f>
        <v/>
      </c>
      <c r="B146" s="86"/>
      <c r="C146" s="52"/>
      <c r="D146" s="86"/>
      <c r="E146" s="52"/>
      <c r="F146" s="86"/>
      <c r="G146" s="86"/>
      <c r="H146" s="91"/>
      <c r="I146" s="52"/>
      <c r="J146" s="89"/>
    </row>
    <row r="147" customFormat="false" ht="19.5" hidden="false" customHeight="true" outlineLevel="0" collapsed="false">
      <c r="A147" s="85" t="str">
        <f aca="false">IF(B147="","","T"&amp;TEXT(ROW()-4,"000"))</f>
        <v/>
      </c>
      <c r="B147" s="86"/>
      <c r="C147" s="52"/>
      <c r="D147" s="86"/>
      <c r="E147" s="52"/>
      <c r="F147" s="86"/>
      <c r="G147" s="86"/>
      <c r="H147" s="91"/>
      <c r="I147" s="52"/>
      <c r="J147" s="89"/>
    </row>
    <row r="148" customFormat="false" ht="19.5" hidden="false" customHeight="true" outlineLevel="0" collapsed="false">
      <c r="A148" s="85" t="str">
        <f aca="false">IF(B148="","","T"&amp;TEXT(ROW()-4,"000"))</f>
        <v/>
      </c>
      <c r="B148" s="86"/>
      <c r="C148" s="52"/>
      <c r="D148" s="86"/>
      <c r="E148" s="52"/>
      <c r="F148" s="86"/>
      <c r="G148" s="86"/>
      <c r="H148" s="91"/>
      <c r="I148" s="52"/>
      <c r="J148" s="89"/>
    </row>
    <row r="149" customFormat="false" ht="19.5" hidden="false" customHeight="true" outlineLevel="0" collapsed="false">
      <c r="A149" s="85" t="str">
        <f aca="false">IF(B149="","","T"&amp;TEXT(ROW()-4,"000"))</f>
        <v/>
      </c>
      <c r="B149" s="86"/>
      <c r="C149" s="52"/>
      <c r="D149" s="86"/>
      <c r="E149" s="52"/>
      <c r="F149" s="86"/>
      <c r="G149" s="86"/>
      <c r="H149" s="91"/>
      <c r="I149" s="52"/>
      <c r="J149" s="89"/>
    </row>
    <row r="150" customFormat="false" ht="19.5" hidden="false" customHeight="true" outlineLevel="0" collapsed="false">
      <c r="A150" s="85" t="str">
        <f aca="false">IF(B150="","","T"&amp;TEXT(ROW()-4,"000"))</f>
        <v/>
      </c>
      <c r="B150" s="86"/>
      <c r="C150" s="52"/>
      <c r="D150" s="86"/>
      <c r="E150" s="52"/>
      <c r="F150" s="86"/>
      <c r="G150" s="86"/>
      <c r="H150" s="91"/>
      <c r="I150" s="52"/>
      <c r="J150" s="89"/>
    </row>
    <row r="151" customFormat="false" ht="19.5" hidden="false" customHeight="true" outlineLevel="0" collapsed="false">
      <c r="A151" s="85" t="str">
        <f aca="false">IF(B151="","","T"&amp;TEXT(ROW()-4,"000"))</f>
        <v/>
      </c>
      <c r="B151" s="86"/>
      <c r="C151" s="52"/>
      <c r="D151" s="86"/>
      <c r="E151" s="52"/>
      <c r="F151" s="86"/>
      <c r="G151" s="86"/>
      <c r="H151" s="91"/>
      <c r="I151" s="52"/>
      <c r="J151" s="89"/>
    </row>
    <row r="152" customFormat="false" ht="19.5" hidden="false" customHeight="true" outlineLevel="0" collapsed="false">
      <c r="A152" s="85" t="str">
        <f aca="false">IF(B152="","","T"&amp;TEXT(ROW()-4,"000"))</f>
        <v/>
      </c>
      <c r="B152" s="86"/>
      <c r="C152" s="52"/>
      <c r="D152" s="86"/>
      <c r="E152" s="52"/>
      <c r="F152" s="86"/>
      <c r="G152" s="86"/>
      <c r="H152" s="91"/>
      <c r="I152" s="52"/>
      <c r="J152" s="89"/>
    </row>
    <row r="153" customFormat="false" ht="19.5" hidden="false" customHeight="true" outlineLevel="0" collapsed="false">
      <c r="A153" s="85" t="str">
        <f aca="false">IF(B153="","","T"&amp;TEXT(ROW()-4,"000"))</f>
        <v/>
      </c>
      <c r="B153" s="86"/>
      <c r="C153" s="52"/>
      <c r="D153" s="86"/>
      <c r="E153" s="52"/>
      <c r="F153" s="86"/>
      <c r="G153" s="86"/>
      <c r="H153" s="91"/>
      <c r="I153" s="52"/>
      <c r="J153" s="89"/>
    </row>
    <row r="154" customFormat="false" ht="19.5" hidden="false" customHeight="true" outlineLevel="0" collapsed="false">
      <c r="A154" s="85" t="str">
        <f aca="false">IF(B154="","","T"&amp;TEXT(ROW()-4,"000"))</f>
        <v/>
      </c>
      <c r="B154" s="86"/>
      <c r="C154" s="52"/>
      <c r="D154" s="86"/>
      <c r="E154" s="52"/>
      <c r="F154" s="86"/>
      <c r="G154" s="86"/>
      <c r="H154" s="91"/>
      <c r="I154" s="52"/>
      <c r="J154" s="89"/>
    </row>
    <row r="155" customFormat="false" ht="19.5" hidden="false" customHeight="true" outlineLevel="0" collapsed="false">
      <c r="A155" s="85" t="str">
        <f aca="false">IF(B155="","","T"&amp;TEXT(ROW()-4,"000"))</f>
        <v/>
      </c>
      <c r="B155" s="86"/>
      <c r="C155" s="52"/>
      <c r="D155" s="86"/>
      <c r="E155" s="52"/>
      <c r="F155" s="86"/>
      <c r="G155" s="86"/>
      <c r="H155" s="91"/>
      <c r="I155" s="52"/>
      <c r="J155" s="89"/>
    </row>
    <row r="156" customFormat="false" ht="19.5" hidden="false" customHeight="true" outlineLevel="0" collapsed="false">
      <c r="A156" s="85" t="str">
        <f aca="false">IF(B156="","","T"&amp;TEXT(ROW()-4,"000"))</f>
        <v/>
      </c>
      <c r="B156" s="86"/>
      <c r="C156" s="52"/>
      <c r="D156" s="86"/>
      <c r="E156" s="52"/>
      <c r="F156" s="86"/>
      <c r="G156" s="86"/>
      <c r="H156" s="91"/>
      <c r="I156" s="52"/>
      <c r="J156" s="89"/>
    </row>
    <row r="157" customFormat="false" ht="19.5" hidden="false" customHeight="true" outlineLevel="0" collapsed="false">
      <c r="A157" s="85" t="str">
        <f aca="false">IF(B157="","","T"&amp;TEXT(ROW()-4,"000"))</f>
        <v/>
      </c>
      <c r="B157" s="86"/>
      <c r="C157" s="52"/>
      <c r="D157" s="86"/>
      <c r="E157" s="52"/>
      <c r="F157" s="86"/>
      <c r="G157" s="86"/>
      <c r="H157" s="91"/>
      <c r="I157" s="52"/>
      <c r="J157" s="89"/>
    </row>
    <row r="158" customFormat="false" ht="19.5" hidden="false" customHeight="true" outlineLevel="0" collapsed="false">
      <c r="A158" s="85" t="str">
        <f aca="false">IF(B158="","","T"&amp;TEXT(ROW()-4,"000"))</f>
        <v/>
      </c>
      <c r="B158" s="86"/>
      <c r="C158" s="52"/>
      <c r="D158" s="86"/>
      <c r="E158" s="52"/>
      <c r="F158" s="86"/>
      <c r="G158" s="86"/>
      <c r="H158" s="91"/>
      <c r="I158" s="52"/>
      <c r="J158" s="89"/>
    </row>
    <row r="159" customFormat="false" ht="19.5" hidden="false" customHeight="true" outlineLevel="0" collapsed="false">
      <c r="A159" s="85" t="str">
        <f aca="false">IF(B159="","","T"&amp;TEXT(ROW()-4,"000"))</f>
        <v/>
      </c>
      <c r="B159" s="86"/>
      <c r="C159" s="52"/>
      <c r="D159" s="86"/>
      <c r="E159" s="52"/>
      <c r="F159" s="86"/>
      <c r="G159" s="86"/>
      <c r="H159" s="91"/>
      <c r="I159" s="52"/>
      <c r="J159" s="89"/>
    </row>
    <row r="160" customFormat="false" ht="19.5" hidden="false" customHeight="true" outlineLevel="0" collapsed="false">
      <c r="A160" s="85" t="str">
        <f aca="false">IF(B160="","","T"&amp;TEXT(ROW()-4,"000"))</f>
        <v/>
      </c>
      <c r="B160" s="86"/>
      <c r="C160" s="52"/>
      <c r="D160" s="86"/>
      <c r="E160" s="52"/>
      <c r="F160" s="86"/>
      <c r="G160" s="86"/>
      <c r="H160" s="91"/>
      <c r="I160" s="52"/>
      <c r="J160" s="89"/>
    </row>
    <row r="161" customFormat="false" ht="19.5" hidden="false" customHeight="true" outlineLevel="0" collapsed="false">
      <c r="A161" s="85" t="str">
        <f aca="false">IF(B161="","","T"&amp;TEXT(ROW()-4,"000"))</f>
        <v/>
      </c>
      <c r="B161" s="86"/>
      <c r="C161" s="52"/>
      <c r="D161" s="86"/>
      <c r="E161" s="52"/>
      <c r="F161" s="86"/>
      <c r="G161" s="86"/>
      <c r="H161" s="91"/>
      <c r="I161" s="52"/>
      <c r="J161" s="89"/>
    </row>
    <row r="162" customFormat="false" ht="19.5" hidden="false" customHeight="true" outlineLevel="0" collapsed="false">
      <c r="A162" s="85" t="str">
        <f aca="false">IF(B162="","","T"&amp;TEXT(ROW()-4,"000"))</f>
        <v/>
      </c>
      <c r="B162" s="86"/>
      <c r="C162" s="52"/>
      <c r="D162" s="86"/>
      <c r="E162" s="52"/>
      <c r="F162" s="86"/>
      <c r="G162" s="86"/>
      <c r="H162" s="91"/>
      <c r="I162" s="52"/>
      <c r="J162" s="89"/>
    </row>
    <row r="163" customFormat="false" ht="19.5" hidden="false" customHeight="true" outlineLevel="0" collapsed="false">
      <c r="A163" s="85" t="str">
        <f aca="false">IF(B163="","","T"&amp;TEXT(ROW()-4,"000"))</f>
        <v/>
      </c>
      <c r="B163" s="86"/>
      <c r="C163" s="52"/>
      <c r="D163" s="86"/>
      <c r="E163" s="52"/>
      <c r="F163" s="86"/>
      <c r="G163" s="86"/>
      <c r="H163" s="91"/>
      <c r="I163" s="52"/>
      <c r="J163" s="89"/>
    </row>
    <row r="164" customFormat="false" ht="19.5" hidden="false" customHeight="true" outlineLevel="0" collapsed="false">
      <c r="A164" s="85" t="str">
        <f aca="false">IF(B164="","","T"&amp;TEXT(ROW()-4,"000"))</f>
        <v/>
      </c>
      <c r="B164" s="86"/>
      <c r="C164" s="52"/>
      <c r="D164" s="86"/>
      <c r="E164" s="52"/>
      <c r="F164" s="86"/>
      <c r="G164" s="86"/>
      <c r="H164" s="91"/>
      <c r="I164" s="52"/>
      <c r="J164" s="89"/>
    </row>
    <row r="165" customFormat="false" ht="19.5" hidden="false" customHeight="true" outlineLevel="0" collapsed="false">
      <c r="A165" s="85" t="str">
        <f aca="false">IF(B165="","","T"&amp;TEXT(ROW()-4,"000"))</f>
        <v/>
      </c>
      <c r="B165" s="86"/>
      <c r="C165" s="52"/>
      <c r="D165" s="86"/>
      <c r="E165" s="52"/>
      <c r="F165" s="86"/>
      <c r="G165" s="86"/>
      <c r="H165" s="91"/>
      <c r="I165" s="52"/>
      <c r="J165" s="89"/>
    </row>
    <row r="166" customFormat="false" ht="19.5" hidden="false" customHeight="true" outlineLevel="0" collapsed="false">
      <c r="A166" s="85" t="str">
        <f aca="false">IF(B166="","","T"&amp;TEXT(ROW()-4,"000"))</f>
        <v/>
      </c>
      <c r="B166" s="86"/>
      <c r="C166" s="52"/>
      <c r="D166" s="86"/>
      <c r="E166" s="52"/>
      <c r="F166" s="86"/>
      <c r="G166" s="86"/>
      <c r="H166" s="91"/>
      <c r="I166" s="52"/>
      <c r="J166" s="89"/>
    </row>
    <row r="167" customFormat="false" ht="19.5" hidden="false" customHeight="true" outlineLevel="0" collapsed="false">
      <c r="A167" s="85" t="str">
        <f aca="false">IF(B167="","","T"&amp;TEXT(ROW()-4,"000"))</f>
        <v/>
      </c>
      <c r="B167" s="86"/>
      <c r="C167" s="52"/>
      <c r="D167" s="86"/>
      <c r="E167" s="52"/>
      <c r="F167" s="86"/>
      <c r="G167" s="86"/>
      <c r="H167" s="91"/>
      <c r="I167" s="52"/>
      <c r="J167" s="89"/>
    </row>
    <row r="168" customFormat="false" ht="19.5" hidden="false" customHeight="true" outlineLevel="0" collapsed="false">
      <c r="A168" s="85" t="str">
        <f aca="false">IF(B168="","","T"&amp;TEXT(ROW()-4,"000"))</f>
        <v/>
      </c>
      <c r="B168" s="86"/>
      <c r="C168" s="52"/>
      <c r="D168" s="86"/>
      <c r="E168" s="52"/>
      <c r="F168" s="86"/>
      <c r="G168" s="86"/>
      <c r="H168" s="91"/>
      <c r="I168" s="52"/>
      <c r="J168" s="89"/>
    </row>
    <row r="169" customFormat="false" ht="19.5" hidden="false" customHeight="true" outlineLevel="0" collapsed="false">
      <c r="A169" s="85" t="str">
        <f aca="false">IF(B169="","","T"&amp;TEXT(ROW()-4,"000"))</f>
        <v/>
      </c>
      <c r="B169" s="86"/>
      <c r="C169" s="52"/>
      <c r="D169" s="86"/>
      <c r="E169" s="52"/>
      <c r="F169" s="86"/>
      <c r="G169" s="86"/>
      <c r="H169" s="91"/>
      <c r="I169" s="52"/>
      <c r="J169" s="89"/>
    </row>
    <row r="170" customFormat="false" ht="19.5" hidden="false" customHeight="true" outlineLevel="0" collapsed="false">
      <c r="A170" s="85" t="str">
        <f aca="false">IF(B170="","","T"&amp;TEXT(ROW()-4,"000"))</f>
        <v/>
      </c>
      <c r="B170" s="86"/>
      <c r="C170" s="52"/>
      <c r="D170" s="86"/>
      <c r="E170" s="52"/>
      <c r="F170" s="86"/>
      <c r="G170" s="86"/>
      <c r="H170" s="91"/>
      <c r="I170" s="52"/>
      <c r="J170" s="89"/>
    </row>
    <row r="171" customFormat="false" ht="19.5" hidden="false" customHeight="true" outlineLevel="0" collapsed="false">
      <c r="A171" s="85" t="str">
        <f aca="false">IF(B171="","","T"&amp;TEXT(ROW()-4,"000"))</f>
        <v/>
      </c>
      <c r="B171" s="86"/>
      <c r="C171" s="52"/>
      <c r="D171" s="86"/>
      <c r="E171" s="52"/>
      <c r="F171" s="86"/>
      <c r="G171" s="86"/>
      <c r="H171" s="91"/>
      <c r="I171" s="52"/>
      <c r="J171" s="89"/>
    </row>
    <row r="172" customFormat="false" ht="19.5" hidden="false" customHeight="true" outlineLevel="0" collapsed="false">
      <c r="A172" s="85" t="str">
        <f aca="false">IF(B172="","","T"&amp;TEXT(ROW()-4,"000"))</f>
        <v/>
      </c>
      <c r="B172" s="86"/>
      <c r="C172" s="52"/>
      <c r="D172" s="86"/>
      <c r="E172" s="52"/>
      <c r="F172" s="86"/>
      <c r="G172" s="86"/>
      <c r="H172" s="91"/>
      <c r="I172" s="52"/>
      <c r="J172" s="89"/>
    </row>
    <row r="173" customFormat="false" ht="19.5" hidden="false" customHeight="true" outlineLevel="0" collapsed="false">
      <c r="A173" s="85" t="str">
        <f aca="false">IF(B173="","","T"&amp;TEXT(ROW()-4,"000"))</f>
        <v/>
      </c>
      <c r="B173" s="86"/>
      <c r="C173" s="52"/>
      <c r="D173" s="86"/>
      <c r="E173" s="52"/>
      <c r="F173" s="86"/>
      <c r="G173" s="86"/>
      <c r="H173" s="91"/>
      <c r="I173" s="52"/>
      <c r="J173" s="89"/>
    </row>
    <row r="174" customFormat="false" ht="19.5" hidden="false" customHeight="true" outlineLevel="0" collapsed="false">
      <c r="A174" s="85" t="str">
        <f aca="false">IF(B174="","","T"&amp;TEXT(ROW()-4,"000"))</f>
        <v/>
      </c>
      <c r="B174" s="86"/>
      <c r="C174" s="52"/>
      <c r="D174" s="86"/>
      <c r="E174" s="52"/>
      <c r="F174" s="86"/>
      <c r="G174" s="86"/>
      <c r="H174" s="91"/>
      <c r="I174" s="52"/>
      <c r="J174" s="89"/>
    </row>
    <row r="175" customFormat="false" ht="19.5" hidden="false" customHeight="true" outlineLevel="0" collapsed="false">
      <c r="A175" s="85" t="str">
        <f aca="false">IF(B175="","","T"&amp;TEXT(ROW()-4,"000"))</f>
        <v/>
      </c>
      <c r="B175" s="86"/>
      <c r="C175" s="52"/>
      <c r="D175" s="86"/>
      <c r="E175" s="52"/>
      <c r="F175" s="86"/>
      <c r="G175" s="86"/>
      <c r="H175" s="91"/>
      <c r="I175" s="52"/>
      <c r="J175" s="89"/>
    </row>
    <row r="176" customFormat="false" ht="19.5" hidden="false" customHeight="true" outlineLevel="0" collapsed="false">
      <c r="A176" s="85" t="str">
        <f aca="false">IF(B176="","","T"&amp;TEXT(ROW()-4,"000"))</f>
        <v/>
      </c>
      <c r="B176" s="86"/>
      <c r="C176" s="52"/>
      <c r="D176" s="86"/>
      <c r="E176" s="52"/>
      <c r="F176" s="86"/>
      <c r="G176" s="86"/>
      <c r="H176" s="91"/>
      <c r="I176" s="52"/>
      <c r="J176" s="89"/>
    </row>
    <row r="177" customFormat="false" ht="19.5" hidden="false" customHeight="true" outlineLevel="0" collapsed="false">
      <c r="A177" s="85" t="str">
        <f aca="false">IF(B177="","","T"&amp;TEXT(ROW()-4,"000"))</f>
        <v/>
      </c>
      <c r="B177" s="86"/>
      <c r="C177" s="52"/>
      <c r="D177" s="86"/>
      <c r="E177" s="52"/>
      <c r="F177" s="86"/>
      <c r="G177" s="86"/>
      <c r="H177" s="91"/>
      <c r="I177" s="52"/>
      <c r="J177" s="89"/>
    </row>
    <row r="178" customFormat="false" ht="19.5" hidden="false" customHeight="true" outlineLevel="0" collapsed="false">
      <c r="A178" s="85" t="str">
        <f aca="false">IF(B178="","","T"&amp;TEXT(ROW()-4,"000"))</f>
        <v/>
      </c>
      <c r="B178" s="86"/>
      <c r="C178" s="52"/>
      <c r="D178" s="86"/>
      <c r="E178" s="52"/>
      <c r="F178" s="86"/>
      <c r="G178" s="86"/>
      <c r="H178" s="91"/>
      <c r="I178" s="52"/>
      <c r="J178" s="89"/>
    </row>
    <row r="179" customFormat="false" ht="19.5" hidden="false" customHeight="true" outlineLevel="0" collapsed="false">
      <c r="A179" s="85" t="str">
        <f aca="false">IF(B179="","","T"&amp;TEXT(ROW()-4,"000"))</f>
        <v/>
      </c>
      <c r="B179" s="86"/>
      <c r="C179" s="52"/>
      <c r="D179" s="86"/>
      <c r="E179" s="52"/>
      <c r="F179" s="86"/>
      <c r="G179" s="86"/>
      <c r="H179" s="91"/>
      <c r="I179" s="52"/>
      <c r="J179" s="89"/>
    </row>
    <row r="180" customFormat="false" ht="19.5" hidden="false" customHeight="true" outlineLevel="0" collapsed="false">
      <c r="A180" s="85" t="str">
        <f aca="false">IF(B180="","","T"&amp;TEXT(ROW()-4,"000"))</f>
        <v/>
      </c>
      <c r="B180" s="86"/>
      <c r="C180" s="52"/>
      <c r="D180" s="86"/>
      <c r="E180" s="52"/>
      <c r="F180" s="86"/>
      <c r="G180" s="86"/>
      <c r="H180" s="91"/>
      <c r="I180" s="52"/>
      <c r="J180" s="89"/>
    </row>
    <row r="181" customFormat="false" ht="19.5" hidden="false" customHeight="true" outlineLevel="0" collapsed="false">
      <c r="A181" s="85" t="str">
        <f aca="false">IF(B181="","","T"&amp;TEXT(ROW()-4,"000"))</f>
        <v/>
      </c>
      <c r="B181" s="86"/>
      <c r="C181" s="52"/>
      <c r="D181" s="86"/>
      <c r="E181" s="52"/>
      <c r="F181" s="86"/>
      <c r="G181" s="86"/>
      <c r="H181" s="91"/>
      <c r="I181" s="52"/>
      <c r="J181" s="89"/>
    </row>
    <row r="182" customFormat="false" ht="19.5" hidden="false" customHeight="true" outlineLevel="0" collapsed="false">
      <c r="A182" s="85" t="str">
        <f aca="false">IF(B182="","","T"&amp;TEXT(ROW()-4,"000"))</f>
        <v/>
      </c>
      <c r="B182" s="86"/>
      <c r="C182" s="52"/>
      <c r="D182" s="86"/>
      <c r="E182" s="52"/>
      <c r="F182" s="86"/>
      <c r="G182" s="86"/>
      <c r="H182" s="91"/>
      <c r="I182" s="52"/>
      <c r="J182" s="89"/>
    </row>
    <row r="183" customFormat="false" ht="19.5" hidden="false" customHeight="true" outlineLevel="0" collapsed="false">
      <c r="A183" s="85" t="str">
        <f aca="false">IF(B183="","","T"&amp;TEXT(ROW()-4,"000"))</f>
        <v/>
      </c>
      <c r="B183" s="86"/>
      <c r="C183" s="52"/>
      <c r="D183" s="86"/>
      <c r="E183" s="52"/>
      <c r="F183" s="86"/>
      <c r="G183" s="86"/>
      <c r="H183" s="91"/>
      <c r="I183" s="52"/>
      <c r="J183" s="89"/>
    </row>
    <row r="184" customFormat="false" ht="19.5" hidden="false" customHeight="true" outlineLevel="0" collapsed="false">
      <c r="A184" s="85" t="str">
        <f aca="false">IF(B184="","","T"&amp;TEXT(ROW()-4,"000"))</f>
        <v/>
      </c>
      <c r="B184" s="86"/>
      <c r="C184" s="52"/>
      <c r="D184" s="86"/>
      <c r="E184" s="52"/>
      <c r="F184" s="86"/>
      <c r="G184" s="86"/>
      <c r="H184" s="91"/>
      <c r="I184" s="52"/>
      <c r="J184" s="89"/>
    </row>
    <row r="185" customFormat="false" ht="19.5" hidden="false" customHeight="true" outlineLevel="0" collapsed="false">
      <c r="A185" s="85" t="str">
        <f aca="false">IF(B185="","","T"&amp;TEXT(ROW()-4,"000"))</f>
        <v/>
      </c>
      <c r="B185" s="86"/>
      <c r="C185" s="52"/>
      <c r="D185" s="86"/>
      <c r="E185" s="52"/>
      <c r="F185" s="86"/>
      <c r="G185" s="86"/>
      <c r="H185" s="91"/>
      <c r="I185" s="52"/>
      <c r="J185" s="89"/>
    </row>
    <row r="186" customFormat="false" ht="19.5" hidden="false" customHeight="true" outlineLevel="0" collapsed="false">
      <c r="A186" s="85" t="str">
        <f aca="false">IF(B186="","","T"&amp;TEXT(ROW()-4,"000"))</f>
        <v/>
      </c>
      <c r="B186" s="86"/>
      <c r="C186" s="52"/>
      <c r="D186" s="86"/>
      <c r="E186" s="52"/>
      <c r="F186" s="86"/>
      <c r="G186" s="86"/>
      <c r="H186" s="91"/>
      <c r="I186" s="52"/>
      <c r="J186" s="89"/>
    </row>
    <row r="187" customFormat="false" ht="19.5" hidden="false" customHeight="true" outlineLevel="0" collapsed="false">
      <c r="A187" s="85" t="str">
        <f aca="false">IF(B187="","","T"&amp;TEXT(ROW()-4,"000"))</f>
        <v/>
      </c>
      <c r="B187" s="86"/>
      <c r="C187" s="52"/>
      <c r="D187" s="86"/>
      <c r="E187" s="52"/>
      <c r="F187" s="86"/>
      <c r="G187" s="86"/>
      <c r="H187" s="91"/>
      <c r="I187" s="52"/>
      <c r="J187" s="89"/>
    </row>
    <row r="188" customFormat="false" ht="19.5" hidden="false" customHeight="true" outlineLevel="0" collapsed="false">
      <c r="A188" s="85" t="str">
        <f aca="false">IF(B188="","","T"&amp;TEXT(ROW()-4,"000"))</f>
        <v/>
      </c>
      <c r="B188" s="86"/>
      <c r="C188" s="52"/>
      <c r="D188" s="86"/>
      <c r="E188" s="52"/>
      <c r="F188" s="86"/>
      <c r="G188" s="86"/>
      <c r="H188" s="91"/>
      <c r="I188" s="52"/>
      <c r="J188" s="89"/>
    </row>
    <row r="189" customFormat="false" ht="19.5" hidden="false" customHeight="true" outlineLevel="0" collapsed="false">
      <c r="A189" s="85" t="str">
        <f aca="false">IF(B189="","","T"&amp;TEXT(ROW()-4,"000"))</f>
        <v/>
      </c>
      <c r="B189" s="86"/>
      <c r="C189" s="52"/>
      <c r="D189" s="86"/>
      <c r="E189" s="52"/>
      <c r="F189" s="86"/>
      <c r="G189" s="86"/>
      <c r="H189" s="91"/>
      <c r="I189" s="52"/>
      <c r="J189" s="89"/>
    </row>
    <row r="190" customFormat="false" ht="19.5" hidden="false" customHeight="true" outlineLevel="0" collapsed="false">
      <c r="A190" s="85" t="str">
        <f aca="false">IF(B190="","","T"&amp;TEXT(ROW()-4,"000"))</f>
        <v/>
      </c>
      <c r="B190" s="86"/>
      <c r="C190" s="52"/>
      <c r="D190" s="86"/>
      <c r="E190" s="52"/>
      <c r="F190" s="86"/>
      <c r="G190" s="86"/>
      <c r="H190" s="91"/>
      <c r="I190" s="52"/>
      <c r="J190" s="89"/>
    </row>
    <row r="191" customFormat="false" ht="19.5" hidden="false" customHeight="true" outlineLevel="0" collapsed="false">
      <c r="A191" s="85" t="str">
        <f aca="false">IF(B191="","","T"&amp;TEXT(ROW()-4,"000"))</f>
        <v/>
      </c>
      <c r="B191" s="86"/>
      <c r="C191" s="52"/>
      <c r="D191" s="86"/>
      <c r="E191" s="52"/>
      <c r="F191" s="86"/>
      <c r="G191" s="86"/>
      <c r="H191" s="91"/>
      <c r="I191" s="52"/>
      <c r="J191" s="89"/>
    </row>
    <row r="192" customFormat="false" ht="19.5" hidden="false" customHeight="true" outlineLevel="0" collapsed="false">
      <c r="A192" s="85" t="str">
        <f aca="false">IF(B192="","","T"&amp;TEXT(ROW()-4,"000"))</f>
        <v/>
      </c>
      <c r="B192" s="86"/>
      <c r="C192" s="52"/>
      <c r="D192" s="86"/>
      <c r="E192" s="52"/>
      <c r="F192" s="86"/>
      <c r="G192" s="86"/>
      <c r="H192" s="91"/>
      <c r="I192" s="52"/>
      <c r="J192" s="89"/>
    </row>
    <row r="193" customFormat="false" ht="19.5" hidden="false" customHeight="true" outlineLevel="0" collapsed="false">
      <c r="A193" s="85" t="str">
        <f aca="false">IF(B193="","","T"&amp;TEXT(ROW()-4,"000"))</f>
        <v/>
      </c>
      <c r="B193" s="86"/>
      <c r="C193" s="52"/>
      <c r="D193" s="86"/>
      <c r="E193" s="52"/>
      <c r="F193" s="86"/>
      <c r="G193" s="86"/>
      <c r="H193" s="91"/>
      <c r="I193" s="52"/>
      <c r="J193" s="89"/>
    </row>
    <row r="194" customFormat="false" ht="19.5" hidden="false" customHeight="true" outlineLevel="0" collapsed="false">
      <c r="A194" s="85" t="str">
        <f aca="false">IF(B194="","","T"&amp;TEXT(ROW()-4,"000"))</f>
        <v/>
      </c>
      <c r="B194" s="86"/>
      <c r="C194" s="52"/>
      <c r="D194" s="86"/>
      <c r="E194" s="52"/>
      <c r="F194" s="86"/>
      <c r="G194" s="86"/>
      <c r="H194" s="91"/>
      <c r="I194" s="52"/>
      <c r="J194" s="89"/>
    </row>
    <row r="195" customFormat="false" ht="19.5" hidden="false" customHeight="true" outlineLevel="0" collapsed="false">
      <c r="A195" s="85" t="str">
        <f aca="false">IF(B195="","","T"&amp;TEXT(ROW()-4,"000"))</f>
        <v/>
      </c>
      <c r="B195" s="86"/>
      <c r="C195" s="52"/>
      <c r="D195" s="86"/>
      <c r="E195" s="52"/>
      <c r="F195" s="86"/>
      <c r="G195" s="86"/>
      <c r="H195" s="91"/>
      <c r="I195" s="52"/>
      <c r="J195" s="89"/>
    </row>
    <row r="196" customFormat="false" ht="19.5" hidden="false" customHeight="true" outlineLevel="0" collapsed="false">
      <c r="A196" s="85" t="str">
        <f aca="false">IF(B196="","","T"&amp;TEXT(ROW()-4,"000"))</f>
        <v/>
      </c>
      <c r="B196" s="86"/>
      <c r="C196" s="52"/>
      <c r="D196" s="86"/>
      <c r="E196" s="52"/>
      <c r="F196" s="86"/>
      <c r="G196" s="86"/>
      <c r="H196" s="91"/>
      <c r="I196" s="52"/>
      <c r="J196" s="89"/>
    </row>
    <row r="197" customFormat="false" ht="19.5" hidden="false" customHeight="true" outlineLevel="0" collapsed="false">
      <c r="A197" s="85" t="str">
        <f aca="false">IF(B197="","","T"&amp;TEXT(ROW()-4,"000"))</f>
        <v/>
      </c>
      <c r="B197" s="86"/>
      <c r="C197" s="52"/>
      <c r="D197" s="86"/>
      <c r="E197" s="52"/>
      <c r="F197" s="86"/>
      <c r="G197" s="86"/>
      <c r="H197" s="91"/>
      <c r="I197" s="52"/>
      <c r="J197" s="89"/>
    </row>
    <row r="198" customFormat="false" ht="19.5" hidden="false" customHeight="true" outlineLevel="0" collapsed="false">
      <c r="A198" s="85" t="str">
        <f aca="false">IF(B198="","","T"&amp;TEXT(ROW()-4,"000"))</f>
        <v/>
      </c>
      <c r="B198" s="86"/>
      <c r="C198" s="52"/>
      <c r="D198" s="86"/>
      <c r="E198" s="52"/>
      <c r="F198" s="86"/>
      <c r="G198" s="86"/>
      <c r="H198" s="91"/>
      <c r="I198" s="52"/>
      <c r="J198" s="89"/>
    </row>
    <row r="199" customFormat="false" ht="19.5" hidden="false" customHeight="true" outlineLevel="0" collapsed="false">
      <c r="A199" s="85" t="str">
        <f aca="false">IF(B199="","","T"&amp;TEXT(ROW()-4,"000"))</f>
        <v/>
      </c>
      <c r="B199" s="86"/>
      <c r="C199" s="52"/>
      <c r="D199" s="86"/>
      <c r="E199" s="52"/>
      <c r="F199" s="86"/>
      <c r="G199" s="86"/>
      <c r="H199" s="91"/>
      <c r="I199" s="52"/>
      <c r="J199" s="89"/>
    </row>
    <row r="200" customFormat="false" ht="19.5" hidden="false" customHeight="true" outlineLevel="0" collapsed="false">
      <c r="A200" s="85" t="str">
        <f aca="false">IF(B200="","","T"&amp;TEXT(ROW()-4,"000"))</f>
        <v/>
      </c>
      <c r="B200" s="86"/>
      <c r="C200" s="52"/>
      <c r="D200" s="86"/>
      <c r="E200" s="52"/>
      <c r="F200" s="86"/>
      <c r="G200" s="86"/>
      <c r="H200" s="91"/>
      <c r="I200" s="52"/>
      <c r="J200" s="89"/>
    </row>
    <row r="201" customFormat="false" ht="19.5" hidden="false" customHeight="true" outlineLevel="0" collapsed="false">
      <c r="A201" s="85" t="str">
        <f aca="false">IF(B201="","","T"&amp;TEXT(ROW()-4,"000"))</f>
        <v/>
      </c>
      <c r="B201" s="86"/>
      <c r="C201" s="52"/>
      <c r="D201" s="86"/>
      <c r="E201" s="52"/>
      <c r="F201" s="86"/>
      <c r="G201" s="86"/>
      <c r="H201" s="91"/>
      <c r="I201" s="52"/>
      <c r="J201" s="89"/>
    </row>
    <row r="202" customFormat="false" ht="19.5" hidden="false" customHeight="true" outlineLevel="0" collapsed="false">
      <c r="A202" s="85" t="str">
        <f aca="false">IF(B202="","","T"&amp;TEXT(ROW()-4,"000"))</f>
        <v/>
      </c>
      <c r="B202" s="86"/>
      <c r="C202" s="52"/>
      <c r="D202" s="86"/>
      <c r="E202" s="52"/>
      <c r="F202" s="86"/>
      <c r="G202" s="86"/>
      <c r="H202" s="91"/>
      <c r="I202" s="52"/>
      <c r="J202" s="89"/>
    </row>
    <row r="203" customFormat="false" ht="19.5" hidden="false" customHeight="true" outlineLevel="0" collapsed="false">
      <c r="A203" s="85" t="str">
        <f aca="false">IF(B203="","","T"&amp;TEXT(ROW()-4,"000"))</f>
        <v/>
      </c>
      <c r="B203" s="86"/>
      <c r="C203" s="52"/>
      <c r="D203" s="86"/>
      <c r="E203" s="52"/>
      <c r="F203" s="86"/>
      <c r="G203" s="86"/>
      <c r="H203" s="91"/>
      <c r="I203" s="52"/>
      <c r="J203" s="89"/>
    </row>
    <row r="204" customFormat="false" ht="19.5" hidden="false" customHeight="true" outlineLevel="0" collapsed="false">
      <c r="A204" s="85" t="str">
        <f aca="false">IF(B204="","","T"&amp;TEXT(ROW()-4,"000"))</f>
        <v/>
      </c>
      <c r="B204" s="86"/>
      <c r="C204" s="52"/>
      <c r="D204" s="86"/>
      <c r="E204" s="52"/>
      <c r="F204" s="86"/>
      <c r="G204" s="86"/>
      <c r="H204" s="91"/>
      <c r="I204" s="52"/>
      <c r="J204" s="89"/>
    </row>
    <row r="205" customFormat="false" ht="19.5" hidden="false" customHeight="true" outlineLevel="0" collapsed="false">
      <c r="A205" s="85" t="str">
        <f aca="false">IF(B205="","","T"&amp;TEXT(ROW()-4,"000"))</f>
        <v/>
      </c>
      <c r="B205" s="86"/>
      <c r="C205" s="52"/>
      <c r="D205" s="86"/>
      <c r="E205" s="52"/>
      <c r="F205" s="86"/>
      <c r="G205" s="86"/>
      <c r="H205" s="91"/>
      <c r="I205" s="52"/>
      <c r="J205" s="89"/>
    </row>
    <row r="206" customFormat="false" ht="19.5" hidden="false" customHeight="true" outlineLevel="0" collapsed="false">
      <c r="A206" s="85" t="str">
        <f aca="false">IF(B206="","","T"&amp;TEXT(ROW()-4,"000"))</f>
        <v/>
      </c>
      <c r="B206" s="86"/>
      <c r="C206" s="52"/>
      <c r="D206" s="86"/>
      <c r="E206" s="52"/>
      <c r="F206" s="86"/>
      <c r="G206" s="86"/>
      <c r="H206" s="91"/>
      <c r="I206" s="52"/>
      <c r="J206" s="89"/>
    </row>
    <row r="207" customFormat="false" ht="19.5" hidden="false" customHeight="true" outlineLevel="0" collapsed="false">
      <c r="A207" s="85" t="str">
        <f aca="false">IF(B207="","","T"&amp;TEXT(ROW()-4,"000"))</f>
        <v/>
      </c>
      <c r="B207" s="86"/>
      <c r="C207" s="52"/>
      <c r="D207" s="86"/>
      <c r="E207" s="52"/>
      <c r="F207" s="86"/>
      <c r="G207" s="86"/>
      <c r="H207" s="91"/>
      <c r="I207" s="52"/>
      <c r="J207" s="89"/>
    </row>
    <row r="208" customFormat="false" ht="19.5" hidden="false" customHeight="true" outlineLevel="0" collapsed="false">
      <c r="A208" s="85" t="str">
        <f aca="false">IF(B208="","","T"&amp;TEXT(ROW()-4,"000"))</f>
        <v/>
      </c>
      <c r="B208" s="86"/>
      <c r="C208" s="52"/>
      <c r="D208" s="86"/>
      <c r="E208" s="52"/>
      <c r="F208" s="86"/>
      <c r="G208" s="86"/>
      <c r="H208" s="91"/>
      <c r="I208" s="52"/>
      <c r="J208" s="89"/>
    </row>
    <row r="209" customFormat="false" ht="19.5" hidden="false" customHeight="true" outlineLevel="0" collapsed="false">
      <c r="A209" s="85" t="str">
        <f aca="false">IF(B209="","","T"&amp;TEXT(ROW()-4,"000"))</f>
        <v/>
      </c>
      <c r="B209" s="86"/>
      <c r="C209" s="52"/>
      <c r="D209" s="86"/>
      <c r="E209" s="52"/>
      <c r="F209" s="86"/>
      <c r="G209" s="86"/>
      <c r="H209" s="91"/>
      <c r="I209" s="52"/>
      <c r="J209" s="89"/>
    </row>
    <row r="210" customFormat="false" ht="19.5" hidden="false" customHeight="true" outlineLevel="0" collapsed="false">
      <c r="A210" s="85" t="str">
        <f aca="false">IF(B210="","","T"&amp;TEXT(ROW()-4,"000"))</f>
        <v/>
      </c>
      <c r="B210" s="86"/>
      <c r="C210" s="52"/>
      <c r="D210" s="86"/>
      <c r="E210" s="52"/>
      <c r="F210" s="86"/>
      <c r="G210" s="86"/>
      <c r="H210" s="91"/>
      <c r="I210" s="52"/>
      <c r="J210" s="89"/>
    </row>
    <row r="211" customFormat="false" ht="19.5" hidden="false" customHeight="true" outlineLevel="0" collapsed="false">
      <c r="A211" s="85" t="str">
        <f aca="false">IF(B211="","","T"&amp;TEXT(ROW()-4,"000"))</f>
        <v/>
      </c>
      <c r="B211" s="86"/>
      <c r="C211" s="52"/>
      <c r="D211" s="86"/>
      <c r="E211" s="52"/>
      <c r="F211" s="86"/>
      <c r="G211" s="86"/>
      <c r="H211" s="91"/>
      <c r="I211" s="52"/>
      <c r="J211" s="89"/>
    </row>
    <row r="212" customFormat="false" ht="19.5" hidden="false" customHeight="true" outlineLevel="0" collapsed="false">
      <c r="A212" s="85" t="str">
        <f aca="false">IF(B212="","","T"&amp;TEXT(ROW()-4,"000"))</f>
        <v/>
      </c>
      <c r="B212" s="86"/>
      <c r="C212" s="52"/>
      <c r="D212" s="86"/>
      <c r="E212" s="52"/>
      <c r="F212" s="86"/>
      <c r="G212" s="86"/>
      <c r="H212" s="91"/>
      <c r="I212" s="52"/>
      <c r="J212" s="89"/>
    </row>
    <row r="213" customFormat="false" ht="19.5" hidden="false" customHeight="true" outlineLevel="0" collapsed="false">
      <c r="A213" s="85" t="str">
        <f aca="false">IF(B213="","","T"&amp;TEXT(ROW()-4,"000"))</f>
        <v/>
      </c>
      <c r="B213" s="86"/>
      <c r="C213" s="52"/>
      <c r="D213" s="86"/>
      <c r="E213" s="52"/>
      <c r="F213" s="86"/>
      <c r="G213" s="86"/>
      <c r="H213" s="91"/>
      <c r="I213" s="52"/>
      <c r="J213" s="89"/>
    </row>
    <row r="214" customFormat="false" ht="19.5" hidden="false" customHeight="true" outlineLevel="0" collapsed="false">
      <c r="A214" s="85" t="str">
        <f aca="false">IF(B214="","","T"&amp;TEXT(ROW()-4,"000"))</f>
        <v/>
      </c>
      <c r="B214" s="86"/>
      <c r="C214" s="52"/>
      <c r="D214" s="86"/>
      <c r="E214" s="52"/>
      <c r="F214" s="86"/>
      <c r="G214" s="86"/>
      <c r="H214" s="91"/>
      <c r="I214" s="52"/>
      <c r="J214" s="89"/>
    </row>
    <row r="215" customFormat="false" ht="19.5" hidden="false" customHeight="true" outlineLevel="0" collapsed="false">
      <c r="A215" s="85" t="str">
        <f aca="false">IF(B215="","","T"&amp;TEXT(ROW()-4,"000"))</f>
        <v/>
      </c>
      <c r="B215" s="86"/>
      <c r="C215" s="52"/>
      <c r="D215" s="86"/>
      <c r="E215" s="52"/>
      <c r="F215" s="86"/>
      <c r="G215" s="86"/>
      <c r="H215" s="91"/>
      <c r="I215" s="52"/>
      <c r="J215" s="89"/>
    </row>
    <row r="216" customFormat="false" ht="19.5" hidden="false" customHeight="true" outlineLevel="0" collapsed="false">
      <c r="A216" s="85" t="str">
        <f aca="false">IF(B216="","","T"&amp;TEXT(ROW()-4,"000"))</f>
        <v/>
      </c>
      <c r="B216" s="86"/>
      <c r="C216" s="52"/>
      <c r="D216" s="86"/>
      <c r="E216" s="52"/>
      <c r="F216" s="86"/>
      <c r="G216" s="86"/>
      <c r="H216" s="91"/>
      <c r="I216" s="52"/>
      <c r="J216" s="89"/>
    </row>
    <row r="217" customFormat="false" ht="19.5" hidden="false" customHeight="true" outlineLevel="0" collapsed="false">
      <c r="A217" s="85" t="str">
        <f aca="false">IF(B217="","","T"&amp;TEXT(ROW()-4,"000"))</f>
        <v/>
      </c>
      <c r="B217" s="86"/>
      <c r="C217" s="52"/>
      <c r="D217" s="86"/>
      <c r="E217" s="52"/>
      <c r="F217" s="86"/>
      <c r="G217" s="86"/>
      <c r="H217" s="91"/>
      <c r="I217" s="52"/>
      <c r="J217" s="89"/>
    </row>
    <row r="218" customFormat="false" ht="19.5" hidden="false" customHeight="true" outlineLevel="0" collapsed="false">
      <c r="A218" s="85" t="str">
        <f aca="false">IF(B218="","","T"&amp;TEXT(ROW()-4,"000"))</f>
        <v/>
      </c>
      <c r="B218" s="86"/>
      <c r="C218" s="52"/>
      <c r="D218" s="86"/>
      <c r="E218" s="52"/>
      <c r="F218" s="86"/>
      <c r="G218" s="86"/>
      <c r="H218" s="91"/>
      <c r="I218" s="52"/>
      <c r="J218" s="89"/>
    </row>
    <row r="219" customFormat="false" ht="19.5" hidden="false" customHeight="true" outlineLevel="0" collapsed="false">
      <c r="A219" s="85" t="str">
        <f aca="false">IF(B219="","","T"&amp;TEXT(ROW()-4,"000"))</f>
        <v/>
      </c>
      <c r="B219" s="86"/>
      <c r="C219" s="52"/>
      <c r="D219" s="86"/>
      <c r="E219" s="52"/>
      <c r="F219" s="86"/>
      <c r="G219" s="86"/>
      <c r="H219" s="91"/>
      <c r="I219" s="52"/>
      <c r="J219" s="89"/>
    </row>
    <row r="220" customFormat="false" ht="19.5" hidden="false" customHeight="true" outlineLevel="0" collapsed="false">
      <c r="A220" s="85" t="str">
        <f aca="false">IF(B220="","","T"&amp;TEXT(ROW()-4,"000"))</f>
        <v/>
      </c>
      <c r="B220" s="86"/>
      <c r="C220" s="52"/>
      <c r="D220" s="86"/>
      <c r="E220" s="52"/>
      <c r="F220" s="86"/>
      <c r="G220" s="86"/>
      <c r="H220" s="91"/>
      <c r="I220" s="52"/>
      <c r="J220" s="89"/>
    </row>
    <row r="221" customFormat="false" ht="19.5" hidden="false" customHeight="true" outlineLevel="0" collapsed="false">
      <c r="A221" s="85" t="str">
        <f aca="false">IF(B221="","","T"&amp;TEXT(ROW()-4,"000"))</f>
        <v/>
      </c>
      <c r="B221" s="86"/>
      <c r="C221" s="52"/>
      <c r="D221" s="86"/>
      <c r="E221" s="52"/>
      <c r="F221" s="86"/>
      <c r="G221" s="86"/>
      <c r="H221" s="91"/>
      <c r="I221" s="52"/>
      <c r="J221" s="89"/>
    </row>
    <row r="222" customFormat="false" ht="19.5" hidden="false" customHeight="true" outlineLevel="0" collapsed="false">
      <c r="A222" s="85" t="str">
        <f aca="false">IF(B222="","","T"&amp;TEXT(ROW()-4,"000"))</f>
        <v/>
      </c>
      <c r="B222" s="86"/>
      <c r="C222" s="52"/>
      <c r="D222" s="86"/>
      <c r="E222" s="52"/>
      <c r="F222" s="86"/>
      <c r="G222" s="86"/>
      <c r="H222" s="91"/>
      <c r="I222" s="52"/>
      <c r="J222" s="89"/>
    </row>
    <row r="223" customFormat="false" ht="19.5" hidden="false" customHeight="true" outlineLevel="0" collapsed="false">
      <c r="A223" s="85" t="str">
        <f aca="false">IF(B223="","","T"&amp;TEXT(ROW()-4,"000"))</f>
        <v/>
      </c>
      <c r="B223" s="86"/>
      <c r="C223" s="52"/>
      <c r="D223" s="86"/>
      <c r="E223" s="52"/>
      <c r="F223" s="86"/>
      <c r="G223" s="86"/>
      <c r="H223" s="91"/>
      <c r="I223" s="52"/>
      <c r="J223" s="89"/>
    </row>
    <row r="224" customFormat="false" ht="19.5" hidden="false" customHeight="true" outlineLevel="0" collapsed="false">
      <c r="A224" s="85" t="str">
        <f aca="false">IF(B224="","","T"&amp;TEXT(ROW()-4,"000"))</f>
        <v/>
      </c>
      <c r="B224" s="86"/>
      <c r="C224" s="52"/>
      <c r="D224" s="86"/>
      <c r="E224" s="52"/>
      <c r="F224" s="86"/>
      <c r="G224" s="86"/>
      <c r="H224" s="91"/>
      <c r="I224" s="52"/>
      <c r="J224" s="89"/>
    </row>
    <row r="225" customFormat="false" ht="19.5" hidden="false" customHeight="true" outlineLevel="0" collapsed="false">
      <c r="A225" s="85" t="str">
        <f aca="false">IF(B225="","","T"&amp;TEXT(ROW()-4,"000"))</f>
        <v/>
      </c>
      <c r="B225" s="86"/>
      <c r="C225" s="52"/>
      <c r="D225" s="86"/>
      <c r="E225" s="52"/>
      <c r="F225" s="86"/>
      <c r="G225" s="86"/>
      <c r="H225" s="91"/>
      <c r="I225" s="52"/>
      <c r="J225" s="89"/>
    </row>
    <row r="226" customFormat="false" ht="19.5" hidden="false" customHeight="true" outlineLevel="0" collapsed="false">
      <c r="A226" s="85" t="str">
        <f aca="false">IF(B226="","","T"&amp;TEXT(ROW()-4,"000"))</f>
        <v/>
      </c>
      <c r="B226" s="86"/>
      <c r="C226" s="52"/>
      <c r="D226" s="86"/>
      <c r="E226" s="52"/>
      <c r="F226" s="86"/>
      <c r="G226" s="86"/>
      <c r="H226" s="91"/>
      <c r="I226" s="52"/>
      <c r="J226" s="89"/>
    </row>
    <row r="227" customFormat="false" ht="19.5" hidden="false" customHeight="true" outlineLevel="0" collapsed="false">
      <c r="A227" s="85" t="str">
        <f aca="false">IF(B227="","","T"&amp;TEXT(ROW()-4,"000"))</f>
        <v/>
      </c>
      <c r="B227" s="86"/>
      <c r="C227" s="52"/>
      <c r="D227" s="86"/>
      <c r="E227" s="52"/>
      <c r="F227" s="86"/>
      <c r="G227" s="86"/>
      <c r="H227" s="91"/>
      <c r="I227" s="52"/>
      <c r="J227" s="89"/>
    </row>
    <row r="228" customFormat="false" ht="19.5" hidden="false" customHeight="true" outlineLevel="0" collapsed="false">
      <c r="A228" s="85" t="str">
        <f aca="false">IF(B228="","","T"&amp;TEXT(ROW()-4,"000"))</f>
        <v/>
      </c>
      <c r="B228" s="86"/>
      <c r="C228" s="52"/>
      <c r="D228" s="86"/>
      <c r="E228" s="52"/>
      <c r="F228" s="86"/>
      <c r="G228" s="86"/>
      <c r="H228" s="91"/>
      <c r="I228" s="52"/>
      <c r="J228" s="89"/>
    </row>
    <row r="229" customFormat="false" ht="19.5" hidden="false" customHeight="true" outlineLevel="0" collapsed="false">
      <c r="A229" s="85" t="str">
        <f aca="false">IF(B229="","","T"&amp;TEXT(ROW()-4,"000"))</f>
        <v/>
      </c>
      <c r="B229" s="86"/>
      <c r="C229" s="52"/>
      <c r="D229" s="86"/>
      <c r="E229" s="52"/>
      <c r="F229" s="86"/>
      <c r="G229" s="86"/>
      <c r="H229" s="91"/>
      <c r="I229" s="52"/>
      <c r="J229" s="89"/>
    </row>
    <row r="230" customFormat="false" ht="19.5" hidden="false" customHeight="true" outlineLevel="0" collapsed="false">
      <c r="A230" s="85" t="str">
        <f aca="false">IF(B230="","","T"&amp;TEXT(ROW()-4,"000"))</f>
        <v/>
      </c>
      <c r="B230" s="86"/>
      <c r="C230" s="52"/>
      <c r="D230" s="86"/>
      <c r="E230" s="52"/>
      <c r="F230" s="86"/>
      <c r="G230" s="86"/>
      <c r="H230" s="91"/>
      <c r="I230" s="52"/>
      <c r="J230" s="89"/>
    </row>
    <row r="231" customFormat="false" ht="19.5" hidden="false" customHeight="true" outlineLevel="0" collapsed="false">
      <c r="A231" s="85" t="str">
        <f aca="false">IF(B231="","","T"&amp;TEXT(ROW()-4,"000"))</f>
        <v/>
      </c>
      <c r="B231" s="86"/>
      <c r="C231" s="52"/>
      <c r="D231" s="86"/>
      <c r="E231" s="52"/>
      <c r="F231" s="86"/>
      <c r="G231" s="86"/>
      <c r="H231" s="91"/>
      <c r="I231" s="52"/>
      <c r="J231" s="89"/>
    </row>
    <row r="232" customFormat="false" ht="19.5" hidden="false" customHeight="true" outlineLevel="0" collapsed="false">
      <c r="A232" s="85" t="str">
        <f aca="false">IF(B232="","","T"&amp;TEXT(ROW()-4,"000"))</f>
        <v/>
      </c>
      <c r="B232" s="86"/>
      <c r="C232" s="52"/>
      <c r="D232" s="86"/>
      <c r="E232" s="52"/>
      <c r="F232" s="86"/>
      <c r="G232" s="86"/>
      <c r="H232" s="91"/>
      <c r="I232" s="52"/>
      <c r="J232" s="89"/>
    </row>
    <row r="233" customFormat="false" ht="19.5" hidden="false" customHeight="true" outlineLevel="0" collapsed="false">
      <c r="A233" s="85" t="str">
        <f aca="false">IF(B233="","","T"&amp;TEXT(ROW()-4,"000"))</f>
        <v/>
      </c>
      <c r="B233" s="86"/>
      <c r="C233" s="52"/>
      <c r="D233" s="86"/>
      <c r="E233" s="52"/>
      <c r="F233" s="86"/>
      <c r="G233" s="86"/>
      <c r="H233" s="91"/>
      <c r="I233" s="52"/>
      <c r="J233" s="89"/>
    </row>
    <row r="234" customFormat="false" ht="19.5" hidden="false" customHeight="true" outlineLevel="0" collapsed="false">
      <c r="A234" s="85" t="str">
        <f aca="false">IF(B234="","","T"&amp;TEXT(ROW()-4,"000"))</f>
        <v/>
      </c>
      <c r="B234" s="86"/>
      <c r="C234" s="52"/>
      <c r="D234" s="86"/>
      <c r="E234" s="52"/>
      <c r="F234" s="86"/>
      <c r="G234" s="86"/>
      <c r="H234" s="91"/>
      <c r="I234" s="52"/>
      <c r="J234" s="89"/>
    </row>
    <row r="235" customFormat="false" ht="19.5" hidden="false" customHeight="true" outlineLevel="0" collapsed="false">
      <c r="A235" s="85" t="str">
        <f aca="false">IF(B235="","","T"&amp;TEXT(ROW()-4,"000"))</f>
        <v/>
      </c>
      <c r="B235" s="86"/>
      <c r="C235" s="52"/>
      <c r="D235" s="86"/>
      <c r="E235" s="52"/>
      <c r="F235" s="86"/>
      <c r="G235" s="86"/>
      <c r="H235" s="91"/>
      <c r="I235" s="52"/>
      <c r="J235" s="89"/>
    </row>
    <row r="236" customFormat="false" ht="19.5" hidden="false" customHeight="true" outlineLevel="0" collapsed="false">
      <c r="A236" s="85" t="str">
        <f aca="false">IF(B236="","","T"&amp;TEXT(ROW()-4,"000"))</f>
        <v/>
      </c>
      <c r="B236" s="86"/>
      <c r="C236" s="52"/>
      <c r="D236" s="86"/>
      <c r="E236" s="52"/>
      <c r="F236" s="86"/>
      <c r="G236" s="86"/>
      <c r="H236" s="91"/>
      <c r="I236" s="52"/>
      <c r="J236" s="89"/>
    </row>
    <row r="237" customFormat="false" ht="19.5" hidden="false" customHeight="true" outlineLevel="0" collapsed="false">
      <c r="A237" s="85" t="str">
        <f aca="false">IF(B237="","","T"&amp;TEXT(ROW()-4,"000"))</f>
        <v/>
      </c>
      <c r="B237" s="86"/>
      <c r="C237" s="52"/>
      <c r="D237" s="86"/>
      <c r="E237" s="52"/>
      <c r="F237" s="86"/>
      <c r="G237" s="86"/>
      <c r="H237" s="91"/>
      <c r="I237" s="52"/>
      <c r="J237" s="89"/>
    </row>
    <row r="238" customFormat="false" ht="19.5" hidden="false" customHeight="true" outlineLevel="0" collapsed="false">
      <c r="A238" s="85" t="str">
        <f aca="false">IF(B238="","","T"&amp;TEXT(ROW()-4,"000"))</f>
        <v/>
      </c>
      <c r="B238" s="86"/>
      <c r="C238" s="52"/>
      <c r="D238" s="86"/>
      <c r="E238" s="52"/>
      <c r="F238" s="86"/>
      <c r="G238" s="86"/>
      <c r="H238" s="91"/>
      <c r="I238" s="52"/>
      <c r="J238" s="89"/>
    </row>
    <row r="239" customFormat="false" ht="19.5" hidden="false" customHeight="true" outlineLevel="0" collapsed="false">
      <c r="A239" s="85" t="str">
        <f aca="false">IF(B239="","","T"&amp;TEXT(ROW()-4,"000"))</f>
        <v/>
      </c>
      <c r="B239" s="86"/>
      <c r="C239" s="52"/>
      <c r="D239" s="86"/>
      <c r="E239" s="52"/>
      <c r="F239" s="86"/>
      <c r="G239" s="86"/>
      <c r="H239" s="91"/>
      <c r="I239" s="52"/>
      <c r="J239" s="89"/>
    </row>
    <row r="240" customFormat="false" ht="19.5" hidden="false" customHeight="true" outlineLevel="0" collapsed="false">
      <c r="A240" s="85" t="str">
        <f aca="false">IF(B240="","","T"&amp;TEXT(ROW()-4,"000"))</f>
        <v/>
      </c>
      <c r="B240" s="86"/>
      <c r="C240" s="52"/>
      <c r="D240" s="86"/>
      <c r="E240" s="52"/>
      <c r="F240" s="86"/>
      <c r="G240" s="86"/>
      <c r="H240" s="91"/>
      <c r="I240" s="52"/>
      <c r="J240" s="89"/>
    </row>
    <row r="241" customFormat="false" ht="19.5" hidden="false" customHeight="true" outlineLevel="0" collapsed="false">
      <c r="A241" s="85" t="str">
        <f aca="false">IF(B241="","","T"&amp;TEXT(ROW()-4,"000"))</f>
        <v/>
      </c>
      <c r="B241" s="86"/>
      <c r="C241" s="52"/>
      <c r="D241" s="86"/>
      <c r="E241" s="52"/>
      <c r="F241" s="86"/>
      <c r="G241" s="86"/>
      <c r="H241" s="91"/>
      <c r="I241" s="52"/>
      <c r="J241" s="89"/>
    </row>
    <row r="242" customFormat="false" ht="19.5" hidden="false" customHeight="true" outlineLevel="0" collapsed="false">
      <c r="A242" s="85" t="str">
        <f aca="false">IF(B242="","","T"&amp;TEXT(ROW()-4,"000"))</f>
        <v/>
      </c>
      <c r="B242" s="86"/>
      <c r="C242" s="52"/>
      <c r="D242" s="86"/>
      <c r="E242" s="52"/>
      <c r="F242" s="86"/>
      <c r="G242" s="86"/>
      <c r="H242" s="91"/>
      <c r="I242" s="52"/>
      <c r="J242" s="89"/>
    </row>
    <row r="243" customFormat="false" ht="19.5" hidden="false" customHeight="true" outlineLevel="0" collapsed="false">
      <c r="A243" s="85" t="str">
        <f aca="false">IF(B243="","","T"&amp;TEXT(ROW()-4,"000"))</f>
        <v/>
      </c>
      <c r="B243" s="86"/>
      <c r="C243" s="52"/>
      <c r="D243" s="86"/>
      <c r="E243" s="52"/>
      <c r="F243" s="86"/>
      <c r="G243" s="86"/>
      <c r="H243" s="91"/>
      <c r="I243" s="52"/>
      <c r="J243" s="89"/>
    </row>
    <row r="244" customFormat="false" ht="19.5" hidden="false" customHeight="true" outlineLevel="0" collapsed="false">
      <c r="A244" s="85" t="str">
        <f aca="false">IF(B244="","","T"&amp;TEXT(ROW()-4,"000"))</f>
        <v/>
      </c>
      <c r="B244" s="86"/>
      <c r="C244" s="52"/>
      <c r="D244" s="86"/>
      <c r="E244" s="52"/>
      <c r="F244" s="86"/>
      <c r="G244" s="86"/>
      <c r="H244" s="91"/>
      <c r="I244" s="52"/>
      <c r="J244" s="89"/>
    </row>
    <row r="245" customFormat="false" ht="19.5" hidden="false" customHeight="true" outlineLevel="0" collapsed="false">
      <c r="A245" s="85" t="str">
        <f aca="false">IF(B245="","","T"&amp;TEXT(ROW()-4,"000"))</f>
        <v/>
      </c>
      <c r="B245" s="86"/>
      <c r="C245" s="52"/>
      <c r="D245" s="86"/>
      <c r="E245" s="52"/>
      <c r="F245" s="86"/>
      <c r="G245" s="86"/>
      <c r="H245" s="91"/>
      <c r="I245" s="52"/>
      <c r="J245" s="89"/>
    </row>
    <row r="246" customFormat="false" ht="19.5" hidden="false" customHeight="true" outlineLevel="0" collapsed="false">
      <c r="A246" s="85" t="str">
        <f aca="false">IF(B246="","","T"&amp;TEXT(ROW()-4,"000"))</f>
        <v/>
      </c>
      <c r="B246" s="86"/>
      <c r="C246" s="52"/>
      <c r="D246" s="86"/>
      <c r="E246" s="52"/>
      <c r="F246" s="86"/>
      <c r="G246" s="86"/>
      <c r="H246" s="91"/>
      <c r="I246" s="52"/>
      <c r="J246" s="89"/>
    </row>
    <row r="247" customFormat="false" ht="19.5" hidden="false" customHeight="true" outlineLevel="0" collapsed="false">
      <c r="A247" s="85" t="str">
        <f aca="false">IF(B247="","","T"&amp;TEXT(ROW()-4,"000"))</f>
        <v/>
      </c>
      <c r="B247" s="86"/>
      <c r="C247" s="52"/>
      <c r="D247" s="86"/>
      <c r="E247" s="52"/>
      <c r="F247" s="86"/>
      <c r="G247" s="86"/>
      <c r="H247" s="91"/>
      <c r="I247" s="52"/>
      <c r="J247" s="89"/>
    </row>
    <row r="248" customFormat="false" ht="19.5" hidden="false" customHeight="true" outlineLevel="0" collapsed="false">
      <c r="A248" s="85" t="str">
        <f aca="false">IF(B248="","","T"&amp;TEXT(ROW()-4,"000"))</f>
        <v/>
      </c>
      <c r="B248" s="86"/>
      <c r="C248" s="52"/>
      <c r="D248" s="86"/>
      <c r="E248" s="52"/>
      <c r="F248" s="86"/>
      <c r="G248" s="86"/>
      <c r="H248" s="91"/>
      <c r="I248" s="52"/>
      <c r="J248" s="89"/>
    </row>
    <row r="249" customFormat="false" ht="19.5" hidden="false" customHeight="true" outlineLevel="0" collapsed="false">
      <c r="A249" s="85" t="str">
        <f aca="false">IF(B249="","","T"&amp;TEXT(ROW()-4,"000"))</f>
        <v/>
      </c>
      <c r="B249" s="86"/>
      <c r="C249" s="52"/>
      <c r="D249" s="86"/>
      <c r="E249" s="52"/>
      <c r="F249" s="86"/>
      <c r="G249" s="86"/>
      <c r="H249" s="91"/>
      <c r="I249" s="52"/>
      <c r="J249" s="89"/>
    </row>
    <row r="250" customFormat="false" ht="19.5" hidden="false" customHeight="true" outlineLevel="0" collapsed="false">
      <c r="A250" s="85" t="str">
        <f aca="false">IF(B250="","","T"&amp;TEXT(ROW()-4,"000"))</f>
        <v/>
      </c>
      <c r="B250" s="86"/>
      <c r="C250" s="52"/>
      <c r="D250" s="86"/>
      <c r="E250" s="52"/>
      <c r="F250" s="86"/>
      <c r="G250" s="86"/>
      <c r="H250" s="91"/>
      <c r="I250" s="52"/>
      <c r="J250" s="89"/>
    </row>
    <row r="251" customFormat="false" ht="19.5" hidden="false" customHeight="true" outlineLevel="0" collapsed="false">
      <c r="A251" s="85" t="str">
        <f aca="false">IF(B251="","","T"&amp;TEXT(ROW()-4,"000"))</f>
        <v/>
      </c>
      <c r="B251" s="86"/>
      <c r="C251" s="52"/>
      <c r="D251" s="86"/>
      <c r="E251" s="52"/>
      <c r="F251" s="86"/>
      <c r="G251" s="86"/>
      <c r="H251" s="91"/>
      <c r="I251" s="52"/>
      <c r="J251" s="89"/>
    </row>
    <row r="252" customFormat="false" ht="19.5" hidden="false" customHeight="true" outlineLevel="0" collapsed="false">
      <c r="A252" s="85" t="str">
        <f aca="false">IF(B252="","","T"&amp;TEXT(ROW()-4,"000"))</f>
        <v/>
      </c>
      <c r="B252" s="86"/>
      <c r="C252" s="52"/>
      <c r="D252" s="86"/>
      <c r="E252" s="52"/>
      <c r="F252" s="86"/>
      <c r="G252" s="86"/>
      <c r="H252" s="91"/>
      <c r="I252" s="52"/>
      <c r="J252" s="89"/>
    </row>
    <row r="253" customFormat="false" ht="19.5" hidden="false" customHeight="true" outlineLevel="0" collapsed="false">
      <c r="A253" s="85" t="str">
        <f aca="false">IF(B253="","","T"&amp;TEXT(ROW()-4,"000"))</f>
        <v/>
      </c>
      <c r="B253" s="86"/>
      <c r="C253" s="52"/>
      <c r="D253" s="86"/>
      <c r="E253" s="52"/>
      <c r="F253" s="86"/>
      <c r="G253" s="86"/>
      <c r="H253" s="91"/>
      <c r="I253" s="52"/>
      <c r="J253" s="89"/>
    </row>
    <row r="254" customFormat="false" ht="19.5" hidden="false" customHeight="true" outlineLevel="0" collapsed="false">
      <c r="A254" s="85" t="str">
        <f aca="false">IF(B254="","","T"&amp;TEXT(ROW()-4,"000"))</f>
        <v/>
      </c>
      <c r="B254" s="86"/>
      <c r="C254" s="52"/>
      <c r="D254" s="86"/>
      <c r="E254" s="52"/>
      <c r="F254" s="86"/>
      <c r="G254" s="86"/>
      <c r="H254" s="91"/>
      <c r="I254" s="52"/>
      <c r="J254" s="89"/>
    </row>
    <row r="255" customFormat="false" ht="19.5" hidden="false" customHeight="true" outlineLevel="0" collapsed="false">
      <c r="A255" s="85" t="str">
        <f aca="false">IF(B255="","","T"&amp;TEXT(ROW()-4,"000"))</f>
        <v/>
      </c>
      <c r="B255" s="86"/>
      <c r="C255" s="52"/>
      <c r="D255" s="86"/>
      <c r="E255" s="52"/>
      <c r="F255" s="86"/>
      <c r="G255" s="86"/>
      <c r="H255" s="91"/>
      <c r="I255" s="52"/>
      <c r="J255" s="89"/>
    </row>
    <row r="256" customFormat="false" ht="19.5" hidden="false" customHeight="true" outlineLevel="0" collapsed="false">
      <c r="A256" s="85" t="str">
        <f aca="false">IF(B256="","","T"&amp;TEXT(ROW()-4,"000"))</f>
        <v/>
      </c>
      <c r="B256" s="86"/>
      <c r="C256" s="52"/>
      <c r="D256" s="86"/>
      <c r="E256" s="52"/>
      <c r="F256" s="86"/>
      <c r="G256" s="86"/>
      <c r="H256" s="91"/>
      <c r="I256" s="52"/>
      <c r="J256" s="89"/>
    </row>
    <row r="257" customFormat="false" ht="19.5" hidden="false" customHeight="true" outlineLevel="0" collapsed="false">
      <c r="A257" s="85" t="str">
        <f aca="false">IF(B257="","","T"&amp;TEXT(ROW()-4,"000"))</f>
        <v/>
      </c>
      <c r="B257" s="86"/>
      <c r="C257" s="52"/>
      <c r="D257" s="86"/>
      <c r="E257" s="52"/>
      <c r="F257" s="86"/>
      <c r="G257" s="86"/>
      <c r="H257" s="91"/>
      <c r="I257" s="52"/>
      <c r="J257" s="89"/>
    </row>
    <row r="258" customFormat="false" ht="19.5" hidden="false" customHeight="true" outlineLevel="0" collapsed="false">
      <c r="A258" s="85" t="str">
        <f aca="false">IF(B258="","","T"&amp;TEXT(ROW()-4,"000"))</f>
        <v/>
      </c>
      <c r="B258" s="86"/>
      <c r="C258" s="52"/>
      <c r="D258" s="86"/>
      <c r="E258" s="52"/>
      <c r="F258" s="86"/>
      <c r="G258" s="86"/>
      <c r="H258" s="91"/>
      <c r="I258" s="52"/>
      <c r="J258" s="89"/>
    </row>
    <row r="259" customFormat="false" ht="19.5" hidden="false" customHeight="true" outlineLevel="0" collapsed="false">
      <c r="A259" s="85" t="str">
        <f aca="false">IF(B259="","","T"&amp;TEXT(ROW()-4,"000"))</f>
        <v/>
      </c>
      <c r="B259" s="86"/>
      <c r="C259" s="52"/>
      <c r="D259" s="86"/>
      <c r="E259" s="52"/>
      <c r="F259" s="86"/>
      <c r="G259" s="86"/>
      <c r="H259" s="91"/>
      <c r="I259" s="52"/>
      <c r="J259" s="89"/>
    </row>
    <row r="260" customFormat="false" ht="19.5" hidden="false" customHeight="true" outlineLevel="0" collapsed="false">
      <c r="A260" s="85" t="str">
        <f aca="false">IF(B260="","","T"&amp;TEXT(ROW()-4,"000"))</f>
        <v/>
      </c>
      <c r="B260" s="86"/>
      <c r="C260" s="52"/>
      <c r="D260" s="86"/>
      <c r="E260" s="52"/>
      <c r="F260" s="86"/>
      <c r="G260" s="86"/>
      <c r="H260" s="91"/>
      <c r="I260" s="52"/>
      <c r="J260" s="89"/>
    </row>
    <row r="261" customFormat="false" ht="19.5" hidden="false" customHeight="true" outlineLevel="0" collapsed="false">
      <c r="A261" s="85" t="str">
        <f aca="false">IF(B261="","","T"&amp;TEXT(ROW()-4,"000"))</f>
        <v/>
      </c>
      <c r="B261" s="86"/>
      <c r="C261" s="52"/>
      <c r="D261" s="86"/>
      <c r="E261" s="52"/>
      <c r="F261" s="86"/>
      <c r="G261" s="86"/>
      <c r="H261" s="91"/>
      <c r="I261" s="52"/>
      <c r="J261" s="89"/>
    </row>
    <row r="262" customFormat="false" ht="19.5" hidden="false" customHeight="true" outlineLevel="0" collapsed="false">
      <c r="A262" s="85" t="str">
        <f aca="false">IF(B262="","","T"&amp;TEXT(ROW()-4,"000"))</f>
        <v/>
      </c>
      <c r="B262" s="86"/>
      <c r="C262" s="52"/>
      <c r="D262" s="86"/>
      <c r="E262" s="52"/>
      <c r="F262" s="86"/>
      <c r="G262" s="86"/>
      <c r="H262" s="91"/>
      <c r="I262" s="52"/>
      <c r="J262" s="89"/>
    </row>
    <row r="263" customFormat="false" ht="19.5" hidden="false" customHeight="true" outlineLevel="0" collapsed="false">
      <c r="A263" s="85" t="str">
        <f aca="false">IF(B263="","","T"&amp;TEXT(ROW()-4,"000"))</f>
        <v/>
      </c>
      <c r="B263" s="86"/>
      <c r="C263" s="52"/>
      <c r="D263" s="86"/>
      <c r="E263" s="52"/>
      <c r="F263" s="86"/>
      <c r="G263" s="86"/>
      <c r="H263" s="91"/>
      <c r="I263" s="52"/>
      <c r="J263" s="89"/>
    </row>
    <row r="264" customFormat="false" ht="19.5" hidden="false" customHeight="true" outlineLevel="0" collapsed="false">
      <c r="A264" s="85" t="str">
        <f aca="false">IF(B264="","","T"&amp;TEXT(ROW()-4,"000"))</f>
        <v/>
      </c>
      <c r="B264" s="86"/>
      <c r="C264" s="52"/>
      <c r="D264" s="86"/>
      <c r="E264" s="52"/>
      <c r="F264" s="86"/>
      <c r="G264" s="86"/>
      <c r="H264" s="91"/>
      <c r="I264" s="52"/>
      <c r="J264" s="89"/>
    </row>
    <row r="265" customFormat="false" ht="19.5" hidden="false" customHeight="true" outlineLevel="0" collapsed="false">
      <c r="A265" s="85" t="str">
        <f aca="false">IF(B265="","","T"&amp;TEXT(ROW()-4,"000"))</f>
        <v/>
      </c>
      <c r="B265" s="86"/>
      <c r="C265" s="52"/>
      <c r="D265" s="86"/>
      <c r="E265" s="52"/>
      <c r="F265" s="86"/>
      <c r="G265" s="86"/>
      <c r="H265" s="91"/>
      <c r="I265" s="52"/>
      <c r="J265" s="89"/>
    </row>
    <row r="266" customFormat="false" ht="19.5" hidden="false" customHeight="true" outlineLevel="0" collapsed="false">
      <c r="A266" s="85" t="str">
        <f aca="false">IF(B266="","","T"&amp;TEXT(ROW()-4,"000"))</f>
        <v/>
      </c>
      <c r="B266" s="86"/>
      <c r="C266" s="52"/>
      <c r="D266" s="86"/>
      <c r="E266" s="52"/>
      <c r="F266" s="86"/>
      <c r="G266" s="86"/>
      <c r="H266" s="91"/>
      <c r="I266" s="52"/>
      <c r="J266" s="89"/>
    </row>
    <row r="267" customFormat="false" ht="19.5" hidden="false" customHeight="true" outlineLevel="0" collapsed="false">
      <c r="A267" s="85" t="str">
        <f aca="false">IF(B267="","","T"&amp;TEXT(ROW()-4,"000"))</f>
        <v/>
      </c>
      <c r="B267" s="86"/>
      <c r="C267" s="52"/>
      <c r="D267" s="86"/>
      <c r="E267" s="52"/>
      <c r="F267" s="86"/>
      <c r="G267" s="86"/>
      <c r="H267" s="91"/>
      <c r="I267" s="52"/>
      <c r="J267" s="89"/>
    </row>
    <row r="268" customFormat="false" ht="19.5" hidden="false" customHeight="true" outlineLevel="0" collapsed="false">
      <c r="A268" s="85" t="str">
        <f aca="false">IF(B268="","","T"&amp;TEXT(ROW()-4,"000"))</f>
        <v/>
      </c>
      <c r="B268" s="86"/>
      <c r="C268" s="52"/>
      <c r="D268" s="86"/>
      <c r="E268" s="52"/>
      <c r="F268" s="86"/>
      <c r="G268" s="86"/>
      <c r="H268" s="91"/>
      <c r="I268" s="52"/>
      <c r="J268" s="89"/>
    </row>
    <row r="269" customFormat="false" ht="19.5" hidden="false" customHeight="true" outlineLevel="0" collapsed="false">
      <c r="A269" s="85" t="str">
        <f aca="false">IF(B269="","","T"&amp;TEXT(ROW()-4,"000"))</f>
        <v/>
      </c>
      <c r="B269" s="86"/>
      <c r="C269" s="52"/>
      <c r="D269" s="86"/>
      <c r="E269" s="52"/>
      <c r="F269" s="86"/>
      <c r="G269" s="86"/>
      <c r="H269" s="91"/>
      <c r="I269" s="52"/>
      <c r="J269" s="89"/>
    </row>
    <row r="270" customFormat="false" ht="19.5" hidden="false" customHeight="true" outlineLevel="0" collapsed="false">
      <c r="A270" s="85" t="str">
        <f aca="false">IF(B270="","","T"&amp;TEXT(ROW()-4,"000"))</f>
        <v/>
      </c>
      <c r="B270" s="86"/>
      <c r="C270" s="52"/>
      <c r="D270" s="86"/>
      <c r="E270" s="52"/>
      <c r="F270" s="86"/>
      <c r="G270" s="86"/>
      <c r="H270" s="91"/>
      <c r="I270" s="52"/>
      <c r="J270" s="89"/>
    </row>
    <row r="271" customFormat="false" ht="19.5" hidden="false" customHeight="true" outlineLevel="0" collapsed="false">
      <c r="A271" s="85" t="str">
        <f aca="false">IF(B271="","","T"&amp;TEXT(ROW()-4,"000"))</f>
        <v/>
      </c>
      <c r="B271" s="86"/>
      <c r="C271" s="52"/>
      <c r="D271" s="86"/>
      <c r="E271" s="52"/>
      <c r="F271" s="86"/>
      <c r="G271" s="86"/>
      <c r="H271" s="91"/>
      <c r="I271" s="52"/>
      <c r="J271" s="89"/>
    </row>
    <row r="272" customFormat="false" ht="19.5" hidden="false" customHeight="true" outlineLevel="0" collapsed="false">
      <c r="A272" s="85" t="str">
        <f aca="false">IF(B272="","","T"&amp;TEXT(ROW()-4,"000"))</f>
        <v/>
      </c>
      <c r="B272" s="86"/>
      <c r="C272" s="52"/>
      <c r="D272" s="86"/>
      <c r="E272" s="52"/>
      <c r="F272" s="86"/>
      <c r="G272" s="86"/>
      <c r="H272" s="91"/>
      <c r="I272" s="52"/>
      <c r="J272" s="89"/>
    </row>
    <row r="273" customFormat="false" ht="19.5" hidden="false" customHeight="true" outlineLevel="0" collapsed="false">
      <c r="A273" s="85" t="str">
        <f aca="false">IF(B273="","","T"&amp;TEXT(ROW()-4,"000"))</f>
        <v/>
      </c>
      <c r="B273" s="86"/>
      <c r="C273" s="52"/>
      <c r="D273" s="86"/>
      <c r="E273" s="52"/>
      <c r="F273" s="86"/>
      <c r="G273" s="86"/>
      <c r="H273" s="91"/>
      <c r="I273" s="52"/>
      <c r="J273" s="89"/>
    </row>
    <row r="274" customFormat="false" ht="19.5" hidden="false" customHeight="true" outlineLevel="0" collapsed="false">
      <c r="A274" s="85" t="str">
        <f aca="false">IF(B274="","","T"&amp;TEXT(ROW()-4,"000"))</f>
        <v/>
      </c>
      <c r="B274" s="86"/>
      <c r="C274" s="52"/>
      <c r="D274" s="86"/>
      <c r="E274" s="52"/>
      <c r="F274" s="86"/>
      <c r="G274" s="86"/>
      <c r="H274" s="91"/>
      <c r="I274" s="52"/>
      <c r="J274" s="89"/>
    </row>
    <row r="275" customFormat="false" ht="19.5" hidden="false" customHeight="true" outlineLevel="0" collapsed="false">
      <c r="A275" s="85" t="str">
        <f aca="false">IF(B275="","","T"&amp;TEXT(ROW()-4,"000"))</f>
        <v/>
      </c>
      <c r="B275" s="86"/>
      <c r="C275" s="52"/>
      <c r="D275" s="86"/>
      <c r="E275" s="52"/>
      <c r="F275" s="86"/>
      <c r="G275" s="86"/>
      <c r="H275" s="91"/>
      <c r="I275" s="52"/>
      <c r="J275" s="89"/>
    </row>
    <row r="276" customFormat="false" ht="19.5" hidden="false" customHeight="true" outlineLevel="0" collapsed="false">
      <c r="A276" s="85" t="str">
        <f aca="false">IF(B276="","","T"&amp;TEXT(ROW()-4,"000"))</f>
        <v/>
      </c>
      <c r="B276" s="86"/>
      <c r="C276" s="52"/>
      <c r="D276" s="86"/>
      <c r="E276" s="52"/>
      <c r="F276" s="86"/>
      <c r="G276" s="86"/>
      <c r="H276" s="91"/>
      <c r="I276" s="52"/>
      <c r="J276" s="89"/>
    </row>
    <row r="277" customFormat="false" ht="19.5" hidden="false" customHeight="true" outlineLevel="0" collapsed="false">
      <c r="A277" s="85" t="str">
        <f aca="false">IF(B277="","","T"&amp;TEXT(ROW()-4,"000"))</f>
        <v/>
      </c>
      <c r="B277" s="86"/>
      <c r="C277" s="52"/>
      <c r="D277" s="86"/>
      <c r="E277" s="52"/>
      <c r="F277" s="86"/>
      <c r="G277" s="86"/>
      <c r="H277" s="91"/>
      <c r="I277" s="52"/>
      <c r="J277" s="89"/>
    </row>
    <row r="278" customFormat="false" ht="19.5" hidden="false" customHeight="true" outlineLevel="0" collapsed="false">
      <c r="A278" s="85" t="str">
        <f aca="false">IF(B278="","","T"&amp;TEXT(ROW()-4,"000"))</f>
        <v/>
      </c>
      <c r="B278" s="86"/>
      <c r="C278" s="52"/>
      <c r="D278" s="86"/>
      <c r="E278" s="52"/>
      <c r="F278" s="86"/>
      <c r="G278" s="86"/>
      <c r="H278" s="91"/>
      <c r="I278" s="52"/>
      <c r="J278" s="89"/>
    </row>
    <row r="279" customFormat="false" ht="19.5" hidden="false" customHeight="true" outlineLevel="0" collapsed="false">
      <c r="A279" s="85" t="str">
        <f aca="false">IF(B279="","","T"&amp;TEXT(ROW()-4,"000"))</f>
        <v/>
      </c>
      <c r="B279" s="86"/>
      <c r="C279" s="52"/>
      <c r="D279" s="86"/>
      <c r="E279" s="52"/>
      <c r="F279" s="86"/>
      <c r="G279" s="86"/>
      <c r="H279" s="91"/>
      <c r="I279" s="52"/>
      <c r="J279" s="89"/>
    </row>
    <row r="280" customFormat="false" ht="19.5" hidden="false" customHeight="true" outlineLevel="0" collapsed="false">
      <c r="A280" s="85" t="str">
        <f aca="false">IF(B280="","","T"&amp;TEXT(ROW()-4,"000"))</f>
        <v/>
      </c>
      <c r="B280" s="86"/>
      <c r="C280" s="52"/>
      <c r="D280" s="86"/>
      <c r="E280" s="52"/>
      <c r="F280" s="86"/>
      <c r="G280" s="86"/>
      <c r="H280" s="91"/>
      <c r="I280" s="52"/>
      <c r="J280" s="89"/>
    </row>
    <row r="281" customFormat="false" ht="19.5" hidden="false" customHeight="true" outlineLevel="0" collapsed="false">
      <c r="A281" s="85" t="str">
        <f aca="false">IF(B281="","","T"&amp;TEXT(ROW()-4,"000"))</f>
        <v/>
      </c>
      <c r="B281" s="86"/>
      <c r="C281" s="52"/>
      <c r="D281" s="86"/>
      <c r="E281" s="52"/>
      <c r="F281" s="86"/>
      <c r="G281" s="86"/>
      <c r="H281" s="91"/>
      <c r="I281" s="52"/>
      <c r="J281" s="89"/>
    </row>
    <row r="282" customFormat="false" ht="19.5" hidden="false" customHeight="true" outlineLevel="0" collapsed="false">
      <c r="A282" s="85" t="str">
        <f aca="false">IF(B282="","","T"&amp;TEXT(ROW()-4,"000"))</f>
        <v/>
      </c>
      <c r="B282" s="86"/>
      <c r="C282" s="52"/>
      <c r="D282" s="86"/>
      <c r="E282" s="52"/>
      <c r="F282" s="86"/>
      <c r="G282" s="86"/>
      <c r="H282" s="91"/>
      <c r="I282" s="52"/>
      <c r="J282" s="89"/>
    </row>
    <row r="283" customFormat="false" ht="19.5" hidden="false" customHeight="true" outlineLevel="0" collapsed="false">
      <c r="A283" s="85" t="str">
        <f aca="false">IF(B283="","","T"&amp;TEXT(ROW()-4,"000"))</f>
        <v/>
      </c>
      <c r="B283" s="86"/>
      <c r="C283" s="52"/>
      <c r="D283" s="86"/>
      <c r="E283" s="52"/>
      <c r="F283" s="86"/>
      <c r="G283" s="86"/>
      <c r="H283" s="91"/>
      <c r="I283" s="52"/>
      <c r="J283" s="89"/>
    </row>
    <row r="284" customFormat="false" ht="19.5" hidden="false" customHeight="true" outlineLevel="0" collapsed="false">
      <c r="A284" s="85" t="str">
        <f aca="false">IF(B284="","","T"&amp;TEXT(ROW()-4,"000"))</f>
        <v/>
      </c>
      <c r="B284" s="86"/>
      <c r="C284" s="52"/>
      <c r="D284" s="86"/>
      <c r="E284" s="52"/>
      <c r="F284" s="86"/>
      <c r="G284" s="86"/>
      <c r="H284" s="91"/>
      <c r="I284" s="52"/>
      <c r="J284" s="89"/>
    </row>
    <row r="285" customFormat="false" ht="19.5" hidden="false" customHeight="true" outlineLevel="0" collapsed="false">
      <c r="A285" s="85" t="str">
        <f aca="false">IF(B285="","","T"&amp;TEXT(ROW()-4,"000"))</f>
        <v/>
      </c>
      <c r="B285" s="86"/>
      <c r="C285" s="52"/>
      <c r="D285" s="86"/>
      <c r="E285" s="52"/>
      <c r="F285" s="86"/>
      <c r="G285" s="86"/>
      <c r="H285" s="91"/>
      <c r="I285" s="52"/>
      <c r="J285" s="89"/>
    </row>
    <row r="286" customFormat="false" ht="19.5" hidden="false" customHeight="true" outlineLevel="0" collapsed="false">
      <c r="A286" s="85" t="str">
        <f aca="false">IF(B286="","","T"&amp;TEXT(ROW()-4,"000"))</f>
        <v/>
      </c>
      <c r="B286" s="86"/>
      <c r="C286" s="52"/>
      <c r="D286" s="86"/>
      <c r="E286" s="52"/>
      <c r="F286" s="86"/>
      <c r="G286" s="86"/>
      <c r="H286" s="91"/>
      <c r="I286" s="52"/>
      <c r="J286" s="89"/>
    </row>
    <row r="287" customFormat="false" ht="19.5" hidden="false" customHeight="true" outlineLevel="0" collapsed="false">
      <c r="A287" s="85" t="str">
        <f aca="false">IF(B287="","","T"&amp;TEXT(ROW()-4,"000"))</f>
        <v/>
      </c>
      <c r="B287" s="86"/>
      <c r="C287" s="52"/>
      <c r="D287" s="86"/>
      <c r="E287" s="52"/>
      <c r="F287" s="86"/>
      <c r="G287" s="86"/>
      <c r="H287" s="91"/>
      <c r="I287" s="52"/>
      <c r="J287" s="89"/>
    </row>
    <row r="288" customFormat="false" ht="19.5" hidden="false" customHeight="true" outlineLevel="0" collapsed="false">
      <c r="A288" s="85" t="str">
        <f aca="false">IF(B288="","","T"&amp;TEXT(ROW()-4,"000"))</f>
        <v/>
      </c>
      <c r="B288" s="86"/>
      <c r="C288" s="52"/>
      <c r="D288" s="86"/>
      <c r="E288" s="52"/>
      <c r="F288" s="86"/>
      <c r="G288" s="86"/>
      <c r="H288" s="91"/>
      <c r="I288" s="52"/>
      <c r="J288" s="89"/>
    </row>
    <row r="289" customFormat="false" ht="19.5" hidden="false" customHeight="true" outlineLevel="0" collapsed="false">
      <c r="A289" s="85" t="str">
        <f aca="false">IF(B289="","","T"&amp;TEXT(ROW()-4,"000"))</f>
        <v/>
      </c>
      <c r="B289" s="86"/>
      <c r="C289" s="52"/>
      <c r="D289" s="86"/>
      <c r="E289" s="52"/>
      <c r="F289" s="86"/>
      <c r="G289" s="86"/>
      <c r="H289" s="91"/>
      <c r="I289" s="52"/>
      <c r="J289" s="89"/>
    </row>
    <row r="290" customFormat="false" ht="19.5" hidden="false" customHeight="true" outlineLevel="0" collapsed="false">
      <c r="A290" s="85" t="str">
        <f aca="false">IF(B290="","","T"&amp;TEXT(ROW()-4,"000"))</f>
        <v/>
      </c>
      <c r="B290" s="86"/>
      <c r="C290" s="52"/>
      <c r="D290" s="86"/>
      <c r="E290" s="52"/>
      <c r="F290" s="86"/>
      <c r="G290" s="86"/>
      <c r="H290" s="91"/>
      <c r="I290" s="52"/>
      <c r="J290" s="89"/>
    </row>
    <row r="291" customFormat="false" ht="19.5" hidden="false" customHeight="true" outlineLevel="0" collapsed="false">
      <c r="A291" s="85" t="str">
        <f aca="false">IF(B291="","","T"&amp;TEXT(ROW()-4,"000"))</f>
        <v/>
      </c>
      <c r="B291" s="86"/>
      <c r="C291" s="52"/>
      <c r="D291" s="86"/>
      <c r="E291" s="52"/>
      <c r="F291" s="86"/>
      <c r="G291" s="86"/>
      <c r="H291" s="91"/>
      <c r="I291" s="52"/>
      <c r="J291" s="89"/>
    </row>
    <row r="292" customFormat="false" ht="19.5" hidden="false" customHeight="true" outlineLevel="0" collapsed="false">
      <c r="A292" s="85" t="str">
        <f aca="false">IF(B292="","","T"&amp;TEXT(ROW()-4,"000"))</f>
        <v/>
      </c>
      <c r="B292" s="86"/>
      <c r="C292" s="52"/>
      <c r="D292" s="86"/>
      <c r="E292" s="52"/>
      <c r="F292" s="86"/>
      <c r="G292" s="86"/>
      <c r="H292" s="91"/>
      <c r="I292" s="52"/>
      <c r="J292" s="89"/>
    </row>
    <row r="293" customFormat="false" ht="19.5" hidden="false" customHeight="true" outlineLevel="0" collapsed="false">
      <c r="A293" s="85" t="str">
        <f aca="false">IF(B293="","","T"&amp;TEXT(ROW()-4,"000"))</f>
        <v/>
      </c>
      <c r="B293" s="86"/>
      <c r="C293" s="52"/>
      <c r="D293" s="86"/>
      <c r="E293" s="52"/>
      <c r="F293" s="86"/>
      <c r="G293" s="86"/>
      <c r="H293" s="91"/>
      <c r="I293" s="52"/>
      <c r="J293" s="89"/>
    </row>
    <row r="294" customFormat="false" ht="19.5" hidden="false" customHeight="true" outlineLevel="0" collapsed="false">
      <c r="A294" s="85" t="str">
        <f aca="false">IF(B294="","","T"&amp;TEXT(ROW()-4,"000"))</f>
        <v/>
      </c>
      <c r="B294" s="86"/>
      <c r="C294" s="52"/>
      <c r="D294" s="86"/>
      <c r="E294" s="52"/>
      <c r="F294" s="86"/>
      <c r="G294" s="86"/>
      <c r="H294" s="91"/>
      <c r="I294" s="52"/>
      <c r="J294" s="89"/>
    </row>
    <row r="295" customFormat="false" ht="19.5" hidden="false" customHeight="true" outlineLevel="0" collapsed="false">
      <c r="A295" s="85" t="str">
        <f aca="false">IF(B295="","","T"&amp;TEXT(ROW()-4,"000"))</f>
        <v/>
      </c>
      <c r="B295" s="86"/>
      <c r="C295" s="52"/>
      <c r="D295" s="86"/>
      <c r="E295" s="52"/>
      <c r="F295" s="86"/>
      <c r="G295" s="86"/>
      <c r="H295" s="91"/>
      <c r="I295" s="52"/>
      <c r="J295" s="89"/>
    </row>
    <row r="296" customFormat="false" ht="19.5" hidden="false" customHeight="true" outlineLevel="0" collapsed="false">
      <c r="A296" s="85" t="str">
        <f aca="false">IF(B296="","","T"&amp;TEXT(ROW()-4,"000"))</f>
        <v/>
      </c>
      <c r="B296" s="86"/>
      <c r="C296" s="52"/>
      <c r="D296" s="86"/>
      <c r="E296" s="52"/>
      <c r="F296" s="86"/>
      <c r="G296" s="86"/>
      <c r="H296" s="91"/>
      <c r="I296" s="52"/>
      <c r="J296" s="89"/>
    </row>
    <row r="297" customFormat="false" ht="19.5" hidden="false" customHeight="true" outlineLevel="0" collapsed="false">
      <c r="A297" s="85" t="str">
        <f aca="false">IF(B297="","","T"&amp;TEXT(ROW()-4,"000"))</f>
        <v/>
      </c>
      <c r="B297" s="86"/>
      <c r="C297" s="52"/>
      <c r="D297" s="86"/>
      <c r="E297" s="52"/>
      <c r="F297" s="86"/>
      <c r="G297" s="86"/>
      <c r="H297" s="91"/>
      <c r="I297" s="52"/>
      <c r="J297" s="89"/>
    </row>
    <row r="298" customFormat="false" ht="19.5" hidden="false" customHeight="true" outlineLevel="0" collapsed="false">
      <c r="A298" s="85" t="str">
        <f aca="false">IF(B298="","","T"&amp;TEXT(ROW()-4,"000"))</f>
        <v/>
      </c>
      <c r="B298" s="86"/>
      <c r="C298" s="52"/>
      <c r="D298" s="86"/>
      <c r="E298" s="52"/>
      <c r="F298" s="86"/>
      <c r="G298" s="86"/>
      <c r="H298" s="91"/>
      <c r="I298" s="52"/>
      <c r="J298" s="89"/>
    </row>
    <row r="299" customFormat="false" ht="19.5" hidden="false" customHeight="true" outlineLevel="0" collapsed="false">
      <c r="A299" s="85" t="str">
        <f aca="false">IF(B299="","","T"&amp;TEXT(ROW()-4,"000"))</f>
        <v/>
      </c>
      <c r="B299" s="86"/>
      <c r="C299" s="52"/>
      <c r="D299" s="86"/>
      <c r="E299" s="52"/>
      <c r="F299" s="86"/>
      <c r="G299" s="86"/>
      <c r="H299" s="91"/>
      <c r="I299" s="52"/>
      <c r="J299" s="89"/>
    </row>
    <row r="300" customFormat="false" ht="19.5" hidden="false" customHeight="true" outlineLevel="0" collapsed="false">
      <c r="A300" s="85" t="str">
        <f aca="false">IF(B300="","","T"&amp;TEXT(ROW()-4,"000"))</f>
        <v/>
      </c>
      <c r="B300" s="86"/>
      <c r="C300" s="52"/>
      <c r="D300" s="86"/>
      <c r="E300" s="52"/>
      <c r="F300" s="86"/>
      <c r="G300" s="86"/>
      <c r="H300" s="91"/>
      <c r="I300" s="52"/>
      <c r="J300" s="89"/>
    </row>
    <row r="301" customFormat="false" ht="19.5" hidden="false" customHeight="true" outlineLevel="0" collapsed="false">
      <c r="A301" s="85" t="str">
        <f aca="false">IF(B301="","","T"&amp;TEXT(ROW()-4,"000"))</f>
        <v/>
      </c>
      <c r="B301" s="86"/>
      <c r="C301" s="52"/>
      <c r="D301" s="86"/>
      <c r="E301" s="52"/>
      <c r="F301" s="86"/>
      <c r="G301" s="86"/>
      <c r="H301" s="91"/>
      <c r="I301" s="52"/>
      <c r="J301" s="89"/>
    </row>
    <row r="302" customFormat="false" ht="19.5" hidden="false" customHeight="true" outlineLevel="0" collapsed="false">
      <c r="A302" s="85" t="str">
        <f aca="false">IF(B302="","","T"&amp;TEXT(ROW()-4,"000"))</f>
        <v/>
      </c>
      <c r="B302" s="86"/>
      <c r="C302" s="52"/>
      <c r="D302" s="86"/>
      <c r="E302" s="52"/>
      <c r="F302" s="86"/>
      <c r="G302" s="86"/>
      <c r="H302" s="91"/>
      <c r="I302" s="52"/>
      <c r="J302" s="89"/>
    </row>
    <row r="303" customFormat="false" ht="19.5" hidden="false" customHeight="true" outlineLevel="0" collapsed="false">
      <c r="A303" s="85" t="str">
        <f aca="false">IF(B303="","","T"&amp;TEXT(ROW()-4,"000"))</f>
        <v/>
      </c>
      <c r="B303" s="86"/>
      <c r="C303" s="52"/>
      <c r="D303" s="86"/>
      <c r="E303" s="52"/>
      <c r="F303" s="86"/>
      <c r="G303" s="86"/>
      <c r="H303" s="91"/>
      <c r="I303" s="52"/>
      <c r="J303" s="89"/>
    </row>
    <row r="304" customFormat="false" ht="19.5" hidden="false" customHeight="true" outlineLevel="0" collapsed="false">
      <c r="A304" s="85" t="str">
        <f aca="false">IF(B304="","","T"&amp;TEXT(ROW()-4,"000"))</f>
        <v/>
      </c>
      <c r="B304" s="86"/>
      <c r="C304" s="52"/>
      <c r="D304" s="86"/>
      <c r="E304" s="52"/>
      <c r="F304" s="86"/>
      <c r="G304" s="86"/>
      <c r="H304" s="91"/>
      <c r="I304" s="52"/>
      <c r="J304" s="89"/>
    </row>
  </sheetData>
  <mergeCells count="3">
    <mergeCell ref="A1:J1"/>
    <mergeCell ref="A2:J2"/>
    <mergeCell ref="A3:J3"/>
  </mergeCells>
  <conditionalFormatting sqref="A5:J304">
    <cfRule type="expression" priority="2" aboveAverage="0" equalAverage="0" bottom="0" percent="0" rank="0" text="" dxfId="0">
      <formula>AND(MOD(ROW(),2)=0,$A5&lt;&gt;"")</formula>
    </cfRule>
  </conditionalFormatting>
  <conditionalFormatting sqref="I5:I304">
    <cfRule type="expression" priority="3" aboveAverage="0" equalAverage="0" bottom="0" percent="0" rank="0" text="" dxfId="6">
      <formula>$I5="Active"</formula>
    </cfRule>
    <cfRule type="expression" priority="4" aboveAverage="0" equalAverage="0" bottom="0" percent="0" rank="0" text="" dxfId="7">
      <formula>$I5="Left"</formula>
    </cfRule>
  </conditionalFormatting>
  <dataValidations count="4">
    <dataValidation allowBlank="true" error="Choose from the list." errorStyle="stop" errorTitle="Invalid entry" operator="between" showDropDown="false" showErrorMessage="true" showInputMessage="false" sqref="C5:C304" type="list">
      <formula1>"M,F"</formula1>
      <formula2>0</formula2>
    </dataValidation>
    <dataValidation allowBlank="true" error="Choose from the list." errorStyle="stop" errorTitle="Invalid entry" operator="between" showDropDown="false" showErrorMessage="true" showInputMessage="false" sqref="D5:D304" type="list">
      <formula1>Settings!$C$11:$C$25</formula1>
      <formula2>0</formula2>
    </dataValidation>
    <dataValidation allowBlank="true" error="Pick a School ID from the Schools tab." errorStyle="stop" errorTitle="Invalid entry" operator="between" showDropDown="false" showErrorMessage="true" showInputMessage="false" sqref="E5:E304" type="list">
      <formula1>Schools!$A$5:$A$304</formula1>
      <formula2>0</formula2>
    </dataValidation>
    <dataValidation allowBlank="true" error="Choose from the list." errorStyle="stop" errorTitle="Invalid entry" operator="between" showDropDown="false" showErrorMessage="true" showInputMessage="false" sqref="I5:I304" type="list">
      <formula1>"Active,Left"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355B"/>
    <pageSetUpPr fitToPage="true"/>
  </sheetPr>
  <dimension ref="A1:P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3" min="3" style="1" width="9"/>
    <col collapsed="false" customWidth="true" hidden="false" outlineLevel="0" max="4" min="4" style="1" width="14"/>
    <col collapsed="false" customWidth="true" hidden="false" outlineLevel="0" max="6" min="5" style="1" width="12"/>
    <col collapsed="false" customWidth="true" hidden="false" outlineLevel="0" max="7" min="7" style="1" width="24"/>
    <col collapsed="false" customWidth="true" hidden="false" outlineLevel="0" max="8" min="8" style="1" width="16"/>
    <col collapsed="false" customWidth="true" hidden="false" outlineLevel="0" max="9" min="9" style="1" width="24"/>
    <col collapsed="false" customWidth="true" hidden="false" outlineLevel="0" max="10" min="10" style="1" width="14"/>
    <col collapsed="false" customWidth="true" hidden="false" outlineLevel="0" max="11" min="11" style="1" width="12"/>
    <col collapsed="false" customWidth="true" hidden="false" outlineLevel="0" max="12" min="12" style="1" width="26"/>
    <col collapsed="false" customWidth="true" hidden="false" outlineLevel="0" max="13" min="13" style="1" width="20"/>
    <col collapsed="false" customWidth="true" hidden="true" outlineLevel="0" max="14" min="14" style="1" width="10"/>
    <col collapsed="false" customWidth="true" hidden="true" outlineLevel="0" max="15" min="15" style="1" width="24"/>
    <col collapsed="false" customWidth="true" hidden="false" outlineLevel="0" max="16" min="16" style="1" width="16"/>
  </cols>
  <sheetData>
    <row r="1" customFormat="false" ht="42" hidden="false" customHeight="true" outlineLevel="0" collapsed="false">
      <c r="A1" s="2" t="s">
        <v>337</v>
      </c>
      <c r="B1" s="2"/>
      <c r="C1" s="2"/>
      <c r="D1" s="2"/>
      <c r="E1" s="2"/>
      <c r="F1" s="2"/>
      <c r="G1" s="2"/>
      <c r="H1" s="2"/>
      <c r="I1" s="2"/>
      <c r="J1" s="2"/>
      <c r="K1" s="2"/>
      <c r="L1" s="2"/>
      <c r="M1" s="2"/>
      <c r="N1" s="2"/>
      <c r="O1" s="2"/>
      <c r="P1" s="2"/>
    </row>
    <row r="2" customFormat="false" ht="19.5" hidden="false" customHeight="true" outlineLevel="0" collapsed="false">
      <c r="A2" s="3" t="s">
        <v>338</v>
      </c>
      <c r="B2" s="3"/>
      <c r="C2" s="3"/>
      <c r="D2" s="3"/>
      <c r="E2" s="3"/>
      <c r="F2" s="3"/>
      <c r="G2" s="3"/>
      <c r="H2" s="3"/>
      <c r="I2" s="3"/>
      <c r="J2" s="3"/>
      <c r="K2" s="3"/>
      <c r="L2" s="3"/>
      <c r="M2" s="3"/>
      <c r="N2" s="3"/>
      <c r="O2" s="3"/>
      <c r="P2" s="3"/>
    </row>
    <row r="3" customFormat="false" ht="3.75" hidden="false" customHeight="true" outlineLevel="0" collapsed="false">
      <c r="A3" s="4"/>
      <c r="B3" s="4"/>
      <c r="C3" s="4"/>
      <c r="D3" s="4"/>
      <c r="E3" s="4"/>
      <c r="F3" s="4"/>
      <c r="G3" s="4"/>
      <c r="H3" s="4"/>
      <c r="I3" s="4"/>
      <c r="J3" s="4"/>
      <c r="K3" s="4"/>
      <c r="L3" s="4"/>
      <c r="M3" s="4"/>
      <c r="N3" s="4"/>
      <c r="O3" s="4"/>
      <c r="P3" s="4"/>
    </row>
    <row r="4" customFormat="false" ht="33.75" hidden="false" customHeight="true" outlineLevel="0" collapsed="false">
      <c r="A4" s="15" t="s">
        <v>339</v>
      </c>
      <c r="B4" s="15" t="s">
        <v>158</v>
      </c>
      <c r="C4" s="15" t="s">
        <v>159</v>
      </c>
      <c r="D4" s="15" t="s">
        <v>160</v>
      </c>
      <c r="E4" s="15" t="s">
        <v>99</v>
      </c>
      <c r="F4" s="15" t="s">
        <v>340</v>
      </c>
      <c r="G4" s="15" t="s">
        <v>161</v>
      </c>
      <c r="H4" s="15" t="s">
        <v>162</v>
      </c>
      <c r="I4" s="15" t="s">
        <v>341</v>
      </c>
      <c r="J4" s="15" t="s">
        <v>342</v>
      </c>
      <c r="K4" s="15" t="s">
        <v>331</v>
      </c>
      <c r="L4" s="15" t="s">
        <v>343</v>
      </c>
      <c r="M4" s="15" t="s">
        <v>308</v>
      </c>
      <c r="N4" s="15" t="s">
        <v>344</v>
      </c>
      <c r="O4" s="15" t="s">
        <v>345</v>
      </c>
      <c r="P4" s="15" t="s">
        <v>346</v>
      </c>
    </row>
    <row r="5" customFormat="false" ht="19.5" hidden="false" customHeight="true" outlineLevel="0" collapsed="false">
      <c r="A5" s="83" t="str">
        <f aca="false">IF(B5="","","S"&amp;TEXT(ROW()-4,"0000"))</f>
        <v>S0001</v>
      </c>
      <c r="B5" s="84" t="s">
        <v>347</v>
      </c>
      <c r="C5" s="87" t="s">
        <v>248</v>
      </c>
      <c r="D5" s="90" t="n">
        <v>41771</v>
      </c>
      <c r="E5" s="87" t="s">
        <v>143</v>
      </c>
      <c r="F5" s="87" t="s">
        <v>145</v>
      </c>
      <c r="G5" s="84" t="s">
        <v>348</v>
      </c>
      <c r="H5" s="84" t="s">
        <v>349</v>
      </c>
      <c r="I5" s="84" t="s">
        <v>310</v>
      </c>
      <c r="J5" s="90" t="n">
        <v>45537</v>
      </c>
      <c r="K5" s="87" t="s">
        <v>336</v>
      </c>
      <c r="L5" s="86"/>
      <c r="M5" s="88" t="s">
        <v>314</v>
      </c>
      <c r="N5" s="88" t="n">
        <f aca="false">IF(OR(E5="",F5="",K5&lt;&gt;"Active"),"",COUNTIFS(E$5:E5,E5,F$5:F5,F5,K$5:K5,"Active"))</f>
        <v>1</v>
      </c>
      <c r="O5" s="88" t="str">
        <f aca="false">IF(N5="","",E5&amp;"|"&amp;F5&amp;"|"&amp;N5)</f>
        <v>SCH01|Class 4|1</v>
      </c>
      <c r="P5" s="83" t="str">
        <f aca="false">IF(N5="","",IF(N5&gt;Settings!$B$7,"Over limit",IF(N5=Settings!$B$7,"Class full","OK")))</f>
        <v>OK</v>
      </c>
    </row>
    <row r="6" customFormat="false" ht="19.5" hidden="false" customHeight="true" outlineLevel="0" collapsed="false">
      <c r="A6" s="85" t="str">
        <f aca="false">IF(B6="","","S"&amp;TEXT(ROW()-4,"0000"))</f>
        <v/>
      </c>
      <c r="B6" s="86"/>
      <c r="C6" s="52"/>
      <c r="D6" s="91"/>
      <c r="E6" s="52"/>
      <c r="F6" s="52"/>
      <c r="G6" s="86"/>
      <c r="H6" s="86"/>
      <c r="I6" s="86"/>
      <c r="J6" s="91"/>
      <c r="K6" s="52"/>
      <c r="L6" s="86"/>
      <c r="M6" s="89"/>
      <c r="N6" s="89" t="str">
        <f aca="false">IF(OR(E6="",F6="",K6&lt;&gt;"Active"),"",COUNTIFS(E$5:E6,E6,F$5:F6,F6,K$5:K6,"Active"))</f>
        <v/>
      </c>
      <c r="O6" s="89" t="str">
        <f aca="false">IF(N6="","",E6&amp;"|"&amp;F6&amp;"|"&amp;N6)</f>
        <v/>
      </c>
      <c r="P6" s="85" t="str">
        <f aca="false">IF(N6="","",IF(N6&gt;Settings!$B$7,"Over limit",IF(N6=Settings!$B$7,"Class full","OK")))</f>
        <v/>
      </c>
    </row>
    <row r="7" customFormat="false" ht="19.5" hidden="false" customHeight="true" outlineLevel="0" collapsed="false">
      <c r="A7" s="85" t="str">
        <f aca="false">IF(B7="","","S"&amp;TEXT(ROW()-4,"0000"))</f>
        <v/>
      </c>
      <c r="B7" s="86"/>
      <c r="C7" s="52"/>
      <c r="D7" s="91"/>
      <c r="E7" s="52"/>
      <c r="F7" s="52"/>
      <c r="G7" s="86"/>
      <c r="H7" s="86"/>
      <c r="I7" s="86"/>
      <c r="J7" s="91"/>
      <c r="K7" s="52"/>
      <c r="L7" s="86"/>
      <c r="M7" s="89"/>
      <c r="N7" s="89" t="str">
        <f aca="false">IF(OR(E7="",F7="",K7&lt;&gt;"Active"),"",COUNTIFS(E$5:E7,E7,F$5:F7,F7,K$5:K7,"Active"))</f>
        <v/>
      </c>
      <c r="O7" s="89" t="str">
        <f aca="false">IF(N7="","",E7&amp;"|"&amp;F7&amp;"|"&amp;N7)</f>
        <v/>
      </c>
      <c r="P7" s="85" t="str">
        <f aca="false">IF(N7="","",IF(N7&gt;Settings!$B$7,"Over limit",IF(N7=Settings!$B$7,"Class full","OK")))</f>
        <v/>
      </c>
    </row>
    <row r="8" customFormat="false" ht="19.5" hidden="false" customHeight="true" outlineLevel="0" collapsed="false">
      <c r="A8" s="85" t="str">
        <f aca="false">IF(B8="","","S"&amp;TEXT(ROW()-4,"0000"))</f>
        <v/>
      </c>
      <c r="B8" s="86"/>
      <c r="C8" s="52"/>
      <c r="D8" s="91"/>
      <c r="E8" s="52"/>
      <c r="F8" s="52"/>
      <c r="G8" s="86"/>
      <c r="H8" s="86"/>
      <c r="I8" s="86"/>
      <c r="J8" s="91"/>
      <c r="K8" s="52"/>
      <c r="L8" s="86"/>
      <c r="M8" s="89"/>
      <c r="N8" s="89" t="str">
        <f aca="false">IF(OR(E8="",F8="",K8&lt;&gt;"Active"),"",COUNTIFS(E$5:E8,E8,F$5:F8,F8,K$5:K8,"Active"))</f>
        <v/>
      </c>
      <c r="O8" s="89" t="str">
        <f aca="false">IF(N8="","",E8&amp;"|"&amp;F8&amp;"|"&amp;N8)</f>
        <v/>
      </c>
      <c r="P8" s="85" t="str">
        <f aca="false">IF(N8="","",IF(N8&gt;Settings!$B$7,"Over limit",IF(N8=Settings!$B$7,"Class full","OK")))</f>
        <v/>
      </c>
    </row>
    <row r="9" customFormat="false" ht="19.5" hidden="false" customHeight="true" outlineLevel="0" collapsed="false">
      <c r="A9" s="85" t="str">
        <f aca="false">IF(B9="","","S"&amp;TEXT(ROW()-4,"0000"))</f>
        <v/>
      </c>
      <c r="B9" s="86"/>
      <c r="C9" s="52"/>
      <c r="D9" s="91"/>
      <c r="E9" s="52"/>
      <c r="F9" s="52"/>
      <c r="G9" s="86"/>
      <c r="H9" s="86"/>
      <c r="I9" s="86"/>
      <c r="J9" s="91"/>
      <c r="K9" s="52"/>
      <c r="L9" s="86"/>
      <c r="M9" s="89"/>
      <c r="N9" s="89" t="str">
        <f aca="false">IF(OR(E9="",F9="",K9&lt;&gt;"Active"),"",COUNTIFS(E$5:E9,E9,F$5:F9,F9,K$5:K9,"Active"))</f>
        <v/>
      </c>
      <c r="O9" s="89" t="str">
        <f aca="false">IF(N9="","",E9&amp;"|"&amp;F9&amp;"|"&amp;N9)</f>
        <v/>
      </c>
      <c r="P9" s="85" t="str">
        <f aca="false">IF(N9="","",IF(N9&gt;Settings!$B$7,"Over limit",IF(N9=Settings!$B$7,"Class full","OK")))</f>
        <v/>
      </c>
    </row>
    <row r="10" customFormat="false" ht="19.5" hidden="false" customHeight="true" outlineLevel="0" collapsed="false">
      <c r="A10" s="85" t="str">
        <f aca="false">IF(B10="","","S"&amp;TEXT(ROW()-4,"0000"))</f>
        <v/>
      </c>
      <c r="B10" s="86"/>
      <c r="C10" s="52"/>
      <c r="D10" s="91"/>
      <c r="E10" s="52"/>
      <c r="F10" s="52"/>
      <c r="G10" s="86"/>
      <c r="H10" s="86"/>
      <c r="I10" s="86"/>
      <c r="J10" s="91"/>
      <c r="K10" s="52"/>
      <c r="L10" s="86"/>
      <c r="M10" s="89"/>
      <c r="N10" s="89" t="str">
        <f aca="false">IF(OR(E10="",F10="",K10&lt;&gt;"Active"),"",COUNTIFS(E$5:E10,E10,F$5:F10,F10,K$5:K10,"Active"))</f>
        <v/>
      </c>
      <c r="O10" s="89" t="str">
        <f aca="false">IF(N10="","",E10&amp;"|"&amp;F10&amp;"|"&amp;N10)</f>
        <v/>
      </c>
      <c r="P10" s="85" t="str">
        <f aca="false">IF(N10="","",IF(N10&gt;Settings!$B$7,"Over limit",IF(N10=Settings!$B$7,"Class full","OK")))</f>
        <v/>
      </c>
    </row>
    <row r="11" customFormat="false" ht="19.5" hidden="false" customHeight="true" outlineLevel="0" collapsed="false">
      <c r="A11" s="85" t="str">
        <f aca="false">IF(B11="","","S"&amp;TEXT(ROW()-4,"0000"))</f>
        <v/>
      </c>
      <c r="B11" s="86"/>
      <c r="C11" s="52"/>
      <c r="D11" s="91"/>
      <c r="E11" s="52"/>
      <c r="F11" s="52"/>
      <c r="G11" s="86"/>
      <c r="H11" s="86"/>
      <c r="I11" s="86"/>
      <c r="J11" s="91"/>
      <c r="K11" s="52"/>
      <c r="L11" s="86"/>
      <c r="M11" s="89"/>
      <c r="N11" s="89" t="str">
        <f aca="false">IF(OR(E11="",F11="",K11&lt;&gt;"Active"),"",COUNTIFS(E$5:E11,E11,F$5:F11,F11,K$5:K11,"Active"))</f>
        <v/>
      </c>
      <c r="O11" s="89" t="str">
        <f aca="false">IF(N11="","",E11&amp;"|"&amp;F11&amp;"|"&amp;N11)</f>
        <v/>
      </c>
      <c r="P11" s="85" t="str">
        <f aca="false">IF(N11="","",IF(N11&gt;Settings!$B$7,"Over limit",IF(N11=Settings!$B$7,"Class full","OK")))</f>
        <v/>
      </c>
    </row>
    <row r="12" customFormat="false" ht="19.5" hidden="false" customHeight="true" outlineLevel="0" collapsed="false">
      <c r="A12" s="85" t="str">
        <f aca="false">IF(B12="","","S"&amp;TEXT(ROW()-4,"0000"))</f>
        <v/>
      </c>
      <c r="B12" s="86"/>
      <c r="C12" s="52"/>
      <c r="D12" s="91"/>
      <c r="E12" s="52"/>
      <c r="F12" s="52"/>
      <c r="G12" s="86"/>
      <c r="H12" s="86"/>
      <c r="I12" s="86"/>
      <c r="J12" s="91"/>
      <c r="K12" s="52"/>
      <c r="L12" s="86"/>
      <c r="M12" s="89"/>
      <c r="N12" s="89" t="str">
        <f aca="false">IF(OR(E12="",F12="",K12&lt;&gt;"Active"),"",COUNTIFS(E$5:E12,E12,F$5:F12,F12,K$5:K12,"Active"))</f>
        <v/>
      </c>
      <c r="O12" s="89" t="str">
        <f aca="false">IF(N12="","",E12&amp;"|"&amp;F12&amp;"|"&amp;N12)</f>
        <v/>
      </c>
      <c r="P12" s="85" t="str">
        <f aca="false">IF(N12="","",IF(N12&gt;Settings!$B$7,"Over limit",IF(N12=Settings!$B$7,"Class full","OK")))</f>
        <v/>
      </c>
    </row>
    <row r="13" customFormat="false" ht="19.5" hidden="false" customHeight="true" outlineLevel="0" collapsed="false">
      <c r="A13" s="85" t="str">
        <f aca="false">IF(B13="","","S"&amp;TEXT(ROW()-4,"0000"))</f>
        <v/>
      </c>
      <c r="B13" s="86"/>
      <c r="C13" s="52"/>
      <c r="D13" s="91"/>
      <c r="E13" s="52"/>
      <c r="F13" s="52"/>
      <c r="G13" s="86"/>
      <c r="H13" s="86"/>
      <c r="I13" s="86"/>
      <c r="J13" s="91"/>
      <c r="K13" s="52"/>
      <c r="L13" s="86"/>
      <c r="M13" s="89"/>
      <c r="N13" s="89" t="str">
        <f aca="false">IF(OR(E13="",F13="",K13&lt;&gt;"Active"),"",COUNTIFS(E$5:E13,E13,F$5:F13,F13,K$5:K13,"Active"))</f>
        <v/>
      </c>
      <c r="O13" s="89" t="str">
        <f aca="false">IF(N13="","",E13&amp;"|"&amp;F13&amp;"|"&amp;N13)</f>
        <v/>
      </c>
      <c r="P13" s="85" t="str">
        <f aca="false">IF(N13="","",IF(N13&gt;Settings!$B$7,"Over limit",IF(N13=Settings!$B$7,"Class full","OK")))</f>
        <v/>
      </c>
    </row>
    <row r="14" customFormat="false" ht="19.5" hidden="false" customHeight="true" outlineLevel="0" collapsed="false">
      <c r="A14" s="85" t="str">
        <f aca="false">IF(B14="","","S"&amp;TEXT(ROW()-4,"0000"))</f>
        <v/>
      </c>
      <c r="B14" s="86"/>
      <c r="C14" s="52"/>
      <c r="D14" s="91"/>
      <c r="E14" s="52"/>
      <c r="F14" s="52"/>
      <c r="G14" s="86"/>
      <c r="H14" s="86"/>
      <c r="I14" s="86"/>
      <c r="J14" s="91"/>
      <c r="K14" s="52"/>
      <c r="L14" s="86"/>
      <c r="M14" s="89"/>
      <c r="N14" s="89" t="str">
        <f aca="false">IF(OR(E14="",F14="",K14&lt;&gt;"Active"),"",COUNTIFS(E$5:E14,E14,F$5:F14,F14,K$5:K14,"Active"))</f>
        <v/>
      </c>
      <c r="O14" s="89" t="str">
        <f aca="false">IF(N14="","",E14&amp;"|"&amp;F14&amp;"|"&amp;N14)</f>
        <v/>
      </c>
      <c r="P14" s="85" t="str">
        <f aca="false">IF(N14="","",IF(N14&gt;Settings!$B$7,"Over limit",IF(N14=Settings!$B$7,"Class full","OK")))</f>
        <v/>
      </c>
    </row>
    <row r="15" customFormat="false" ht="19.5" hidden="false" customHeight="true" outlineLevel="0" collapsed="false">
      <c r="A15" s="85" t="str">
        <f aca="false">IF(B15="","","S"&amp;TEXT(ROW()-4,"0000"))</f>
        <v/>
      </c>
      <c r="B15" s="86"/>
      <c r="C15" s="52"/>
      <c r="D15" s="91"/>
      <c r="E15" s="52"/>
      <c r="F15" s="52"/>
      <c r="G15" s="86"/>
      <c r="H15" s="86"/>
      <c r="I15" s="86"/>
      <c r="J15" s="91"/>
      <c r="K15" s="52"/>
      <c r="L15" s="86"/>
      <c r="M15" s="89"/>
      <c r="N15" s="89" t="str">
        <f aca="false">IF(OR(E15="",F15="",K15&lt;&gt;"Active"),"",COUNTIFS(E$5:E15,E15,F$5:F15,F15,K$5:K15,"Active"))</f>
        <v/>
      </c>
      <c r="O15" s="89" t="str">
        <f aca="false">IF(N15="","",E15&amp;"|"&amp;F15&amp;"|"&amp;N15)</f>
        <v/>
      </c>
      <c r="P15" s="85" t="str">
        <f aca="false">IF(N15="","",IF(N15&gt;Settings!$B$7,"Over limit",IF(N15=Settings!$B$7,"Class full","OK")))</f>
        <v/>
      </c>
    </row>
    <row r="16" customFormat="false" ht="19.5" hidden="false" customHeight="true" outlineLevel="0" collapsed="false">
      <c r="A16" s="85" t="str">
        <f aca="false">IF(B16="","","S"&amp;TEXT(ROW()-4,"0000"))</f>
        <v/>
      </c>
      <c r="B16" s="86"/>
      <c r="C16" s="52"/>
      <c r="D16" s="91"/>
      <c r="E16" s="52"/>
      <c r="F16" s="52"/>
      <c r="G16" s="86"/>
      <c r="H16" s="86"/>
      <c r="I16" s="86"/>
      <c r="J16" s="91"/>
      <c r="K16" s="52"/>
      <c r="L16" s="86"/>
      <c r="M16" s="89"/>
      <c r="N16" s="89" t="str">
        <f aca="false">IF(OR(E16="",F16="",K16&lt;&gt;"Active"),"",COUNTIFS(E$5:E16,E16,F$5:F16,F16,K$5:K16,"Active"))</f>
        <v/>
      </c>
      <c r="O16" s="89" t="str">
        <f aca="false">IF(N16="","",E16&amp;"|"&amp;F16&amp;"|"&amp;N16)</f>
        <v/>
      </c>
      <c r="P16" s="85" t="str">
        <f aca="false">IF(N16="","",IF(N16&gt;Settings!$B$7,"Over limit",IF(N16=Settings!$B$7,"Class full","OK")))</f>
        <v/>
      </c>
    </row>
    <row r="17" customFormat="false" ht="19.5" hidden="false" customHeight="true" outlineLevel="0" collapsed="false">
      <c r="A17" s="85" t="str">
        <f aca="false">IF(B17="","","S"&amp;TEXT(ROW()-4,"0000"))</f>
        <v/>
      </c>
      <c r="B17" s="86"/>
      <c r="C17" s="52"/>
      <c r="D17" s="91"/>
      <c r="E17" s="52"/>
      <c r="F17" s="52"/>
      <c r="G17" s="86"/>
      <c r="H17" s="86"/>
      <c r="I17" s="86"/>
      <c r="J17" s="91"/>
      <c r="K17" s="52"/>
      <c r="L17" s="86"/>
      <c r="M17" s="89"/>
      <c r="N17" s="89" t="str">
        <f aca="false">IF(OR(E17="",F17="",K17&lt;&gt;"Active"),"",COUNTIFS(E$5:E17,E17,F$5:F17,F17,K$5:K17,"Active"))</f>
        <v/>
      </c>
      <c r="O17" s="89" t="str">
        <f aca="false">IF(N17="","",E17&amp;"|"&amp;F17&amp;"|"&amp;N17)</f>
        <v/>
      </c>
      <c r="P17" s="85" t="str">
        <f aca="false">IF(N17="","",IF(N17&gt;Settings!$B$7,"Over limit",IF(N17=Settings!$B$7,"Class full","OK")))</f>
        <v/>
      </c>
    </row>
    <row r="18" customFormat="false" ht="19.5" hidden="false" customHeight="true" outlineLevel="0" collapsed="false">
      <c r="A18" s="85" t="str">
        <f aca="false">IF(B18="","","S"&amp;TEXT(ROW()-4,"0000"))</f>
        <v/>
      </c>
      <c r="B18" s="86"/>
      <c r="C18" s="52"/>
      <c r="D18" s="91"/>
      <c r="E18" s="52"/>
      <c r="F18" s="52"/>
      <c r="G18" s="86"/>
      <c r="H18" s="86"/>
      <c r="I18" s="86"/>
      <c r="J18" s="91"/>
      <c r="K18" s="52"/>
      <c r="L18" s="86"/>
      <c r="M18" s="89"/>
      <c r="N18" s="89" t="str">
        <f aca="false">IF(OR(E18="",F18="",K18&lt;&gt;"Active"),"",COUNTIFS(E$5:E18,E18,F$5:F18,F18,K$5:K18,"Active"))</f>
        <v/>
      </c>
      <c r="O18" s="89" t="str">
        <f aca="false">IF(N18="","",E18&amp;"|"&amp;F18&amp;"|"&amp;N18)</f>
        <v/>
      </c>
      <c r="P18" s="85" t="str">
        <f aca="false">IF(N18="","",IF(N18&gt;Settings!$B$7,"Over limit",IF(N18=Settings!$B$7,"Class full","OK")))</f>
        <v/>
      </c>
    </row>
    <row r="19" customFormat="false" ht="19.5" hidden="false" customHeight="true" outlineLevel="0" collapsed="false">
      <c r="A19" s="85" t="str">
        <f aca="false">IF(B19="","","S"&amp;TEXT(ROW()-4,"0000"))</f>
        <v/>
      </c>
      <c r="B19" s="86"/>
      <c r="C19" s="52"/>
      <c r="D19" s="91"/>
      <c r="E19" s="52"/>
      <c r="F19" s="52"/>
      <c r="G19" s="86"/>
      <c r="H19" s="86"/>
      <c r="I19" s="86"/>
      <c r="J19" s="91"/>
      <c r="K19" s="52"/>
      <c r="L19" s="86"/>
      <c r="M19" s="89"/>
      <c r="N19" s="89" t="str">
        <f aca="false">IF(OR(E19="",F19="",K19&lt;&gt;"Active"),"",COUNTIFS(E$5:E19,E19,F$5:F19,F19,K$5:K19,"Active"))</f>
        <v/>
      </c>
      <c r="O19" s="89" t="str">
        <f aca="false">IF(N19="","",E19&amp;"|"&amp;F19&amp;"|"&amp;N19)</f>
        <v/>
      </c>
      <c r="P19" s="85" t="str">
        <f aca="false">IF(N19="","",IF(N19&gt;Settings!$B$7,"Over limit",IF(N19=Settings!$B$7,"Class full","OK")))</f>
        <v/>
      </c>
    </row>
    <row r="20" customFormat="false" ht="19.5" hidden="false" customHeight="true" outlineLevel="0" collapsed="false">
      <c r="A20" s="85" t="str">
        <f aca="false">IF(B20="","","S"&amp;TEXT(ROW()-4,"0000"))</f>
        <v/>
      </c>
      <c r="B20" s="86"/>
      <c r="C20" s="52"/>
      <c r="D20" s="91"/>
      <c r="E20" s="52"/>
      <c r="F20" s="52"/>
      <c r="G20" s="86"/>
      <c r="H20" s="86"/>
      <c r="I20" s="86"/>
      <c r="J20" s="91"/>
      <c r="K20" s="52"/>
      <c r="L20" s="86"/>
      <c r="M20" s="89"/>
      <c r="N20" s="89" t="str">
        <f aca="false">IF(OR(E20="",F20="",K20&lt;&gt;"Active"),"",COUNTIFS(E$5:E20,E20,F$5:F20,F20,K$5:K20,"Active"))</f>
        <v/>
      </c>
      <c r="O20" s="89" t="str">
        <f aca="false">IF(N20="","",E20&amp;"|"&amp;F20&amp;"|"&amp;N20)</f>
        <v/>
      </c>
      <c r="P20" s="85" t="str">
        <f aca="false">IF(N20="","",IF(N20&gt;Settings!$B$7,"Over limit",IF(N20=Settings!$B$7,"Class full","OK")))</f>
        <v/>
      </c>
    </row>
    <row r="21" customFormat="false" ht="19.5" hidden="false" customHeight="true" outlineLevel="0" collapsed="false">
      <c r="A21" s="85" t="str">
        <f aca="false">IF(B21="","","S"&amp;TEXT(ROW()-4,"0000"))</f>
        <v/>
      </c>
      <c r="B21" s="86"/>
      <c r="C21" s="52"/>
      <c r="D21" s="91"/>
      <c r="E21" s="52"/>
      <c r="F21" s="52"/>
      <c r="G21" s="86"/>
      <c r="H21" s="86"/>
      <c r="I21" s="86"/>
      <c r="J21" s="91"/>
      <c r="K21" s="52"/>
      <c r="L21" s="86"/>
      <c r="M21" s="89"/>
      <c r="N21" s="89" t="str">
        <f aca="false">IF(OR(E21="",F21="",K21&lt;&gt;"Active"),"",COUNTIFS(E$5:E21,E21,F$5:F21,F21,K$5:K21,"Active"))</f>
        <v/>
      </c>
      <c r="O21" s="89" t="str">
        <f aca="false">IF(N21="","",E21&amp;"|"&amp;F21&amp;"|"&amp;N21)</f>
        <v/>
      </c>
      <c r="P21" s="85" t="str">
        <f aca="false">IF(N21="","",IF(N21&gt;Settings!$B$7,"Over limit",IF(N21=Settings!$B$7,"Class full","OK")))</f>
        <v/>
      </c>
    </row>
    <row r="22" customFormat="false" ht="19.5" hidden="false" customHeight="true" outlineLevel="0" collapsed="false">
      <c r="A22" s="85" t="str">
        <f aca="false">IF(B22="","","S"&amp;TEXT(ROW()-4,"0000"))</f>
        <v/>
      </c>
      <c r="B22" s="86"/>
      <c r="C22" s="52"/>
      <c r="D22" s="91"/>
      <c r="E22" s="52"/>
      <c r="F22" s="52"/>
      <c r="G22" s="86"/>
      <c r="H22" s="86"/>
      <c r="I22" s="86"/>
      <c r="J22" s="91"/>
      <c r="K22" s="52"/>
      <c r="L22" s="86"/>
      <c r="M22" s="89"/>
      <c r="N22" s="89" t="str">
        <f aca="false">IF(OR(E22="",F22="",K22&lt;&gt;"Active"),"",COUNTIFS(E$5:E22,E22,F$5:F22,F22,K$5:K22,"Active"))</f>
        <v/>
      </c>
      <c r="O22" s="89" t="str">
        <f aca="false">IF(N22="","",E22&amp;"|"&amp;F22&amp;"|"&amp;N22)</f>
        <v/>
      </c>
      <c r="P22" s="85" t="str">
        <f aca="false">IF(N22="","",IF(N22&gt;Settings!$B$7,"Over limit",IF(N22=Settings!$B$7,"Class full","OK")))</f>
        <v/>
      </c>
    </row>
    <row r="23" customFormat="false" ht="19.5" hidden="false" customHeight="true" outlineLevel="0" collapsed="false">
      <c r="A23" s="85" t="str">
        <f aca="false">IF(B23="","","S"&amp;TEXT(ROW()-4,"0000"))</f>
        <v/>
      </c>
      <c r="B23" s="86"/>
      <c r="C23" s="52"/>
      <c r="D23" s="91"/>
      <c r="E23" s="52"/>
      <c r="F23" s="52"/>
      <c r="G23" s="86"/>
      <c r="H23" s="86"/>
      <c r="I23" s="86"/>
      <c r="J23" s="91"/>
      <c r="K23" s="52"/>
      <c r="L23" s="86"/>
      <c r="M23" s="89"/>
      <c r="N23" s="89" t="str">
        <f aca="false">IF(OR(E23="",F23="",K23&lt;&gt;"Active"),"",COUNTIFS(E$5:E23,E23,F$5:F23,F23,K$5:K23,"Active"))</f>
        <v/>
      </c>
      <c r="O23" s="89" t="str">
        <f aca="false">IF(N23="","",E23&amp;"|"&amp;F23&amp;"|"&amp;N23)</f>
        <v/>
      </c>
      <c r="P23" s="85" t="str">
        <f aca="false">IF(N23="","",IF(N23&gt;Settings!$B$7,"Over limit",IF(N23=Settings!$B$7,"Class full","OK")))</f>
        <v/>
      </c>
    </row>
    <row r="24" customFormat="false" ht="19.5" hidden="false" customHeight="true" outlineLevel="0" collapsed="false">
      <c r="A24" s="85" t="str">
        <f aca="false">IF(B24="","","S"&amp;TEXT(ROW()-4,"0000"))</f>
        <v/>
      </c>
      <c r="B24" s="86"/>
      <c r="C24" s="52"/>
      <c r="D24" s="91"/>
      <c r="E24" s="52"/>
      <c r="F24" s="52"/>
      <c r="G24" s="86"/>
      <c r="H24" s="86"/>
      <c r="I24" s="86"/>
      <c r="J24" s="91"/>
      <c r="K24" s="52"/>
      <c r="L24" s="86"/>
      <c r="M24" s="89"/>
      <c r="N24" s="89" t="str">
        <f aca="false">IF(OR(E24="",F24="",K24&lt;&gt;"Active"),"",COUNTIFS(E$5:E24,E24,F$5:F24,F24,K$5:K24,"Active"))</f>
        <v/>
      </c>
      <c r="O24" s="89" t="str">
        <f aca="false">IF(N24="","",E24&amp;"|"&amp;F24&amp;"|"&amp;N24)</f>
        <v/>
      </c>
      <c r="P24" s="85" t="str">
        <f aca="false">IF(N24="","",IF(N24&gt;Settings!$B$7,"Over limit",IF(N24=Settings!$B$7,"Class full","OK")))</f>
        <v/>
      </c>
    </row>
    <row r="25" customFormat="false" ht="19.5" hidden="false" customHeight="true" outlineLevel="0" collapsed="false">
      <c r="A25" s="85" t="str">
        <f aca="false">IF(B25="","","S"&amp;TEXT(ROW()-4,"0000"))</f>
        <v/>
      </c>
      <c r="B25" s="86"/>
      <c r="C25" s="52"/>
      <c r="D25" s="91"/>
      <c r="E25" s="52"/>
      <c r="F25" s="52"/>
      <c r="G25" s="86"/>
      <c r="H25" s="86"/>
      <c r="I25" s="86"/>
      <c r="J25" s="91"/>
      <c r="K25" s="52"/>
      <c r="L25" s="86"/>
      <c r="M25" s="89"/>
      <c r="N25" s="89" t="str">
        <f aca="false">IF(OR(E25="",F25="",K25&lt;&gt;"Active"),"",COUNTIFS(E$5:E25,E25,F$5:F25,F25,K$5:K25,"Active"))</f>
        <v/>
      </c>
      <c r="O25" s="89" t="str">
        <f aca="false">IF(N25="","",E25&amp;"|"&amp;F25&amp;"|"&amp;N25)</f>
        <v/>
      </c>
      <c r="P25" s="85" t="str">
        <f aca="false">IF(N25="","",IF(N25&gt;Settings!$B$7,"Over limit",IF(N25=Settings!$B$7,"Class full","OK")))</f>
        <v/>
      </c>
    </row>
    <row r="26" customFormat="false" ht="19.5" hidden="false" customHeight="true" outlineLevel="0" collapsed="false">
      <c r="A26" s="85" t="str">
        <f aca="false">IF(B26="","","S"&amp;TEXT(ROW()-4,"0000"))</f>
        <v/>
      </c>
      <c r="B26" s="86"/>
      <c r="C26" s="52"/>
      <c r="D26" s="91"/>
      <c r="E26" s="52"/>
      <c r="F26" s="52"/>
      <c r="G26" s="86"/>
      <c r="H26" s="86"/>
      <c r="I26" s="86"/>
      <c r="J26" s="91"/>
      <c r="K26" s="52"/>
      <c r="L26" s="86"/>
      <c r="M26" s="89"/>
      <c r="N26" s="89" t="str">
        <f aca="false">IF(OR(E26="",F26="",K26&lt;&gt;"Active"),"",COUNTIFS(E$5:E26,E26,F$5:F26,F26,K$5:K26,"Active"))</f>
        <v/>
      </c>
      <c r="O26" s="89" t="str">
        <f aca="false">IF(N26="","",E26&amp;"|"&amp;F26&amp;"|"&amp;N26)</f>
        <v/>
      </c>
      <c r="P26" s="85" t="str">
        <f aca="false">IF(N26="","",IF(N26&gt;Settings!$B$7,"Over limit",IF(N26=Settings!$B$7,"Class full","OK")))</f>
        <v/>
      </c>
    </row>
    <row r="27" customFormat="false" ht="19.5" hidden="false" customHeight="true" outlineLevel="0" collapsed="false">
      <c r="A27" s="85" t="str">
        <f aca="false">IF(B27="","","S"&amp;TEXT(ROW()-4,"0000"))</f>
        <v/>
      </c>
      <c r="B27" s="86"/>
      <c r="C27" s="52"/>
      <c r="D27" s="91"/>
      <c r="E27" s="52"/>
      <c r="F27" s="52"/>
      <c r="G27" s="86"/>
      <c r="H27" s="86"/>
      <c r="I27" s="86"/>
      <c r="J27" s="91"/>
      <c r="K27" s="52"/>
      <c r="L27" s="86"/>
      <c r="M27" s="89"/>
      <c r="N27" s="89" t="str">
        <f aca="false">IF(OR(E27="",F27="",K27&lt;&gt;"Active"),"",COUNTIFS(E$5:E27,E27,F$5:F27,F27,K$5:K27,"Active"))</f>
        <v/>
      </c>
      <c r="O27" s="89" t="str">
        <f aca="false">IF(N27="","",E27&amp;"|"&amp;F27&amp;"|"&amp;N27)</f>
        <v/>
      </c>
      <c r="P27" s="85" t="str">
        <f aca="false">IF(N27="","",IF(N27&gt;Settings!$B$7,"Over limit",IF(N27=Settings!$B$7,"Class full","OK")))</f>
        <v/>
      </c>
    </row>
    <row r="28" customFormat="false" ht="19.5" hidden="false" customHeight="true" outlineLevel="0" collapsed="false">
      <c r="A28" s="85" t="str">
        <f aca="false">IF(B28="","","S"&amp;TEXT(ROW()-4,"0000"))</f>
        <v/>
      </c>
      <c r="B28" s="86"/>
      <c r="C28" s="52"/>
      <c r="D28" s="91"/>
      <c r="E28" s="52"/>
      <c r="F28" s="52"/>
      <c r="G28" s="86"/>
      <c r="H28" s="86"/>
      <c r="I28" s="86"/>
      <c r="J28" s="91"/>
      <c r="K28" s="52"/>
      <c r="L28" s="86"/>
      <c r="M28" s="89"/>
      <c r="N28" s="89" t="str">
        <f aca="false">IF(OR(E28="",F28="",K28&lt;&gt;"Active"),"",COUNTIFS(E$5:E28,E28,F$5:F28,F28,K$5:K28,"Active"))</f>
        <v/>
      </c>
      <c r="O28" s="89" t="str">
        <f aca="false">IF(N28="","",E28&amp;"|"&amp;F28&amp;"|"&amp;N28)</f>
        <v/>
      </c>
      <c r="P28" s="85" t="str">
        <f aca="false">IF(N28="","",IF(N28&gt;Settings!$B$7,"Over limit",IF(N28=Settings!$B$7,"Class full","OK")))</f>
        <v/>
      </c>
    </row>
    <row r="29" customFormat="false" ht="19.5" hidden="false" customHeight="true" outlineLevel="0" collapsed="false">
      <c r="A29" s="85" t="str">
        <f aca="false">IF(B29="","","S"&amp;TEXT(ROW()-4,"0000"))</f>
        <v/>
      </c>
      <c r="B29" s="86"/>
      <c r="C29" s="52"/>
      <c r="D29" s="91"/>
      <c r="E29" s="52"/>
      <c r="F29" s="52"/>
      <c r="G29" s="86"/>
      <c r="H29" s="86"/>
      <c r="I29" s="86"/>
      <c r="J29" s="91"/>
      <c r="K29" s="52"/>
      <c r="L29" s="86"/>
      <c r="M29" s="89"/>
      <c r="N29" s="89" t="str">
        <f aca="false">IF(OR(E29="",F29="",K29&lt;&gt;"Active"),"",COUNTIFS(E$5:E29,E29,F$5:F29,F29,K$5:K29,"Active"))</f>
        <v/>
      </c>
      <c r="O29" s="89" t="str">
        <f aca="false">IF(N29="","",E29&amp;"|"&amp;F29&amp;"|"&amp;N29)</f>
        <v/>
      </c>
      <c r="P29" s="85" t="str">
        <f aca="false">IF(N29="","",IF(N29&gt;Settings!$B$7,"Over limit",IF(N29=Settings!$B$7,"Class full","OK")))</f>
        <v/>
      </c>
    </row>
    <row r="30" customFormat="false" ht="19.5" hidden="false" customHeight="true" outlineLevel="0" collapsed="false">
      <c r="A30" s="85" t="str">
        <f aca="false">IF(B30="","","S"&amp;TEXT(ROW()-4,"0000"))</f>
        <v/>
      </c>
      <c r="B30" s="86"/>
      <c r="C30" s="52"/>
      <c r="D30" s="91"/>
      <c r="E30" s="52"/>
      <c r="F30" s="52"/>
      <c r="G30" s="86"/>
      <c r="H30" s="86"/>
      <c r="I30" s="86"/>
      <c r="J30" s="91"/>
      <c r="K30" s="52"/>
      <c r="L30" s="86"/>
      <c r="M30" s="89"/>
      <c r="N30" s="89" t="str">
        <f aca="false">IF(OR(E30="",F30="",K30&lt;&gt;"Active"),"",COUNTIFS(E$5:E30,E30,F$5:F30,F30,K$5:K30,"Active"))</f>
        <v/>
      </c>
      <c r="O30" s="89" t="str">
        <f aca="false">IF(N30="","",E30&amp;"|"&amp;F30&amp;"|"&amp;N30)</f>
        <v/>
      </c>
      <c r="P30" s="85" t="str">
        <f aca="false">IF(N30="","",IF(N30&gt;Settings!$B$7,"Over limit",IF(N30=Settings!$B$7,"Class full","OK")))</f>
        <v/>
      </c>
    </row>
    <row r="31" customFormat="false" ht="19.5" hidden="false" customHeight="true" outlineLevel="0" collapsed="false">
      <c r="A31" s="85" t="str">
        <f aca="false">IF(B31="","","S"&amp;TEXT(ROW()-4,"0000"))</f>
        <v/>
      </c>
      <c r="B31" s="86"/>
      <c r="C31" s="52"/>
      <c r="D31" s="91"/>
      <c r="E31" s="52"/>
      <c r="F31" s="52"/>
      <c r="G31" s="86"/>
      <c r="H31" s="86"/>
      <c r="I31" s="86"/>
      <c r="J31" s="91"/>
      <c r="K31" s="52"/>
      <c r="L31" s="86"/>
      <c r="M31" s="89"/>
      <c r="N31" s="89" t="str">
        <f aca="false">IF(OR(E31="",F31="",K31&lt;&gt;"Active"),"",COUNTIFS(E$5:E31,E31,F$5:F31,F31,K$5:K31,"Active"))</f>
        <v/>
      </c>
      <c r="O31" s="89" t="str">
        <f aca="false">IF(N31="","",E31&amp;"|"&amp;F31&amp;"|"&amp;N31)</f>
        <v/>
      </c>
      <c r="P31" s="85" t="str">
        <f aca="false">IF(N31="","",IF(N31&gt;Settings!$B$7,"Over limit",IF(N31=Settings!$B$7,"Class full","OK")))</f>
        <v/>
      </c>
    </row>
    <row r="32" customFormat="false" ht="19.5" hidden="false" customHeight="true" outlineLevel="0" collapsed="false">
      <c r="A32" s="85" t="str">
        <f aca="false">IF(B32="","","S"&amp;TEXT(ROW()-4,"0000"))</f>
        <v/>
      </c>
      <c r="B32" s="86"/>
      <c r="C32" s="52"/>
      <c r="D32" s="91"/>
      <c r="E32" s="52"/>
      <c r="F32" s="52"/>
      <c r="G32" s="86"/>
      <c r="H32" s="86"/>
      <c r="I32" s="86"/>
      <c r="J32" s="91"/>
      <c r="K32" s="52"/>
      <c r="L32" s="86"/>
      <c r="M32" s="89"/>
      <c r="N32" s="89" t="str">
        <f aca="false">IF(OR(E32="",F32="",K32&lt;&gt;"Active"),"",COUNTIFS(E$5:E32,E32,F$5:F32,F32,K$5:K32,"Active"))</f>
        <v/>
      </c>
      <c r="O32" s="89" t="str">
        <f aca="false">IF(N32="","",E32&amp;"|"&amp;F32&amp;"|"&amp;N32)</f>
        <v/>
      </c>
      <c r="P32" s="85" t="str">
        <f aca="false">IF(N32="","",IF(N32&gt;Settings!$B$7,"Over limit",IF(N32=Settings!$B$7,"Class full","OK")))</f>
        <v/>
      </c>
    </row>
    <row r="33" customFormat="false" ht="19.5" hidden="false" customHeight="true" outlineLevel="0" collapsed="false">
      <c r="A33" s="85" t="str">
        <f aca="false">IF(B33="","","S"&amp;TEXT(ROW()-4,"0000"))</f>
        <v/>
      </c>
      <c r="B33" s="86"/>
      <c r="C33" s="52"/>
      <c r="D33" s="91"/>
      <c r="E33" s="52"/>
      <c r="F33" s="52"/>
      <c r="G33" s="86"/>
      <c r="H33" s="86"/>
      <c r="I33" s="86"/>
      <c r="J33" s="91"/>
      <c r="K33" s="52"/>
      <c r="L33" s="86"/>
      <c r="M33" s="89"/>
      <c r="N33" s="89" t="str">
        <f aca="false">IF(OR(E33="",F33="",K33&lt;&gt;"Active"),"",COUNTIFS(E$5:E33,E33,F$5:F33,F33,K$5:K33,"Active"))</f>
        <v/>
      </c>
      <c r="O33" s="89" t="str">
        <f aca="false">IF(N33="","",E33&amp;"|"&amp;F33&amp;"|"&amp;N33)</f>
        <v/>
      </c>
      <c r="P33" s="85" t="str">
        <f aca="false">IF(N33="","",IF(N33&gt;Settings!$B$7,"Over limit",IF(N33=Settings!$B$7,"Class full","OK")))</f>
        <v/>
      </c>
    </row>
    <row r="34" customFormat="false" ht="19.5" hidden="false" customHeight="true" outlineLevel="0" collapsed="false">
      <c r="A34" s="85" t="str">
        <f aca="false">IF(B34="","","S"&amp;TEXT(ROW()-4,"0000"))</f>
        <v/>
      </c>
      <c r="B34" s="86"/>
      <c r="C34" s="52"/>
      <c r="D34" s="91"/>
      <c r="E34" s="52"/>
      <c r="F34" s="52"/>
      <c r="G34" s="86"/>
      <c r="H34" s="86"/>
      <c r="I34" s="86"/>
      <c r="J34" s="91"/>
      <c r="K34" s="52"/>
      <c r="L34" s="86"/>
      <c r="M34" s="89"/>
      <c r="N34" s="89" t="str">
        <f aca="false">IF(OR(E34="",F34="",K34&lt;&gt;"Active"),"",COUNTIFS(E$5:E34,E34,F$5:F34,F34,K$5:K34,"Active"))</f>
        <v/>
      </c>
      <c r="O34" s="89" t="str">
        <f aca="false">IF(N34="","",E34&amp;"|"&amp;F34&amp;"|"&amp;N34)</f>
        <v/>
      </c>
      <c r="P34" s="85" t="str">
        <f aca="false">IF(N34="","",IF(N34&gt;Settings!$B$7,"Over limit",IF(N34=Settings!$B$7,"Class full","OK")))</f>
        <v/>
      </c>
    </row>
    <row r="35" customFormat="false" ht="19.5" hidden="false" customHeight="true" outlineLevel="0" collapsed="false">
      <c r="A35" s="85" t="str">
        <f aca="false">IF(B35="","","S"&amp;TEXT(ROW()-4,"0000"))</f>
        <v/>
      </c>
      <c r="B35" s="86"/>
      <c r="C35" s="52"/>
      <c r="D35" s="91"/>
      <c r="E35" s="52"/>
      <c r="F35" s="52"/>
      <c r="G35" s="86"/>
      <c r="H35" s="86"/>
      <c r="I35" s="86"/>
      <c r="J35" s="91"/>
      <c r="K35" s="52"/>
      <c r="L35" s="86"/>
      <c r="M35" s="89"/>
      <c r="N35" s="89" t="str">
        <f aca="false">IF(OR(E35="",F35="",K35&lt;&gt;"Active"),"",COUNTIFS(E$5:E35,E35,F$5:F35,F35,K$5:K35,"Active"))</f>
        <v/>
      </c>
      <c r="O35" s="89" t="str">
        <f aca="false">IF(N35="","",E35&amp;"|"&amp;F35&amp;"|"&amp;N35)</f>
        <v/>
      </c>
      <c r="P35" s="85" t="str">
        <f aca="false">IF(N35="","",IF(N35&gt;Settings!$B$7,"Over limit",IF(N35=Settings!$B$7,"Class full","OK")))</f>
        <v/>
      </c>
    </row>
    <row r="36" customFormat="false" ht="19.5" hidden="false" customHeight="true" outlineLevel="0" collapsed="false">
      <c r="A36" s="85" t="str">
        <f aca="false">IF(B36="","","S"&amp;TEXT(ROW()-4,"0000"))</f>
        <v/>
      </c>
      <c r="B36" s="86"/>
      <c r="C36" s="52"/>
      <c r="D36" s="91"/>
      <c r="E36" s="52"/>
      <c r="F36" s="52"/>
      <c r="G36" s="86"/>
      <c r="H36" s="86"/>
      <c r="I36" s="86"/>
      <c r="J36" s="91"/>
      <c r="K36" s="52"/>
      <c r="L36" s="86"/>
      <c r="M36" s="89"/>
      <c r="N36" s="89" t="str">
        <f aca="false">IF(OR(E36="",F36="",K36&lt;&gt;"Active"),"",COUNTIFS(E$5:E36,E36,F$5:F36,F36,K$5:K36,"Active"))</f>
        <v/>
      </c>
      <c r="O36" s="89" t="str">
        <f aca="false">IF(N36="","",E36&amp;"|"&amp;F36&amp;"|"&amp;N36)</f>
        <v/>
      </c>
      <c r="P36" s="85" t="str">
        <f aca="false">IF(N36="","",IF(N36&gt;Settings!$B$7,"Over limit",IF(N36=Settings!$B$7,"Class full","OK")))</f>
        <v/>
      </c>
    </row>
    <row r="37" customFormat="false" ht="19.5" hidden="false" customHeight="true" outlineLevel="0" collapsed="false">
      <c r="A37" s="85" t="str">
        <f aca="false">IF(B37="","","S"&amp;TEXT(ROW()-4,"0000"))</f>
        <v/>
      </c>
      <c r="B37" s="86"/>
      <c r="C37" s="52"/>
      <c r="D37" s="91"/>
      <c r="E37" s="52"/>
      <c r="F37" s="52"/>
      <c r="G37" s="86"/>
      <c r="H37" s="86"/>
      <c r="I37" s="86"/>
      <c r="J37" s="91"/>
      <c r="K37" s="52"/>
      <c r="L37" s="86"/>
      <c r="M37" s="89"/>
      <c r="N37" s="89" t="str">
        <f aca="false">IF(OR(E37="",F37="",K37&lt;&gt;"Active"),"",COUNTIFS(E$5:E37,E37,F$5:F37,F37,K$5:K37,"Active"))</f>
        <v/>
      </c>
      <c r="O37" s="89" t="str">
        <f aca="false">IF(N37="","",E37&amp;"|"&amp;F37&amp;"|"&amp;N37)</f>
        <v/>
      </c>
      <c r="P37" s="85" t="str">
        <f aca="false">IF(N37="","",IF(N37&gt;Settings!$B$7,"Over limit",IF(N37=Settings!$B$7,"Class full","OK")))</f>
        <v/>
      </c>
    </row>
    <row r="38" customFormat="false" ht="19.5" hidden="false" customHeight="true" outlineLevel="0" collapsed="false">
      <c r="A38" s="85" t="str">
        <f aca="false">IF(B38="","","S"&amp;TEXT(ROW()-4,"0000"))</f>
        <v/>
      </c>
      <c r="B38" s="86"/>
      <c r="C38" s="52"/>
      <c r="D38" s="91"/>
      <c r="E38" s="52"/>
      <c r="F38" s="52"/>
      <c r="G38" s="86"/>
      <c r="H38" s="86"/>
      <c r="I38" s="86"/>
      <c r="J38" s="91"/>
      <c r="K38" s="52"/>
      <c r="L38" s="86"/>
      <c r="M38" s="89"/>
      <c r="N38" s="89" t="str">
        <f aca="false">IF(OR(E38="",F38="",K38&lt;&gt;"Active"),"",COUNTIFS(E$5:E38,E38,F$5:F38,F38,K$5:K38,"Active"))</f>
        <v/>
      </c>
      <c r="O38" s="89" t="str">
        <f aca="false">IF(N38="","",E38&amp;"|"&amp;F38&amp;"|"&amp;N38)</f>
        <v/>
      </c>
      <c r="P38" s="85" t="str">
        <f aca="false">IF(N38="","",IF(N38&gt;Settings!$B$7,"Over limit",IF(N38=Settings!$B$7,"Class full","OK")))</f>
        <v/>
      </c>
    </row>
    <row r="39" customFormat="false" ht="19.5" hidden="false" customHeight="true" outlineLevel="0" collapsed="false">
      <c r="A39" s="85" t="str">
        <f aca="false">IF(B39="","","S"&amp;TEXT(ROW()-4,"0000"))</f>
        <v/>
      </c>
      <c r="B39" s="86"/>
      <c r="C39" s="52"/>
      <c r="D39" s="91"/>
      <c r="E39" s="52"/>
      <c r="F39" s="52"/>
      <c r="G39" s="86"/>
      <c r="H39" s="86"/>
      <c r="I39" s="86"/>
      <c r="J39" s="91"/>
      <c r="K39" s="52"/>
      <c r="L39" s="86"/>
      <c r="M39" s="89"/>
      <c r="N39" s="89" t="str">
        <f aca="false">IF(OR(E39="",F39="",K39&lt;&gt;"Active"),"",COUNTIFS(E$5:E39,E39,F$5:F39,F39,K$5:K39,"Active"))</f>
        <v/>
      </c>
      <c r="O39" s="89" t="str">
        <f aca="false">IF(N39="","",E39&amp;"|"&amp;F39&amp;"|"&amp;N39)</f>
        <v/>
      </c>
      <c r="P39" s="85" t="str">
        <f aca="false">IF(N39="","",IF(N39&gt;Settings!$B$7,"Over limit",IF(N39=Settings!$B$7,"Class full","OK")))</f>
        <v/>
      </c>
    </row>
    <row r="40" customFormat="false" ht="19.5" hidden="false" customHeight="true" outlineLevel="0" collapsed="false">
      <c r="A40" s="85" t="str">
        <f aca="false">IF(B40="","","S"&amp;TEXT(ROW()-4,"0000"))</f>
        <v/>
      </c>
      <c r="B40" s="86"/>
      <c r="C40" s="52"/>
      <c r="D40" s="91"/>
      <c r="E40" s="52"/>
      <c r="F40" s="52"/>
      <c r="G40" s="86"/>
      <c r="H40" s="86"/>
      <c r="I40" s="86"/>
      <c r="J40" s="91"/>
      <c r="K40" s="52"/>
      <c r="L40" s="86"/>
      <c r="M40" s="89"/>
      <c r="N40" s="89" t="str">
        <f aca="false">IF(OR(E40="",F40="",K40&lt;&gt;"Active"),"",COUNTIFS(E$5:E40,E40,F$5:F40,F40,K$5:K40,"Active"))</f>
        <v/>
      </c>
      <c r="O40" s="89" t="str">
        <f aca="false">IF(N40="","",E40&amp;"|"&amp;F40&amp;"|"&amp;N40)</f>
        <v/>
      </c>
      <c r="P40" s="85" t="str">
        <f aca="false">IF(N40="","",IF(N40&gt;Settings!$B$7,"Over limit",IF(N40=Settings!$B$7,"Class full","OK")))</f>
        <v/>
      </c>
    </row>
    <row r="41" customFormat="false" ht="19.5" hidden="false" customHeight="true" outlineLevel="0" collapsed="false">
      <c r="A41" s="85" t="str">
        <f aca="false">IF(B41="","","S"&amp;TEXT(ROW()-4,"0000"))</f>
        <v/>
      </c>
      <c r="B41" s="86"/>
      <c r="C41" s="52"/>
      <c r="D41" s="91"/>
      <c r="E41" s="52"/>
      <c r="F41" s="52"/>
      <c r="G41" s="86"/>
      <c r="H41" s="86"/>
      <c r="I41" s="86"/>
      <c r="J41" s="91"/>
      <c r="K41" s="52"/>
      <c r="L41" s="86"/>
      <c r="M41" s="89"/>
      <c r="N41" s="89" t="str">
        <f aca="false">IF(OR(E41="",F41="",K41&lt;&gt;"Active"),"",COUNTIFS(E$5:E41,E41,F$5:F41,F41,K$5:K41,"Active"))</f>
        <v/>
      </c>
      <c r="O41" s="89" t="str">
        <f aca="false">IF(N41="","",E41&amp;"|"&amp;F41&amp;"|"&amp;N41)</f>
        <v/>
      </c>
      <c r="P41" s="85" t="str">
        <f aca="false">IF(N41="","",IF(N41&gt;Settings!$B$7,"Over limit",IF(N41=Settings!$B$7,"Class full","OK")))</f>
        <v/>
      </c>
    </row>
    <row r="42" customFormat="false" ht="19.5" hidden="false" customHeight="true" outlineLevel="0" collapsed="false">
      <c r="A42" s="85" t="str">
        <f aca="false">IF(B42="","","S"&amp;TEXT(ROW()-4,"0000"))</f>
        <v/>
      </c>
      <c r="B42" s="86"/>
      <c r="C42" s="52"/>
      <c r="D42" s="91"/>
      <c r="E42" s="52"/>
      <c r="F42" s="52"/>
      <c r="G42" s="86"/>
      <c r="H42" s="86"/>
      <c r="I42" s="86"/>
      <c r="J42" s="91"/>
      <c r="K42" s="52"/>
      <c r="L42" s="86"/>
      <c r="M42" s="89"/>
      <c r="N42" s="89" t="str">
        <f aca="false">IF(OR(E42="",F42="",K42&lt;&gt;"Active"),"",COUNTIFS(E$5:E42,E42,F$5:F42,F42,K$5:K42,"Active"))</f>
        <v/>
      </c>
      <c r="O42" s="89" t="str">
        <f aca="false">IF(N42="","",E42&amp;"|"&amp;F42&amp;"|"&amp;N42)</f>
        <v/>
      </c>
      <c r="P42" s="85" t="str">
        <f aca="false">IF(N42="","",IF(N42&gt;Settings!$B$7,"Over limit",IF(N42=Settings!$B$7,"Class full","OK")))</f>
        <v/>
      </c>
    </row>
    <row r="43" customFormat="false" ht="19.5" hidden="false" customHeight="true" outlineLevel="0" collapsed="false">
      <c r="A43" s="85" t="str">
        <f aca="false">IF(B43="","","S"&amp;TEXT(ROW()-4,"0000"))</f>
        <v/>
      </c>
      <c r="B43" s="86"/>
      <c r="C43" s="52"/>
      <c r="D43" s="91"/>
      <c r="E43" s="52"/>
      <c r="F43" s="52"/>
      <c r="G43" s="86"/>
      <c r="H43" s="86"/>
      <c r="I43" s="86"/>
      <c r="J43" s="91"/>
      <c r="K43" s="52"/>
      <c r="L43" s="86"/>
      <c r="M43" s="89"/>
      <c r="N43" s="89" t="str">
        <f aca="false">IF(OR(E43="",F43="",K43&lt;&gt;"Active"),"",COUNTIFS(E$5:E43,E43,F$5:F43,F43,K$5:K43,"Active"))</f>
        <v/>
      </c>
      <c r="O43" s="89" t="str">
        <f aca="false">IF(N43="","",E43&amp;"|"&amp;F43&amp;"|"&amp;N43)</f>
        <v/>
      </c>
      <c r="P43" s="85" t="str">
        <f aca="false">IF(N43="","",IF(N43&gt;Settings!$B$7,"Over limit",IF(N43=Settings!$B$7,"Class full","OK")))</f>
        <v/>
      </c>
    </row>
    <row r="44" customFormat="false" ht="19.5" hidden="false" customHeight="true" outlineLevel="0" collapsed="false">
      <c r="A44" s="85" t="str">
        <f aca="false">IF(B44="","","S"&amp;TEXT(ROW()-4,"0000"))</f>
        <v/>
      </c>
      <c r="B44" s="86"/>
      <c r="C44" s="52"/>
      <c r="D44" s="91"/>
      <c r="E44" s="52"/>
      <c r="F44" s="52"/>
      <c r="G44" s="86"/>
      <c r="H44" s="86"/>
      <c r="I44" s="86"/>
      <c r="J44" s="91"/>
      <c r="K44" s="52"/>
      <c r="L44" s="86"/>
      <c r="M44" s="89"/>
      <c r="N44" s="89" t="str">
        <f aca="false">IF(OR(E44="",F44="",K44&lt;&gt;"Active"),"",COUNTIFS(E$5:E44,E44,F$5:F44,F44,K$5:K44,"Active"))</f>
        <v/>
      </c>
      <c r="O44" s="89" t="str">
        <f aca="false">IF(N44="","",E44&amp;"|"&amp;F44&amp;"|"&amp;N44)</f>
        <v/>
      </c>
      <c r="P44" s="85" t="str">
        <f aca="false">IF(N44="","",IF(N44&gt;Settings!$B$7,"Over limit",IF(N44=Settings!$B$7,"Class full","OK")))</f>
        <v/>
      </c>
    </row>
    <row r="45" customFormat="false" ht="19.5" hidden="false" customHeight="true" outlineLevel="0" collapsed="false">
      <c r="A45" s="85" t="str">
        <f aca="false">IF(B45="","","S"&amp;TEXT(ROW()-4,"0000"))</f>
        <v/>
      </c>
      <c r="B45" s="86"/>
      <c r="C45" s="52"/>
      <c r="D45" s="91"/>
      <c r="E45" s="52"/>
      <c r="F45" s="52"/>
      <c r="G45" s="86"/>
      <c r="H45" s="86"/>
      <c r="I45" s="86"/>
      <c r="J45" s="91"/>
      <c r="K45" s="52"/>
      <c r="L45" s="86"/>
      <c r="M45" s="89"/>
      <c r="N45" s="89" t="str">
        <f aca="false">IF(OR(E45="",F45="",K45&lt;&gt;"Active"),"",COUNTIFS(E$5:E45,E45,F$5:F45,F45,K$5:K45,"Active"))</f>
        <v/>
      </c>
      <c r="O45" s="89" t="str">
        <f aca="false">IF(N45="","",E45&amp;"|"&amp;F45&amp;"|"&amp;N45)</f>
        <v/>
      </c>
      <c r="P45" s="85" t="str">
        <f aca="false">IF(N45="","",IF(N45&gt;Settings!$B$7,"Over limit",IF(N45=Settings!$B$7,"Class full","OK")))</f>
        <v/>
      </c>
    </row>
    <row r="46" customFormat="false" ht="19.5" hidden="false" customHeight="true" outlineLevel="0" collapsed="false">
      <c r="A46" s="85" t="str">
        <f aca="false">IF(B46="","","S"&amp;TEXT(ROW()-4,"0000"))</f>
        <v/>
      </c>
      <c r="B46" s="86"/>
      <c r="C46" s="52"/>
      <c r="D46" s="91"/>
      <c r="E46" s="52"/>
      <c r="F46" s="52"/>
      <c r="G46" s="86"/>
      <c r="H46" s="86"/>
      <c r="I46" s="86"/>
      <c r="J46" s="91"/>
      <c r="K46" s="52"/>
      <c r="L46" s="86"/>
      <c r="M46" s="89"/>
      <c r="N46" s="89" t="str">
        <f aca="false">IF(OR(E46="",F46="",K46&lt;&gt;"Active"),"",COUNTIFS(E$5:E46,E46,F$5:F46,F46,K$5:K46,"Active"))</f>
        <v/>
      </c>
      <c r="O46" s="89" t="str">
        <f aca="false">IF(N46="","",E46&amp;"|"&amp;F46&amp;"|"&amp;N46)</f>
        <v/>
      </c>
      <c r="P46" s="85" t="str">
        <f aca="false">IF(N46="","",IF(N46&gt;Settings!$B$7,"Over limit",IF(N46=Settings!$B$7,"Class full","OK")))</f>
        <v/>
      </c>
    </row>
    <row r="47" customFormat="false" ht="19.5" hidden="false" customHeight="true" outlineLevel="0" collapsed="false">
      <c r="A47" s="85" t="str">
        <f aca="false">IF(B47="","","S"&amp;TEXT(ROW()-4,"0000"))</f>
        <v/>
      </c>
      <c r="B47" s="86"/>
      <c r="C47" s="52"/>
      <c r="D47" s="91"/>
      <c r="E47" s="52"/>
      <c r="F47" s="52"/>
      <c r="G47" s="86"/>
      <c r="H47" s="86"/>
      <c r="I47" s="86"/>
      <c r="J47" s="91"/>
      <c r="K47" s="52"/>
      <c r="L47" s="86"/>
      <c r="M47" s="89"/>
      <c r="N47" s="89" t="str">
        <f aca="false">IF(OR(E47="",F47="",K47&lt;&gt;"Active"),"",COUNTIFS(E$5:E47,E47,F$5:F47,F47,K$5:K47,"Active"))</f>
        <v/>
      </c>
      <c r="O47" s="89" t="str">
        <f aca="false">IF(N47="","",E47&amp;"|"&amp;F47&amp;"|"&amp;N47)</f>
        <v/>
      </c>
      <c r="P47" s="85" t="str">
        <f aca="false">IF(N47="","",IF(N47&gt;Settings!$B$7,"Over limit",IF(N47=Settings!$B$7,"Class full","OK")))</f>
        <v/>
      </c>
    </row>
    <row r="48" customFormat="false" ht="19.5" hidden="false" customHeight="true" outlineLevel="0" collapsed="false">
      <c r="A48" s="85" t="str">
        <f aca="false">IF(B48="","","S"&amp;TEXT(ROW()-4,"0000"))</f>
        <v/>
      </c>
      <c r="B48" s="86"/>
      <c r="C48" s="52"/>
      <c r="D48" s="91"/>
      <c r="E48" s="52"/>
      <c r="F48" s="52"/>
      <c r="G48" s="86"/>
      <c r="H48" s="86"/>
      <c r="I48" s="86"/>
      <c r="J48" s="91"/>
      <c r="K48" s="52"/>
      <c r="L48" s="86"/>
      <c r="M48" s="89"/>
      <c r="N48" s="89" t="str">
        <f aca="false">IF(OR(E48="",F48="",K48&lt;&gt;"Active"),"",COUNTIFS(E$5:E48,E48,F$5:F48,F48,K$5:K48,"Active"))</f>
        <v/>
      </c>
      <c r="O48" s="89" t="str">
        <f aca="false">IF(N48="","",E48&amp;"|"&amp;F48&amp;"|"&amp;N48)</f>
        <v/>
      </c>
      <c r="P48" s="85" t="str">
        <f aca="false">IF(N48="","",IF(N48&gt;Settings!$B$7,"Over limit",IF(N48=Settings!$B$7,"Class full","OK")))</f>
        <v/>
      </c>
    </row>
    <row r="49" customFormat="false" ht="19.5" hidden="false" customHeight="true" outlineLevel="0" collapsed="false">
      <c r="A49" s="85" t="str">
        <f aca="false">IF(B49="","","S"&amp;TEXT(ROW()-4,"0000"))</f>
        <v/>
      </c>
      <c r="B49" s="86"/>
      <c r="C49" s="52"/>
      <c r="D49" s="91"/>
      <c r="E49" s="52"/>
      <c r="F49" s="52"/>
      <c r="G49" s="86"/>
      <c r="H49" s="86"/>
      <c r="I49" s="86"/>
      <c r="J49" s="91"/>
      <c r="K49" s="52"/>
      <c r="L49" s="86"/>
      <c r="M49" s="89"/>
      <c r="N49" s="89" t="str">
        <f aca="false">IF(OR(E49="",F49="",K49&lt;&gt;"Active"),"",COUNTIFS(E$5:E49,E49,F$5:F49,F49,K$5:K49,"Active"))</f>
        <v/>
      </c>
      <c r="O49" s="89" t="str">
        <f aca="false">IF(N49="","",E49&amp;"|"&amp;F49&amp;"|"&amp;N49)</f>
        <v/>
      </c>
      <c r="P49" s="85" t="str">
        <f aca="false">IF(N49="","",IF(N49&gt;Settings!$B$7,"Over limit",IF(N49=Settings!$B$7,"Class full","OK")))</f>
        <v/>
      </c>
    </row>
    <row r="50" customFormat="false" ht="19.5" hidden="false" customHeight="true" outlineLevel="0" collapsed="false">
      <c r="A50" s="85" t="str">
        <f aca="false">IF(B50="","","S"&amp;TEXT(ROW()-4,"0000"))</f>
        <v/>
      </c>
      <c r="B50" s="86"/>
      <c r="C50" s="52"/>
      <c r="D50" s="91"/>
      <c r="E50" s="52"/>
      <c r="F50" s="52"/>
      <c r="G50" s="86"/>
      <c r="H50" s="86"/>
      <c r="I50" s="86"/>
      <c r="J50" s="91"/>
      <c r="K50" s="52"/>
      <c r="L50" s="86"/>
      <c r="M50" s="89"/>
      <c r="N50" s="89" t="str">
        <f aca="false">IF(OR(E50="",F50="",K50&lt;&gt;"Active"),"",COUNTIFS(E$5:E50,E50,F$5:F50,F50,K$5:K50,"Active"))</f>
        <v/>
      </c>
      <c r="O50" s="89" t="str">
        <f aca="false">IF(N50="","",E50&amp;"|"&amp;F50&amp;"|"&amp;N50)</f>
        <v/>
      </c>
      <c r="P50" s="85" t="str">
        <f aca="false">IF(N50="","",IF(N50&gt;Settings!$B$7,"Over limit",IF(N50=Settings!$B$7,"Class full","OK")))</f>
        <v/>
      </c>
    </row>
    <row r="51" customFormat="false" ht="19.5" hidden="false" customHeight="true" outlineLevel="0" collapsed="false">
      <c r="A51" s="85" t="str">
        <f aca="false">IF(B51="","","S"&amp;TEXT(ROW()-4,"0000"))</f>
        <v/>
      </c>
      <c r="B51" s="86"/>
      <c r="C51" s="52"/>
      <c r="D51" s="91"/>
      <c r="E51" s="52"/>
      <c r="F51" s="52"/>
      <c r="G51" s="86"/>
      <c r="H51" s="86"/>
      <c r="I51" s="86"/>
      <c r="J51" s="91"/>
      <c r="K51" s="52"/>
      <c r="L51" s="86"/>
      <c r="M51" s="89"/>
      <c r="N51" s="89" t="str">
        <f aca="false">IF(OR(E51="",F51="",K51&lt;&gt;"Active"),"",COUNTIFS(E$5:E51,E51,F$5:F51,F51,K$5:K51,"Active"))</f>
        <v/>
      </c>
      <c r="O51" s="89" t="str">
        <f aca="false">IF(N51="","",E51&amp;"|"&amp;F51&amp;"|"&amp;N51)</f>
        <v/>
      </c>
      <c r="P51" s="85" t="str">
        <f aca="false">IF(N51="","",IF(N51&gt;Settings!$B$7,"Over limit",IF(N51=Settings!$B$7,"Class full","OK")))</f>
        <v/>
      </c>
    </row>
    <row r="52" customFormat="false" ht="19.5" hidden="false" customHeight="true" outlineLevel="0" collapsed="false">
      <c r="A52" s="85" t="str">
        <f aca="false">IF(B52="","","S"&amp;TEXT(ROW()-4,"0000"))</f>
        <v/>
      </c>
      <c r="B52" s="86"/>
      <c r="C52" s="52"/>
      <c r="D52" s="91"/>
      <c r="E52" s="52"/>
      <c r="F52" s="52"/>
      <c r="G52" s="86"/>
      <c r="H52" s="86"/>
      <c r="I52" s="86"/>
      <c r="J52" s="91"/>
      <c r="K52" s="52"/>
      <c r="L52" s="86"/>
      <c r="M52" s="89"/>
      <c r="N52" s="89" t="str">
        <f aca="false">IF(OR(E52="",F52="",K52&lt;&gt;"Active"),"",COUNTIFS(E$5:E52,E52,F$5:F52,F52,K$5:K52,"Active"))</f>
        <v/>
      </c>
      <c r="O52" s="89" t="str">
        <f aca="false">IF(N52="","",E52&amp;"|"&amp;F52&amp;"|"&amp;N52)</f>
        <v/>
      </c>
      <c r="P52" s="85" t="str">
        <f aca="false">IF(N52="","",IF(N52&gt;Settings!$B$7,"Over limit",IF(N52=Settings!$B$7,"Class full","OK")))</f>
        <v/>
      </c>
    </row>
    <row r="53" customFormat="false" ht="19.5" hidden="false" customHeight="true" outlineLevel="0" collapsed="false">
      <c r="A53" s="85" t="str">
        <f aca="false">IF(B53="","","S"&amp;TEXT(ROW()-4,"0000"))</f>
        <v/>
      </c>
      <c r="B53" s="86"/>
      <c r="C53" s="52"/>
      <c r="D53" s="91"/>
      <c r="E53" s="52"/>
      <c r="F53" s="52"/>
      <c r="G53" s="86"/>
      <c r="H53" s="86"/>
      <c r="I53" s="86"/>
      <c r="J53" s="91"/>
      <c r="K53" s="52"/>
      <c r="L53" s="86"/>
      <c r="M53" s="89"/>
      <c r="N53" s="89" t="str">
        <f aca="false">IF(OR(E53="",F53="",K53&lt;&gt;"Active"),"",COUNTIFS(E$5:E53,E53,F$5:F53,F53,K$5:K53,"Active"))</f>
        <v/>
      </c>
      <c r="O53" s="89" t="str">
        <f aca="false">IF(N53="","",E53&amp;"|"&amp;F53&amp;"|"&amp;N53)</f>
        <v/>
      </c>
      <c r="P53" s="85" t="str">
        <f aca="false">IF(N53="","",IF(N53&gt;Settings!$B$7,"Over limit",IF(N53=Settings!$B$7,"Class full","OK")))</f>
        <v/>
      </c>
    </row>
    <row r="54" customFormat="false" ht="19.5" hidden="false" customHeight="true" outlineLevel="0" collapsed="false">
      <c r="A54" s="85" t="str">
        <f aca="false">IF(B54="","","S"&amp;TEXT(ROW()-4,"0000"))</f>
        <v/>
      </c>
      <c r="B54" s="86"/>
      <c r="C54" s="52"/>
      <c r="D54" s="91"/>
      <c r="E54" s="52"/>
      <c r="F54" s="52"/>
      <c r="G54" s="86"/>
      <c r="H54" s="86"/>
      <c r="I54" s="86"/>
      <c r="J54" s="91"/>
      <c r="K54" s="52"/>
      <c r="L54" s="86"/>
      <c r="M54" s="89"/>
      <c r="N54" s="89" t="str">
        <f aca="false">IF(OR(E54="",F54="",K54&lt;&gt;"Active"),"",COUNTIFS(E$5:E54,E54,F$5:F54,F54,K$5:K54,"Active"))</f>
        <v/>
      </c>
      <c r="O54" s="89" t="str">
        <f aca="false">IF(N54="","",E54&amp;"|"&amp;F54&amp;"|"&amp;N54)</f>
        <v/>
      </c>
      <c r="P54" s="85" t="str">
        <f aca="false">IF(N54="","",IF(N54&gt;Settings!$B$7,"Over limit",IF(N54=Settings!$B$7,"Class full","OK")))</f>
        <v/>
      </c>
    </row>
    <row r="55" customFormat="false" ht="19.5" hidden="false" customHeight="true" outlineLevel="0" collapsed="false">
      <c r="A55" s="85" t="str">
        <f aca="false">IF(B55="","","S"&amp;TEXT(ROW()-4,"0000"))</f>
        <v/>
      </c>
      <c r="B55" s="86"/>
      <c r="C55" s="52"/>
      <c r="D55" s="91"/>
      <c r="E55" s="52"/>
      <c r="F55" s="52"/>
      <c r="G55" s="86"/>
      <c r="H55" s="86"/>
      <c r="I55" s="86"/>
      <c r="J55" s="91"/>
      <c r="K55" s="52"/>
      <c r="L55" s="86"/>
      <c r="M55" s="89"/>
      <c r="N55" s="89" t="str">
        <f aca="false">IF(OR(E55="",F55="",K55&lt;&gt;"Active"),"",COUNTIFS(E$5:E55,E55,F$5:F55,F55,K$5:K55,"Active"))</f>
        <v/>
      </c>
      <c r="O55" s="89" t="str">
        <f aca="false">IF(N55="","",E55&amp;"|"&amp;F55&amp;"|"&amp;N55)</f>
        <v/>
      </c>
      <c r="P55" s="85" t="str">
        <f aca="false">IF(N55="","",IF(N55&gt;Settings!$B$7,"Over limit",IF(N55=Settings!$B$7,"Class full","OK")))</f>
        <v/>
      </c>
    </row>
    <row r="56" customFormat="false" ht="19.5" hidden="false" customHeight="true" outlineLevel="0" collapsed="false">
      <c r="A56" s="85" t="str">
        <f aca="false">IF(B56="","","S"&amp;TEXT(ROW()-4,"0000"))</f>
        <v/>
      </c>
      <c r="B56" s="86"/>
      <c r="C56" s="52"/>
      <c r="D56" s="91"/>
      <c r="E56" s="52"/>
      <c r="F56" s="52"/>
      <c r="G56" s="86"/>
      <c r="H56" s="86"/>
      <c r="I56" s="86"/>
      <c r="J56" s="91"/>
      <c r="K56" s="52"/>
      <c r="L56" s="86"/>
      <c r="M56" s="89"/>
      <c r="N56" s="89" t="str">
        <f aca="false">IF(OR(E56="",F56="",K56&lt;&gt;"Active"),"",COUNTIFS(E$5:E56,E56,F$5:F56,F56,K$5:K56,"Active"))</f>
        <v/>
      </c>
      <c r="O56" s="89" t="str">
        <f aca="false">IF(N56="","",E56&amp;"|"&amp;F56&amp;"|"&amp;N56)</f>
        <v/>
      </c>
      <c r="P56" s="85" t="str">
        <f aca="false">IF(N56="","",IF(N56&gt;Settings!$B$7,"Over limit",IF(N56=Settings!$B$7,"Class full","OK")))</f>
        <v/>
      </c>
    </row>
    <row r="57" customFormat="false" ht="19.5" hidden="false" customHeight="true" outlineLevel="0" collapsed="false">
      <c r="A57" s="85" t="str">
        <f aca="false">IF(B57="","","S"&amp;TEXT(ROW()-4,"0000"))</f>
        <v/>
      </c>
      <c r="B57" s="86"/>
      <c r="C57" s="52"/>
      <c r="D57" s="91"/>
      <c r="E57" s="52"/>
      <c r="F57" s="52"/>
      <c r="G57" s="86"/>
      <c r="H57" s="86"/>
      <c r="I57" s="86"/>
      <c r="J57" s="91"/>
      <c r="K57" s="52"/>
      <c r="L57" s="86"/>
      <c r="M57" s="89"/>
      <c r="N57" s="89" t="str">
        <f aca="false">IF(OR(E57="",F57="",K57&lt;&gt;"Active"),"",COUNTIFS(E$5:E57,E57,F$5:F57,F57,K$5:K57,"Active"))</f>
        <v/>
      </c>
      <c r="O57" s="89" t="str">
        <f aca="false">IF(N57="","",E57&amp;"|"&amp;F57&amp;"|"&amp;N57)</f>
        <v/>
      </c>
      <c r="P57" s="85" t="str">
        <f aca="false">IF(N57="","",IF(N57&gt;Settings!$B$7,"Over limit",IF(N57=Settings!$B$7,"Class full","OK")))</f>
        <v/>
      </c>
    </row>
    <row r="58" customFormat="false" ht="19.5" hidden="false" customHeight="true" outlineLevel="0" collapsed="false">
      <c r="A58" s="85" t="str">
        <f aca="false">IF(B58="","","S"&amp;TEXT(ROW()-4,"0000"))</f>
        <v/>
      </c>
      <c r="B58" s="86"/>
      <c r="C58" s="52"/>
      <c r="D58" s="91"/>
      <c r="E58" s="52"/>
      <c r="F58" s="52"/>
      <c r="G58" s="86"/>
      <c r="H58" s="86"/>
      <c r="I58" s="86"/>
      <c r="J58" s="91"/>
      <c r="K58" s="52"/>
      <c r="L58" s="86"/>
      <c r="M58" s="89"/>
      <c r="N58" s="89" t="str">
        <f aca="false">IF(OR(E58="",F58="",K58&lt;&gt;"Active"),"",COUNTIFS(E$5:E58,E58,F$5:F58,F58,K$5:K58,"Active"))</f>
        <v/>
      </c>
      <c r="O58" s="89" t="str">
        <f aca="false">IF(N58="","",E58&amp;"|"&amp;F58&amp;"|"&amp;N58)</f>
        <v/>
      </c>
      <c r="P58" s="85" t="str">
        <f aca="false">IF(N58="","",IF(N58&gt;Settings!$B$7,"Over limit",IF(N58=Settings!$B$7,"Class full","OK")))</f>
        <v/>
      </c>
    </row>
    <row r="59" customFormat="false" ht="19.5" hidden="false" customHeight="true" outlineLevel="0" collapsed="false">
      <c r="A59" s="85" t="str">
        <f aca="false">IF(B59="","","S"&amp;TEXT(ROW()-4,"0000"))</f>
        <v/>
      </c>
      <c r="B59" s="86"/>
      <c r="C59" s="52"/>
      <c r="D59" s="91"/>
      <c r="E59" s="52"/>
      <c r="F59" s="52"/>
      <c r="G59" s="86"/>
      <c r="H59" s="86"/>
      <c r="I59" s="86"/>
      <c r="J59" s="91"/>
      <c r="K59" s="52"/>
      <c r="L59" s="86"/>
      <c r="M59" s="89"/>
      <c r="N59" s="89" t="str">
        <f aca="false">IF(OR(E59="",F59="",K59&lt;&gt;"Active"),"",COUNTIFS(E$5:E59,E59,F$5:F59,F59,K$5:K59,"Active"))</f>
        <v/>
      </c>
      <c r="O59" s="89" t="str">
        <f aca="false">IF(N59="","",E59&amp;"|"&amp;F59&amp;"|"&amp;N59)</f>
        <v/>
      </c>
      <c r="P59" s="85" t="str">
        <f aca="false">IF(N59="","",IF(N59&gt;Settings!$B$7,"Over limit",IF(N59=Settings!$B$7,"Class full","OK")))</f>
        <v/>
      </c>
    </row>
    <row r="60" customFormat="false" ht="19.5" hidden="false" customHeight="true" outlineLevel="0" collapsed="false">
      <c r="A60" s="85" t="str">
        <f aca="false">IF(B60="","","S"&amp;TEXT(ROW()-4,"0000"))</f>
        <v/>
      </c>
      <c r="B60" s="86"/>
      <c r="C60" s="52"/>
      <c r="D60" s="91"/>
      <c r="E60" s="52"/>
      <c r="F60" s="52"/>
      <c r="G60" s="86"/>
      <c r="H60" s="86"/>
      <c r="I60" s="86"/>
      <c r="J60" s="91"/>
      <c r="K60" s="52"/>
      <c r="L60" s="86"/>
      <c r="M60" s="89"/>
      <c r="N60" s="89" t="str">
        <f aca="false">IF(OR(E60="",F60="",K60&lt;&gt;"Active"),"",COUNTIFS(E$5:E60,E60,F$5:F60,F60,K$5:K60,"Active"))</f>
        <v/>
      </c>
      <c r="O60" s="89" t="str">
        <f aca="false">IF(N60="","",E60&amp;"|"&amp;F60&amp;"|"&amp;N60)</f>
        <v/>
      </c>
      <c r="P60" s="85" t="str">
        <f aca="false">IF(N60="","",IF(N60&gt;Settings!$B$7,"Over limit",IF(N60=Settings!$B$7,"Class full","OK")))</f>
        <v/>
      </c>
    </row>
    <row r="61" customFormat="false" ht="19.5" hidden="false" customHeight="true" outlineLevel="0" collapsed="false">
      <c r="A61" s="85" t="str">
        <f aca="false">IF(B61="","","S"&amp;TEXT(ROW()-4,"0000"))</f>
        <v/>
      </c>
      <c r="B61" s="86"/>
      <c r="C61" s="52"/>
      <c r="D61" s="91"/>
      <c r="E61" s="52"/>
      <c r="F61" s="52"/>
      <c r="G61" s="86"/>
      <c r="H61" s="86"/>
      <c r="I61" s="86"/>
      <c r="J61" s="91"/>
      <c r="K61" s="52"/>
      <c r="L61" s="86"/>
      <c r="M61" s="89"/>
      <c r="N61" s="89" t="str">
        <f aca="false">IF(OR(E61="",F61="",K61&lt;&gt;"Active"),"",COUNTIFS(E$5:E61,E61,F$5:F61,F61,K$5:K61,"Active"))</f>
        <v/>
      </c>
      <c r="O61" s="89" t="str">
        <f aca="false">IF(N61="","",E61&amp;"|"&amp;F61&amp;"|"&amp;N61)</f>
        <v/>
      </c>
      <c r="P61" s="85" t="str">
        <f aca="false">IF(N61="","",IF(N61&gt;Settings!$B$7,"Over limit",IF(N61=Settings!$B$7,"Class full","OK")))</f>
        <v/>
      </c>
    </row>
    <row r="62" customFormat="false" ht="19.5" hidden="false" customHeight="true" outlineLevel="0" collapsed="false">
      <c r="A62" s="85" t="str">
        <f aca="false">IF(B62="","","S"&amp;TEXT(ROW()-4,"0000"))</f>
        <v/>
      </c>
      <c r="B62" s="86"/>
      <c r="C62" s="52"/>
      <c r="D62" s="91"/>
      <c r="E62" s="52"/>
      <c r="F62" s="52"/>
      <c r="G62" s="86"/>
      <c r="H62" s="86"/>
      <c r="I62" s="86"/>
      <c r="J62" s="91"/>
      <c r="K62" s="52"/>
      <c r="L62" s="86"/>
      <c r="M62" s="89"/>
      <c r="N62" s="89" t="str">
        <f aca="false">IF(OR(E62="",F62="",K62&lt;&gt;"Active"),"",COUNTIFS(E$5:E62,E62,F$5:F62,F62,K$5:K62,"Active"))</f>
        <v/>
      </c>
      <c r="O62" s="89" t="str">
        <f aca="false">IF(N62="","",E62&amp;"|"&amp;F62&amp;"|"&amp;N62)</f>
        <v/>
      </c>
      <c r="P62" s="85" t="str">
        <f aca="false">IF(N62="","",IF(N62&gt;Settings!$B$7,"Over limit",IF(N62=Settings!$B$7,"Class full","OK")))</f>
        <v/>
      </c>
    </row>
    <row r="63" customFormat="false" ht="19.5" hidden="false" customHeight="true" outlineLevel="0" collapsed="false">
      <c r="A63" s="85" t="str">
        <f aca="false">IF(B63="","","S"&amp;TEXT(ROW()-4,"0000"))</f>
        <v/>
      </c>
      <c r="B63" s="86"/>
      <c r="C63" s="52"/>
      <c r="D63" s="91"/>
      <c r="E63" s="52"/>
      <c r="F63" s="52"/>
      <c r="G63" s="86"/>
      <c r="H63" s="86"/>
      <c r="I63" s="86"/>
      <c r="J63" s="91"/>
      <c r="K63" s="52"/>
      <c r="L63" s="86"/>
      <c r="M63" s="89"/>
      <c r="N63" s="89" t="str">
        <f aca="false">IF(OR(E63="",F63="",K63&lt;&gt;"Active"),"",COUNTIFS(E$5:E63,E63,F$5:F63,F63,K$5:K63,"Active"))</f>
        <v/>
      </c>
      <c r="O63" s="89" t="str">
        <f aca="false">IF(N63="","",E63&amp;"|"&amp;F63&amp;"|"&amp;N63)</f>
        <v/>
      </c>
      <c r="P63" s="85" t="str">
        <f aca="false">IF(N63="","",IF(N63&gt;Settings!$B$7,"Over limit",IF(N63=Settings!$B$7,"Class full","OK")))</f>
        <v/>
      </c>
    </row>
    <row r="64" customFormat="false" ht="19.5" hidden="false" customHeight="true" outlineLevel="0" collapsed="false">
      <c r="A64" s="85" t="str">
        <f aca="false">IF(B64="","","S"&amp;TEXT(ROW()-4,"0000"))</f>
        <v/>
      </c>
      <c r="B64" s="86"/>
      <c r="C64" s="52"/>
      <c r="D64" s="91"/>
      <c r="E64" s="52"/>
      <c r="F64" s="52"/>
      <c r="G64" s="86"/>
      <c r="H64" s="86"/>
      <c r="I64" s="86"/>
      <c r="J64" s="91"/>
      <c r="K64" s="52"/>
      <c r="L64" s="86"/>
      <c r="M64" s="89"/>
      <c r="N64" s="89" t="str">
        <f aca="false">IF(OR(E64="",F64="",K64&lt;&gt;"Active"),"",COUNTIFS(E$5:E64,E64,F$5:F64,F64,K$5:K64,"Active"))</f>
        <v/>
      </c>
      <c r="O64" s="89" t="str">
        <f aca="false">IF(N64="","",E64&amp;"|"&amp;F64&amp;"|"&amp;N64)</f>
        <v/>
      </c>
      <c r="P64" s="85" t="str">
        <f aca="false">IF(N64="","",IF(N64&gt;Settings!$B$7,"Over limit",IF(N64=Settings!$B$7,"Class full","OK")))</f>
        <v/>
      </c>
    </row>
    <row r="65" customFormat="false" ht="19.5" hidden="false" customHeight="true" outlineLevel="0" collapsed="false">
      <c r="A65" s="85" t="str">
        <f aca="false">IF(B65="","","S"&amp;TEXT(ROW()-4,"0000"))</f>
        <v/>
      </c>
      <c r="B65" s="86"/>
      <c r="C65" s="52"/>
      <c r="D65" s="91"/>
      <c r="E65" s="52"/>
      <c r="F65" s="52"/>
      <c r="G65" s="86"/>
      <c r="H65" s="86"/>
      <c r="I65" s="86"/>
      <c r="J65" s="91"/>
      <c r="K65" s="52"/>
      <c r="L65" s="86"/>
      <c r="M65" s="89"/>
      <c r="N65" s="89" t="str">
        <f aca="false">IF(OR(E65="",F65="",K65&lt;&gt;"Active"),"",COUNTIFS(E$5:E65,E65,F$5:F65,F65,K$5:K65,"Active"))</f>
        <v/>
      </c>
      <c r="O65" s="89" t="str">
        <f aca="false">IF(N65="","",E65&amp;"|"&amp;F65&amp;"|"&amp;N65)</f>
        <v/>
      </c>
      <c r="P65" s="85" t="str">
        <f aca="false">IF(N65="","",IF(N65&gt;Settings!$B$7,"Over limit",IF(N65=Settings!$B$7,"Class full","OK")))</f>
        <v/>
      </c>
    </row>
    <row r="66" customFormat="false" ht="19.5" hidden="false" customHeight="true" outlineLevel="0" collapsed="false">
      <c r="A66" s="85" t="str">
        <f aca="false">IF(B66="","","S"&amp;TEXT(ROW()-4,"0000"))</f>
        <v/>
      </c>
      <c r="B66" s="86"/>
      <c r="C66" s="52"/>
      <c r="D66" s="91"/>
      <c r="E66" s="52"/>
      <c r="F66" s="52"/>
      <c r="G66" s="86"/>
      <c r="H66" s="86"/>
      <c r="I66" s="86"/>
      <c r="J66" s="91"/>
      <c r="K66" s="52"/>
      <c r="L66" s="86"/>
      <c r="M66" s="89"/>
      <c r="N66" s="89" t="str">
        <f aca="false">IF(OR(E66="",F66="",K66&lt;&gt;"Active"),"",COUNTIFS(E$5:E66,E66,F$5:F66,F66,K$5:K66,"Active"))</f>
        <v/>
      </c>
      <c r="O66" s="89" t="str">
        <f aca="false">IF(N66="","",E66&amp;"|"&amp;F66&amp;"|"&amp;N66)</f>
        <v/>
      </c>
      <c r="P66" s="85" t="str">
        <f aca="false">IF(N66="","",IF(N66&gt;Settings!$B$7,"Over limit",IF(N66=Settings!$B$7,"Class full","OK")))</f>
        <v/>
      </c>
    </row>
    <row r="67" customFormat="false" ht="19.5" hidden="false" customHeight="true" outlineLevel="0" collapsed="false">
      <c r="A67" s="85" t="str">
        <f aca="false">IF(B67="","","S"&amp;TEXT(ROW()-4,"0000"))</f>
        <v/>
      </c>
      <c r="B67" s="86"/>
      <c r="C67" s="52"/>
      <c r="D67" s="91"/>
      <c r="E67" s="52"/>
      <c r="F67" s="52"/>
      <c r="G67" s="86"/>
      <c r="H67" s="86"/>
      <c r="I67" s="86"/>
      <c r="J67" s="91"/>
      <c r="K67" s="52"/>
      <c r="L67" s="86"/>
      <c r="M67" s="89"/>
      <c r="N67" s="89" t="str">
        <f aca="false">IF(OR(E67="",F67="",K67&lt;&gt;"Active"),"",COUNTIFS(E$5:E67,E67,F$5:F67,F67,K$5:K67,"Active"))</f>
        <v/>
      </c>
      <c r="O67" s="89" t="str">
        <f aca="false">IF(N67="","",E67&amp;"|"&amp;F67&amp;"|"&amp;N67)</f>
        <v/>
      </c>
      <c r="P67" s="85" t="str">
        <f aca="false">IF(N67="","",IF(N67&gt;Settings!$B$7,"Over limit",IF(N67=Settings!$B$7,"Class full","OK")))</f>
        <v/>
      </c>
    </row>
    <row r="68" customFormat="false" ht="19.5" hidden="false" customHeight="true" outlineLevel="0" collapsed="false">
      <c r="A68" s="85" t="str">
        <f aca="false">IF(B68="","","S"&amp;TEXT(ROW()-4,"0000"))</f>
        <v/>
      </c>
      <c r="B68" s="86"/>
      <c r="C68" s="52"/>
      <c r="D68" s="91"/>
      <c r="E68" s="52"/>
      <c r="F68" s="52"/>
      <c r="G68" s="86"/>
      <c r="H68" s="86"/>
      <c r="I68" s="86"/>
      <c r="J68" s="91"/>
      <c r="K68" s="52"/>
      <c r="L68" s="86"/>
      <c r="M68" s="89"/>
      <c r="N68" s="89" t="str">
        <f aca="false">IF(OR(E68="",F68="",K68&lt;&gt;"Active"),"",COUNTIFS(E$5:E68,E68,F$5:F68,F68,K$5:K68,"Active"))</f>
        <v/>
      </c>
      <c r="O68" s="89" t="str">
        <f aca="false">IF(N68="","",E68&amp;"|"&amp;F68&amp;"|"&amp;N68)</f>
        <v/>
      </c>
      <c r="P68" s="85" t="str">
        <f aca="false">IF(N68="","",IF(N68&gt;Settings!$B$7,"Over limit",IF(N68=Settings!$B$7,"Class full","OK")))</f>
        <v/>
      </c>
    </row>
    <row r="69" customFormat="false" ht="19.5" hidden="false" customHeight="true" outlineLevel="0" collapsed="false">
      <c r="A69" s="85" t="str">
        <f aca="false">IF(B69="","","S"&amp;TEXT(ROW()-4,"0000"))</f>
        <v/>
      </c>
      <c r="B69" s="86"/>
      <c r="C69" s="52"/>
      <c r="D69" s="91"/>
      <c r="E69" s="52"/>
      <c r="F69" s="52"/>
      <c r="G69" s="86"/>
      <c r="H69" s="86"/>
      <c r="I69" s="86"/>
      <c r="J69" s="91"/>
      <c r="K69" s="52"/>
      <c r="L69" s="86"/>
      <c r="M69" s="89"/>
      <c r="N69" s="89" t="str">
        <f aca="false">IF(OR(E69="",F69="",K69&lt;&gt;"Active"),"",COUNTIFS(E$5:E69,E69,F$5:F69,F69,K$5:K69,"Active"))</f>
        <v/>
      </c>
      <c r="O69" s="89" t="str">
        <f aca="false">IF(N69="","",E69&amp;"|"&amp;F69&amp;"|"&amp;N69)</f>
        <v/>
      </c>
      <c r="P69" s="85" t="str">
        <f aca="false">IF(N69="","",IF(N69&gt;Settings!$B$7,"Over limit",IF(N69=Settings!$B$7,"Class full","OK")))</f>
        <v/>
      </c>
    </row>
    <row r="70" customFormat="false" ht="19.5" hidden="false" customHeight="true" outlineLevel="0" collapsed="false">
      <c r="A70" s="85" t="str">
        <f aca="false">IF(B70="","","S"&amp;TEXT(ROW()-4,"0000"))</f>
        <v/>
      </c>
      <c r="B70" s="86"/>
      <c r="C70" s="52"/>
      <c r="D70" s="91"/>
      <c r="E70" s="52"/>
      <c r="F70" s="52"/>
      <c r="G70" s="86"/>
      <c r="H70" s="86"/>
      <c r="I70" s="86"/>
      <c r="J70" s="91"/>
      <c r="K70" s="52"/>
      <c r="L70" s="86"/>
      <c r="M70" s="89"/>
      <c r="N70" s="89" t="str">
        <f aca="false">IF(OR(E70="",F70="",K70&lt;&gt;"Active"),"",COUNTIFS(E$5:E70,E70,F$5:F70,F70,K$5:K70,"Active"))</f>
        <v/>
      </c>
      <c r="O70" s="89" t="str">
        <f aca="false">IF(N70="","",E70&amp;"|"&amp;F70&amp;"|"&amp;N70)</f>
        <v/>
      </c>
      <c r="P70" s="85" t="str">
        <f aca="false">IF(N70="","",IF(N70&gt;Settings!$B$7,"Over limit",IF(N70=Settings!$B$7,"Class full","OK")))</f>
        <v/>
      </c>
    </row>
    <row r="71" customFormat="false" ht="19.5" hidden="false" customHeight="true" outlineLevel="0" collapsed="false">
      <c r="A71" s="85" t="str">
        <f aca="false">IF(B71="","","S"&amp;TEXT(ROW()-4,"0000"))</f>
        <v/>
      </c>
      <c r="B71" s="86"/>
      <c r="C71" s="52"/>
      <c r="D71" s="91"/>
      <c r="E71" s="52"/>
      <c r="F71" s="52"/>
      <c r="G71" s="86"/>
      <c r="H71" s="86"/>
      <c r="I71" s="86"/>
      <c r="J71" s="91"/>
      <c r="K71" s="52"/>
      <c r="L71" s="86"/>
      <c r="M71" s="89"/>
      <c r="N71" s="89" t="str">
        <f aca="false">IF(OR(E71="",F71="",K71&lt;&gt;"Active"),"",COUNTIFS(E$5:E71,E71,F$5:F71,F71,K$5:K71,"Active"))</f>
        <v/>
      </c>
      <c r="O71" s="89" t="str">
        <f aca="false">IF(N71="","",E71&amp;"|"&amp;F71&amp;"|"&amp;N71)</f>
        <v/>
      </c>
      <c r="P71" s="85" t="str">
        <f aca="false">IF(N71="","",IF(N71&gt;Settings!$B$7,"Over limit",IF(N71=Settings!$B$7,"Class full","OK")))</f>
        <v/>
      </c>
    </row>
    <row r="72" customFormat="false" ht="19.5" hidden="false" customHeight="true" outlineLevel="0" collapsed="false">
      <c r="A72" s="85" t="str">
        <f aca="false">IF(B72="","","S"&amp;TEXT(ROW()-4,"0000"))</f>
        <v/>
      </c>
      <c r="B72" s="86"/>
      <c r="C72" s="52"/>
      <c r="D72" s="91"/>
      <c r="E72" s="52"/>
      <c r="F72" s="52"/>
      <c r="G72" s="86"/>
      <c r="H72" s="86"/>
      <c r="I72" s="86"/>
      <c r="J72" s="91"/>
      <c r="K72" s="52"/>
      <c r="L72" s="86"/>
      <c r="M72" s="89"/>
      <c r="N72" s="89" t="str">
        <f aca="false">IF(OR(E72="",F72="",K72&lt;&gt;"Active"),"",COUNTIFS(E$5:E72,E72,F$5:F72,F72,K$5:K72,"Active"))</f>
        <v/>
      </c>
      <c r="O72" s="89" t="str">
        <f aca="false">IF(N72="","",E72&amp;"|"&amp;F72&amp;"|"&amp;N72)</f>
        <v/>
      </c>
      <c r="P72" s="85" t="str">
        <f aca="false">IF(N72="","",IF(N72&gt;Settings!$B$7,"Over limit",IF(N72=Settings!$B$7,"Class full","OK")))</f>
        <v/>
      </c>
    </row>
    <row r="73" customFormat="false" ht="19.5" hidden="false" customHeight="true" outlineLevel="0" collapsed="false">
      <c r="A73" s="85" t="str">
        <f aca="false">IF(B73="","","S"&amp;TEXT(ROW()-4,"0000"))</f>
        <v/>
      </c>
      <c r="B73" s="86"/>
      <c r="C73" s="52"/>
      <c r="D73" s="91"/>
      <c r="E73" s="52"/>
      <c r="F73" s="52"/>
      <c r="G73" s="86"/>
      <c r="H73" s="86"/>
      <c r="I73" s="86"/>
      <c r="J73" s="91"/>
      <c r="K73" s="52"/>
      <c r="L73" s="86"/>
      <c r="M73" s="89"/>
      <c r="N73" s="89" t="str">
        <f aca="false">IF(OR(E73="",F73="",K73&lt;&gt;"Active"),"",COUNTIFS(E$5:E73,E73,F$5:F73,F73,K$5:K73,"Active"))</f>
        <v/>
      </c>
      <c r="O73" s="89" t="str">
        <f aca="false">IF(N73="","",E73&amp;"|"&amp;F73&amp;"|"&amp;N73)</f>
        <v/>
      </c>
      <c r="P73" s="85" t="str">
        <f aca="false">IF(N73="","",IF(N73&gt;Settings!$B$7,"Over limit",IF(N73=Settings!$B$7,"Class full","OK")))</f>
        <v/>
      </c>
    </row>
    <row r="74" customFormat="false" ht="19.5" hidden="false" customHeight="true" outlineLevel="0" collapsed="false">
      <c r="A74" s="85" t="str">
        <f aca="false">IF(B74="","","S"&amp;TEXT(ROW()-4,"0000"))</f>
        <v/>
      </c>
      <c r="B74" s="86"/>
      <c r="C74" s="52"/>
      <c r="D74" s="91"/>
      <c r="E74" s="52"/>
      <c r="F74" s="52"/>
      <c r="G74" s="86"/>
      <c r="H74" s="86"/>
      <c r="I74" s="86"/>
      <c r="J74" s="91"/>
      <c r="K74" s="52"/>
      <c r="L74" s="86"/>
      <c r="M74" s="89"/>
      <c r="N74" s="89" t="str">
        <f aca="false">IF(OR(E74="",F74="",K74&lt;&gt;"Active"),"",COUNTIFS(E$5:E74,E74,F$5:F74,F74,K$5:K74,"Active"))</f>
        <v/>
      </c>
      <c r="O74" s="89" t="str">
        <f aca="false">IF(N74="","",E74&amp;"|"&amp;F74&amp;"|"&amp;N74)</f>
        <v/>
      </c>
      <c r="P74" s="85" t="str">
        <f aca="false">IF(N74="","",IF(N74&gt;Settings!$B$7,"Over limit",IF(N74=Settings!$B$7,"Class full","OK")))</f>
        <v/>
      </c>
    </row>
    <row r="75" customFormat="false" ht="19.5" hidden="false" customHeight="true" outlineLevel="0" collapsed="false">
      <c r="A75" s="85" t="str">
        <f aca="false">IF(B75="","","S"&amp;TEXT(ROW()-4,"0000"))</f>
        <v/>
      </c>
      <c r="B75" s="86"/>
      <c r="C75" s="52"/>
      <c r="D75" s="91"/>
      <c r="E75" s="52"/>
      <c r="F75" s="52"/>
      <c r="G75" s="86"/>
      <c r="H75" s="86"/>
      <c r="I75" s="86"/>
      <c r="J75" s="91"/>
      <c r="K75" s="52"/>
      <c r="L75" s="86"/>
      <c r="M75" s="89"/>
      <c r="N75" s="89" t="str">
        <f aca="false">IF(OR(E75="",F75="",K75&lt;&gt;"Active"),"",COUNTIFS(E$5:E75,E75,F$5:F75,F75,K$5:K75,"Active"))</f>
        <v/>
      </c>
      <c r="O75" s="89" t="str">
        <f aca="false">IF(N75="","",E75&amp;"|"&amp;F75&amp;"|"&amp;N75)</f>
        <v/>
      </c>
      <c r="P75" s="85" t="str">
        <f aca="false">IF(N75="","",IF(N75&gt;Settings!$B$7,"Over limit",IF(N75=Settings!$B$7,"Class full","OK")))</f>
        <v/>
      </c>
    </row>
    <row r="76" customFormat="false" ht="19.5" hidden="false" customHeight="true" outlineLevel="0" collapsed="false">
      <c r="A76" s="85" t="str">
        <f aca="false">IF(B76="","","S"&amp;TEXT(ROW()-4,"0000"))</f>
        <v/>
      </c>
      <c r="B76" s="86"/>
      <c r="C76" s="52"/>
      <c r="D76" s="91"/>
      <c r="E76" s="52"/>
      <c r="F76" s="52"/>
      <c r="G76" s="86"/>
      <c r="H76" s="86"/>
      <c r="I76" s="86"/>
      <c r="J76" s="91"/>
      <c r="K76" s="52"/>
      <c r="L76" s="86"/>
      <c r="M76" s="89"/>
      <c r="N76" s="89" t="str">
        <f aca="false">IF(OR(E76="",F76="",K76&lt;&gt;"Active"),"",COUNTIFS(E$5:E76,E76,F$5:F76,F76,K$5:K76,"Active"))</f>
        <v/>
      </c>
      <c r="O76" s="89" t="str">
        <f aca="false">IF(N76="","",E76&amp;"|"&amp;F76&amp;"|"&amp;N76)</f>
        <v/>
      </c>
      <c r="P76" s="85" t="str">
        <f aca="false">IF(N76="","",IF(N76&gt;Settings!$B$7,"Over limit",IF(N76=Settings!$B$7,"Class full","OK")))</f>
        <v/>
      </c>
    </row>
    <row r="77" customFormat="false" ht="19.5" hidden="false" customHeight="true" outlineLevel="0" collapsed="false">
      <c r="A77" s="85" t="str">
        <f aca="false">IF(B77="","","S"&amp;TEXT(ROW()-4,"0000"))</f>
        <v/>
      </c>
      <c r="B77" s="86"/>
      <c r="C77" s="52"/>
      <c r="D77" s="91"/>
      <c r="E77" s="52"/>
      <c r="F77" s="52"/>
      <c r="G77" s="86"/>
      <c r="H77" s="86"/>
      <c r="I77" s="86"/>
      <c r="J77" s="91"/>
      <c r="K77" s="52"/>
      <c r="L77" s="86"/>
      <c r="M77" s="89"/>
      <c r="N77" s="89" t="str">
        <f aca="false">IF(OR(E77="",F77="",K77&lt;&gt;"Active"),"",COUNTIFS(E$5:E77,E77,F$5:F77,F77,K$5:K77,"Active"))</f>
        <v/>
      </c>
      <c r="O77" s="89" t="str">
        <f aca="false">IF(N77="","",E77&amp;"|"&amp;F77&amp;"|"&amp;N77)</f>
        <v/>
      </c>
      <c r="P77" s="85" t="str">
        <f aca="false">IF(N77="","",IF(N77&gt;Settings!$B$7,"Over limit",IF(N77=Settings!$B$7,"Class full","OK")))</f>
        <v/>
      </c>
    </row>
    <row r="78" customFormat="false" ht="19.5" hidden="false" customHeight="true" outlineLevel="0" collapsed="false">
      <c r="A78" s="85" t="str">
        <f aca="false">IF(B78="","","S"&amp;TEXT(ROW()-4,"0000"))</f>
        <v/>
      </c>
      <c r="B78" s="86"/>
      <c r="C78" s="52"/>
      <c r="D78" s="91"/>
      <c r="E78" s="52"/>
      <c r="F78" s="52"/>
      <c r="G78" s="86"/>
      <c r="H78" s="86"/>
      <c r="I78" s="86"/>
      <c r="J78" s="91"/>
      <c r="K78" s="52"/>
      <c r="L78" s="86"/>
      <c r="M78" s="89"/>
      <c r="N78" s="89" t="str">
        <f aca="false">IF(OR(E78="",F78="",K78&lt;&gt;"Active"),"",COUNTIFS(E$5:E78,E78,F$5:F78,F78,K$5:K78,"Active"))</f>
        <v/>
      </c>
      <c r="O78" s="89" t="str">
        <f aca="false">IF(N78="","",E78&amp;"|"&amp;F78&amp;"|"&amp;N78)</f>
        <v/>
      </c>
      <c r="P78" s="85" t="str">
        <f aca="false">IF(N78="","",IF(N78&gt;Settings!$B$7,"Over limit",IF(N78=Settings!$B$7,"Class full","OK")))</f>
        <v/>
      </c>
    </row>
    <row r="79" customFormat="false" ht="19.5" hidden="false" customHeight="true" outlineLevel="0" collapsed="false">
      <c r="A79" s="85" t="str">
        <f aca="false">IF(B79="","","S"&amp;TEXT(ROW()-4,"0000"))</f>
        <v/>
      </c>
      <c r="B79" s="86"/>
      <c r="C79" s="52"/>
      <c r="D79" s="91"/>
      <c r="E79" s="52"/>
      <c r="F79" s="52"/>
      <c r="G79" s="86"/>
      <c r="H79" s="86"/>
      <c r="I79" s="86"/>
      <c r="J79" s="91"/>
      <c r="K79" s="52"/>
      <c r="L79" s="86"/>
      <c r="M79" s="89"/>
      <c r="N79" s="89" t="str">
        <f aca="false">IF(OR(E79="",F79="",K79&lt;&gt;"Active"),"",COUNTIFS(E$5:E79,E79,F$5:F79,F79,K$5:K79,"Active"))</f>
        <v/>
      </c>
      <c r="O79" s="89" t="str">
        <f aca="false">IF(N79="","",E79&amp;"|"&amp;F79&amp;"|"&amp;N79)</f>
        <v/>
      </c>
      <c r="P79" s="85" t="str">
        <f aca="false">IF(N79="","",IF(N79&gt;Settings!$B$7,"Over limit",IF(N79=Settings!$B$7,"Class full","OK")))</f>
        <v/>
      </c>
    </row>
    <row r="80" customFormat="false" ht="19.5" hidden="false" customHeight="true" outlineLevel="0" collapsed="false">
      <c r="A80" s="85" t="str">
        <f aca="false">IF(B80="","","S"&amp;TEXT(ROW()-4,"0000"))</f>
        <v/>
      </c>
      <c r="B80" s="86"/>
      <c r="C80" s="52"/>
      <c r="D80" s="91"/>
      <c r="E80" s="52"/>
      <c r="F80" s="52"/>
      <c r="G80" s="86"/>
      <c r="H80" s="86"/>
      <c r="I80" s="86"/>
      <c r="J80" s="91"/>
      <c r="K80" s="52"/>
      <c r="L80" s="86"/>
      <c r="M80" s="89"/>
      <c r="N80" s="89" t="str">
        <f aca="false">IF(OR(E80="",F80="",K80&lt;&gt;"Active"),"",COUNTIFS(E$5:E80,E80,F$5:F80,F80,K$5:K80,"Active"))</f>
        <v/>
      </c>
      <c r="O80" s="89" t="str">
        <f aca="false">IF(N80="","",E80&amp;"|"&amp;F80&amp;"|"&amp;N80)</f>
        <v/>
      </c>
      <c r="P80" s="85" t="str">
        <f aca="false">IF(N80="","",IF(N80&gt;Settings!$B$7,"Over limit",IF(N80=Settings!$B$7,"Class full","OK")))</f>
        <v/>
      </c>
    </row>
    <row r="81" customFormat="false" ht="19.5" hidden="false" customHeight="true" outlineLevel="0" collapsed="false">
      <c r="A81" s="85" t="str">
        <f aca="false">IF(B81="","","S"&amp;TEXT(ROW()-4,"0000"))</f>
        <v/>
      </c>
      <c r="B81" s="86"/>
      <c r="C81" s="52"/>
      <c r="D81" s="91"/>
      <c r="E81" s="52"/>
      <c r="F81" s="52"/>
      <c r="G81" s="86"/>
      <c r="H81" s="86"/>
      <c r="I81" s="86"/>
      <c r="J81" s="91"/>
      <c r="K81" s="52"/>
      <c r="L81" s="86"/>
      <c r="M81" s="89"/>
      <c r="N81" s="89" t="str">
        <f aca="false">IF(OR(E81="",F81="",K81&lt;&gt;"Active"),"",COUNTIFS(E$5:E81,E81,F$5:F81,F81,K$5:K81,"Active"))</f>
        <v/>
      </c>
      <c r="O81" s="89" t="str">
        <f aca="false">IF(N81="","",E81&amp;"|"&amp;F81&amp;"|"&amp;N81)</f>
        <v/>
      </c>
      <c r="P81" s="85" t="str">
        <f aca="false">IF(N81="","",IF(N81&gt;Settings!$B$7,"Over limit",IF(N81=Settings!$B$7,"Class full","OK")))</f>
        <v/>
      </c>
    </row>
    <row r="82" customFormat="false" ht="19.5" hidden="false" customHeight="true" outlineLevel="0" collapsed="false">
      <c r="A82" s="85" t="str">
        <f aca="false">IF(B82="","","S"&amp;TEXT(ROW()-4,"0000"))</f>
        <v/>
      </c>
      <c r="B82" s="86"/>
      <c r="C82" s="52"/>
      <c r="D82" s="91"/>
      <c r="E82" s="52"/>
      <c r="F82" s="52"/>
      <c r="G82" s="86"/>
      <c r="H82" s="86"/>
      <c r="I82" s="86"/>
      <c r="J82" s="91"/>
      <c r="K82" s="52"/>
      <c r="L82" s="86"/>
      <c r="M82" s="89"/>
      <c r="N82" s="89" t="str">
        <f aca="false">IF(OR(E82="",F82="",K82&lt;&gt;"Active"),"",COUNTIFS(E$5:E82,E82,F$5:F82,F82,K$5:K82,"Active"))</f>
        <v/>
      </c>
      <c r="O82" s="89" t="str">
        <f aca="false">IF(N82="","",E82&amp;"|"&amp;F82&amp;"|"&amp;N82)</f>
        <v/>
      </c>
      <c r="P82" s="85" t="str">
        <f aca="false">IF(N82="","",IF(N82&gt;Settings!$B$7,"Over limit",IF(N82=Settings!$B$7,"Class full","OK")))</f>
        <v/>
      </c>
    </row>
    <row r="83" customFormat="false" ht="19.5" hidden="false" customHeight="true" outlineLevel="0" collapsed="false">
      <c r="A83" s="85" t="str">
        <f aca="false">IF(B83="","","S"&amp;TEXT(ROW()-4,"0000"))</f>
        <v/>
      </c>
      <c r="B83" s="86"/>
      <c r="C83" s="52"/>
      <c r="D83" s="91"/>
      <c r="E83" s="52"/>
      <c r="F83" s="52"/>
      <c r="G83" s="86"/>
      <c r="H83" s="86"/>
      <c r="I83" s="86"/>
      <c r="J83" s="91"/>
      <c r="K83" s="52"/>
      <c r="L83" s="86"/>
      <c r="M83" s="89"/>
      <c r="N83" s="89" t="str">
        <f aca="false">IF(OR(E83="",F83="",K83&lt;&gt;"Active"),"",COUNTIFS(E$5:E83,E83,F$5:F83,F83,K$5:K83,"Active"))</f>
        <v/>
      </c>
      <c r="O83" s="89" t="str">
        <f aca="false">IF(N83="","",E83&amp;"|"&amp;F83&amp;"|"&amp;N83)</f>
        <v/>
      </c>
      <c r="P83" s="85" t="str">
        <f aca="false">IF(N83="","",IF(N83&gt;Settings!$B$7,"Over limit",IF(N83=Settings!$B$7,"Class full","OK")))</f>
        <v/>
      </c>
    </row>
    <row r="84" customFormat="false" ht="19.5" hidden="false" customHeight="true" outlineLevel="0" collapsed="false">
      <c r="A84" s="85" t="str">
        <f aca="false">IF(B84="","","S"&amp;TEXT(ROW()-4,"0000"))</f>
        <v/>
      </c>
      <c r="B84" s="86"/>
      <c r="C84" s="52"/>
      <c r="D84" s="91"/>
      <c r="E84" s="52"/>
      <c r="F84" s="52"/>
      <c r="G84" s="86"/>
      <c r="H84" s="86"/>
      <c r="I84" s="86"/>
      <c r="J84" s="91"/>
      <c r="K84" s="52"/>
      <c r="L84" s="86"/>
      <c r="M84" s="89"/>
      <c r="N84" s="89" t="str">
        <f aca="false">IF(OR(E84="",F84="",K84&lt;&gt;"Active"),"",COUNTIFS(E$5:E84,E84,F$5:F84,F84,K$5:K84,"Active"))</f>
        <v/>
      </c>
      <c r="O84" s="89" t="str">
        <f aca="false">IF(N84="","",E84&amp;"|"&amp;F84&amp;"|"&amp;N84)</f>
        <v/>
      </c>
      <c r="P84" s="85" t="str">
        <f aca="false">IF(N84="","",IF(N84&gt;Settings!$B$7,"Over limit",IF(N84=Settings!$B$7,"Class full","OK")))</f>
        <v/>
      </c>
    </row>
    <row r="85" customFormat="false" ht="19.5" hidden="false" customHeight="true" outlineLevel="0" collapsed="false">
      <c r="A85" s="85" t="str">
        <f aca="false">IF(B85="","","S"&amp;TEXT(ROW()-4,"0000"))</f>
        <v/>
      </c>
      <c r="B85" s="86"/>
      <c r="C85" s="52"/>
      <c r="D85" s="91"/>
      <c r="E85" s="52"/>
      <c r="F85" s="52"/>
      <c r="G85" s="86"/>
      <c r="H85" s="86"/>
      <c r="I85" s="86"/>
      <c r="J85" s="91"/>
      <c r="K85" s="52"/>
      <c r="L85" s="86"/>
      <c r="M85" s="89"/>
      <c r="N85" s="89" t="str">
        <f aca="false">IF(OR(E85="",F85="",K85&lt;&gt;"Active"),"",COUNTIFS(E$5:E85,E85,F$5:F85,F85,K$5:K85,"Active"))</f>
        <v/>
      </c>
      <c r="O85" s="89" t="str">
        <f aca="false">IF(N85="","",E85&amp;"|"&amp;F85&amp;"|"&amp;N85)</f>
        <v/>
      </c>
      <c r="P85" s="85" t="str">
        <f aca="false">IF(N85="","",IF(N85&gt;Settings!$B$7,"Over limit",IF(N85=Settings!$B$7,"Class full","OK")))</f>
        <v/>
      </c>
    </row>
    <row r="86" customFormat="false" ht="19.5" hidden="false" customHeight="true" outlineLevel="0" collapsed="false">
      <c r="A86" s="85" t="str">
        <f aca="false">IF(B86="","","S"&amp;TEXT(ROW()-4,"0000"))</f>
        <v/>
      </c>
      <c r="B86" s="86"/>
      <c r="C86" s="52"/>
      <c r="D86" s="91"/>
      <c r="E86" s="52"/>
      <c r="F86" s="52"/>
      <c r="G86" s="86"/>
      <c r="H86" s="86"/>
      <c r="I86" s="86"/>
      <c r="J86" s="91"/>
      <c r="K86" s="52"/>
      <c r="L86" s="86"/>
      <c r="M86" s="89"/>
      <c r="N86" s="89" t="str">
        <f aca="false">IF(OR(E86="",F86="",K86&lt;&gt;"Active"),"",COUNTIFS(E$5:E86,E86,F$5:F86,F86,K$5:K86,"Active"))</f>
        <v/>
      </c>
      <c r="O86" s="89" t="str">
        <f aca="false">IF(N86="","",E86&amp;"|"&amp;F86&amp;"|"&amp;N86)</f>
        <v/>
      </c>
      <c r="P86" s="85" t="str">
        <f aca="false">IF(N86="","",IF(N86&gt;Settings!$B$7,"Over limit",IF(N86=Settings!$B$7,"Class full","OK")))</f>
        <v/>
      </c>
    </row>
    <row r="87" customFormat="false" ht="19.5" hidden="false" customHeight="true" outlineLevel="0" collapsed="false">
      <c r="A87" s="85" t="str">
        <f aca="false">IF(B87="","","S"&amp;TEXT(ROW()-4,"0000"))</f>
        <v/>
      </c>
      <c r="B87" s="86"/>
      <c r="C87" s="52"/>
      <c r="D87" s="91"/>
      <c r="E87" s="52"/>
      <c r="F87" s="52"/>
      <c r="G87" s="86"/>
      <c r="H87" s="86"/>
      <c r="I87" s="86"/>
      <c r="J87" s="91"/>
      <c r="K87" s="52"/>
      <c r="L87" s="86"/>
      <c r="M87" s="89"/>
      <c r="N87" s="89" t="str">
        <f aca="false">IF(OR(E87="",F87="",K87&lt;&gt;"Active"),"",COUNTIFS(E$5:E87,E87,F$5:F87,F87,K$5:K87,"Active"))</f>
        <v/>
      </c>
      <c r="O87" s="89" t="str">
        <f aca="false">IF(N87="","",E87&amp;"|"&amp;F87&amp;"|"&amp;N87)</f>
        <v/>
      </c>
      <c r="P87" s="85" t="str">
        <f aca="false">IF(N87="","",IF(N87&gt;Settings!$B$7,"Over limit",IF(N87=Settings!$B$7,"Class full","OK")))</f>
        <v/>
      </c>
    </row>
    <row r="88" customFormat="false" ht="19.5" hidden="false" customHeight="true" outlineLevel="0" collapsed="false">
      <c r="A88" s="85" t="str">
        <f aca="false">IF(B88="","","S"&amp;TEXT(ROW()-4,"0000"))</f>
        <v/>
      </c>
      <c r="B88" s="86"/>
      <c r="C88" s="52"/>
      <c r="D88" s="91"/>
      <c r="E88" s="52"/>
      <c r="F88" s="52"/>
      <c r="G88" s="86"/>
      <c r="H88" s="86"/>
      <c r="I88" s="86"/>
      <c r="J88" s="91"/>
      <c r="K88" s="52"/>
      <c r="L88" s="86"/>
      <c r="M88" s="89"/>
      <c r="N88" s="89" t="str">
        <f aca="false">IF(OR(E88="",F88="",K88&lt;&gt;"Active"),"",COUNTIFS(E$5:E88,E88,F$5:F88,F88,K$5:K88,"Active"))</f>
        <v/>
      </c>
      <c r="O88" s="89" t="str">
        <f aca="false">IF(N88="","",E88&amp;"|"&amp;F88&amp;"|"&amp;N88)</f>
        <v/>
      </c>
      <c r="P88" s="85" t="str">
        <f aca="false">IF(N88="","",IF(N88&gt;Settings!$B$7,"Over limit",IF(N88=Settings!$B$7,"Class full","OK")))</f>
        <v/>
      </c>
    </row>
    <row r="89" customFormat="false" ht="19.5" hidden="false" customHeight="true" outlineLevel="0" collapsed="false">
      <c r="A89" s="85" t="str">
        <f aca="false">IF(B89="","","S"&amp;TEXT(ROW()-4,"0000"))</f>
        <v/>
      </c>
      <c r="B89" s="86"/>
      <c r="C89" s="52"/>
      <c r="D89" s="91"/>
      <c r="E89" s="52"/>
      <c r="F89" s="52"/>
      <c r="G89" s="86"/>
      <c r="H89" s="86"/>
      <c r="I89" s="86"/>
      <c r="J89" s="91"/>
      <c r="K89" s="52"/>
      <c r="L89" s="86"/>
      <c r="M89" s="89"/>
      <c r="N89" s="89" t="str">
        <f aca="false">IF(OR(E89="",F89="",K89&lt;&gt;"Active"),"",COUNTIFS(E$5:E89,E89,F$5:F89,F89,K$5:K89,"Active"))</f>
        <v/>
      </c>
      <c r="O89" s="89" t="str">
        <f aca="false">IF(N89="","",E89&amp;"|"&amp;F89&amp;"|"&amp;N89)</f>
        <v/>
      </c>
      <c r="P89" s="85" t="str">
        <f aca="false">IF(N89="","",IF(N89&gt;Settings!$B$7,"Over limit",IF(N89=Settings!$B$7,"Class full","OK")))</f>
        <v/>
      </c>
    </row>
    <row r="90" customFormat="false" ht="19.5" hidden="false" customHeight="true" outlineLevel="0" collapsed="false">
      <c r="A90" s="85" t="str">
        <f aca="false">IF(B90="","","S"&amp;TEXT(ROW()-4,"0000"))</f>
        <v/>
      </c>
      <c r="B90" s="86"/>
      <c r="C90" s="52"/>
      <c r="D90" s="91"/>
      <c r="E90" s="52"/>
      <c r="F90" s="52"/>
      <c r="G90" s="86"/>
      <c r="H90" s="86"/>
      <c r="I90" s="86"/>
      <c r="J90" s="91"/>
      <c r="K90" s="52"/>
      <c r="L90" s="86"/>
      <c r="M90" s="89"/>
      <c r="N90" s="89" t="str">
        <f aca="false">IF(OR(E90="",F90="",K90&lt;&gt;"Active"),"",COUNTIFS(E$5:E90,E90,F$5:F90,F90,K$5:K90,"Active"))</f>
        <v/>
      </c>
      <c r="O90" s="89" t="str">
        <f aca="false">IF(N90="","",E90&amp;"|"&amp;F90&amp;"|"&amp;N90)</f>
        <v/>
      </c>
      <c r="P90" s="85" t="str">
        <f aca="false">IF(N90="","",IF(N90&gt;Settings!$B$7,"Over limit",IF(N90=Settings!$B$7,"Class full","OK")))</f>
        <v/>
      </c>
    </row>
    <row r="91" customFormat="false" ht="19.5" hidden="false" customHeight="true" outlineLevel="0" collapsed="false">
      <c r="A91" s="85" t="str">
        <f aca="false">IF(B91="","","S"&amp;TEXT(ROW()-4,"0000"))</f>
        <v/>
      </c>
      <c r="B91" s="86"/>
      <c r="C91" s="52"/>
      <c r="D91" s="91"/>
      <c r="E91" s="52"/>
      <c r="F91" s="52"/>
      <c r="G91" s="86"/>
      <c r="H91" s="86"/>
      <c r="I91" s="86"/>
      <c r="J91" s="91"/>
      <c r="K91" s="52"/>
      <c r="L91" s="86"/>
      <c r="M91" s="89"/>
      <c r="N91" s="89" t="str">
        <f aca="false">IF(OR(E91="",F91="",K91&lt;&gt;"Active"),"",COUNTIFS(E$5:E91,E91,F$5:F91,F91,K$5:K91,"Active"))</f>
        <v/>
      </c>
      <c r="O91" s="89" t="str">
        <f aca="false">IF(N91="","",E91&amp;"|"&amp;F91&amp;"|"&amp;N91)</f>
        <v/>
      </c>
      <c r="P91" s="85" t="str">
        <f aca="false">IF(N91="","",IF(N91&gt;Settings!$B$7,"Over limit",IF(N91=Settings!$B$7,"Class full","OK")))</f>
        <v/>
      </c>
    </row>
    <row r="92" customFormat="false" ht="19.5" hidden="false" customHeight="true" outlineLevel="0" collapsed="false">
      <c r="A92" s="85" t="str">
        <f aca="false">IF(B92="","","S"&amp;TEXT(ROW()-4,"0000"))</f>
        <v/>
      </c>
      <c r="B92" s="86"/>
      <c r="C92" s="52"/>
      <c r="D92" s="91"/>
      <c r="E92" s="52"/>
      <c r="F92" s="52"/>
      <c r="G92" s="86"/>
      <c r="H92" s="86"/>
      <c r="I92" s="86"/>
      <c r="J92" s="91"/>
      <c r="K92" s="52"/>
      <c r="L92" s="86"/>
      <c r="M92" s="89"/>
      <c r="N92" s="89" t="str">
        <f aca="false">IF(OR(E92="",F92="",K92&lt;&gt;"Active"),"",COUNTIFS(E$5:E92,E92,F$5:F92,F92,K$5:K92,"Active"))</f>
        <v/>
      </c>
      <c r="O92" s="89" t="str">
        <f aca="false">IF(N92="","",E92&amp;"|"&amp;F92&amp;"|"&amp;N92)</f>
        <v/>
      </c>
      <c r="P92" s="85" t="str">
        <f aca="false">IF(N92="","",IF(N92&gt;Settings!$B$7,"Over limit",IF(N92=Settings!$B$7,"Class full","OK")))</f>
        <v/>
      </c>
    </row>
    <row r="93" customFormat="false" ht="19.5" hidden="false" customHeight="true" outlineLevel="0" collapsed="false">
      <c r="A93" s="85" t="str">
        <f aca="false">IF(B93="","","S"&amp;TEXT(ROW()-4,"0000"))</f>
        <v/>
      </c>
      <c r="B93" s="86"/>
      <c r="C93" s="52"/>
      <c r="D93" s="91"/>
      <c r="E93" s="52"/>
      <c r="F93" s="52"/>
      <c r="G93" s="86"/>
      <c r="H93" s="86"/>
      <c r="I93" s="86"/>
      <c r="J93" s="91"/>
      <c r="K93" s="52"/>
      <c r="L93" s="86"/>
      <c r="M93" s="89"/>
      <c r="N93" s="89" t="str">
        <f aca="false">IF(OR(E93="",F93="",K93&lt;&gt;"Active"),"",COUNTIFS(E$5:E93,E93,F$5:F93,F93,K$5:K93,"Active"))</f>
        <v/>
      </c>
      <c r="O93" s="89" t="str">
        <f aca="false">IF(N93="","",E93&amp;"|"&amp;F93&amp;"|"&amp;N93)</f>
        <v/>
      </c>
      <c r="P93" s="85" t="str">
        <f aca="false">IF(N93="","",IF(N93&gt;Settings!$B$7,"Over limit",IF(N93=Settings!$B$7,"Class full","OK")))</f>
        <v/>
      </c>
    </row>
    <row r="94" customFormat="false" ht="19.5" hidden="false" customHeight="true" outlineLevel="0" collapsed="false">
      <c r="A94" s="85" t="str">
        <f aca="false">IF(B94="","","S"&amp;TEXT(ROW()-4,"0000"))</f>
        <v/>
      </c>
      <c r="B94" s="86"/>
      <c r="C94" s="52"/>
      <c r="D94" s="91"/>
      <c r="E94" s="52"/>
      <c r="F94" s="52"/>
      <c r="G94" s="86"/>
      <c r="H94" s="86"/>
      <c r="I94" s="86"/>
      <c r="J94" s="91"/>
      <c r="K94" s="52"/>
      <c r="L94" s="86"/>
      <c r="M94" s="89"/>
      <c r="N94" s="89" t="str">
        <f aca="false">IF(OR(E94="",F94="",K94&lt;&gt;"Active"),"",COUNTIFS(E$5:E94,E94,F$5:F94,F94,K$5:K94,"Active"))</f>
        <v/>
      </c>
      <c r="O94" s="89" t="str">
        <f aca="false">IF(N94="","",E94&amp;"|"&amp;F94&amp;"|"&amp;N94)</f>
        <v/>
      </c>
      <c r="P94" s="85" t="str">
        <f aca="false">IF(N94="","",IF(N94&gt;Settings!$B$7,"Over limit",IF(N94=Settings!$B$7,"Class full","OK")))</f>
        <v/>
      </c>
    </row>
    <row r="95" customFormat="false" ht="19.5" hidden="false" customHeight="true" outlineLevel="0" collapsed="false">
      <c r="A95" s="85" t="str">
        <f aca="false">IF(B95="","","S"&amp;TEXT(ROW()-4,"0000"))</f>
        <v/>
      </c>
      <c r="B95" s="86"/>
      <c r="C95" s="52"/>
      <c r="D95" s="91"/>
      <c r="E95" s="52"/>
      <c r="F95" s="52"/>
      <c r="G95" s="86"/>
      <c r="H95" s="86"/>
      <c r="I95" s="86"/>
      <c r="J95" s="91"/>
      <c r="K95" s="52"/>
      <c r="L95" s="86"/>
      <c r="M95" s="89"/>
      <c r="N95" s="89" t="str">
        <f aca="false">IF(OR(E95="",F95="",K95&lt;&gt;"Active"),"",COUNTIFS(E$5:E95,E95,F$5:F95,F95,K$5:K95,"Active"))</f>
        <v/>
      </c>
      <c r="O95" s="89" t="str">
        <f aca="false">IF(N95="","",E95&amp;"|"&amp;F95&amp;"|"&amp;N95)</f>
        <v/>
      </c>
      <c r="P95" s="85" t="str">
        <f aca="false">IF(N95="","",IF(N95&gt;Settings!$B$7,"Over limit",IF(N95=Settings!$B$7,"Class full","OK")))</f>
        <v/>
      </c>
    </row>
    <row r="96" customFormat="false" ht="19.5" hidden="false" customHeight="true" outlineLevel="0" collapsed="false">
      <c r="A96" s="85" t="str">
        <f aca="false">IF(B96="","","S"&amp;TEXT(ROW()-4,"0000"))</f>
        <v/>
      </c>
      <c r="B96" s="86"/>
      <c r="C96" s="52"/>
      <c r="D96" s="91"/>
      <c r="E96" s="52"/>
      <c r="F96" s="52"/>
      <c r="G96" s="86"/>
      <c r="H96" s="86"/>
      <c r="I96" s="86"/>
      <c r="J96" s="91"/>
      <c r="K96" s="52"/>
      <c r="L96" s="86"/>
      <c r="M96" s="89"/>
      <c r="N96" s="89" t="str">
        <f aca="false">IF(OR(E96="",F96="",K96&lt;&gt;"Active"),"",COUNTIFS(E$5:E96,E96,F$5:F96,F96,K$5:K96,"Active"))</f>
        <v/>
      </c>
      <c r="O96" s="89" t="str">
        <f aca="false">IF(N96="","",E96&amp;"|"&amp;F96&amp;"|"&amp;N96)</f>
        <v/>
      </c>
      <c r="P96" s="85" t="str">
        <f aca="false">IF(N96="","",IF(N96&gt;Settings!$B$7,"Over limit",IF(N96=Settings!$B$7,"Class full","OK")))</f>
        <v/>
      </c>
    </row>
    <row r="97" customFormat="false" ht="19.5" hidden="false" customHeight="true" outlineLevel="0" collapsed="false">
      <c r="A97" s="85" t="str">
        <f aca="false">IF(B97="","","S"&amp;TEXT(ROW()-4,"0000"))</f>
        <v/>
      </c>
      <c r="B97" s="86"/>
      <c r="C97" s="52"/>
      <c r="D97" s="91"/>
      <c r="E97" s="52"/>
      <c r="F97" s="52"/>
      <c r="G97" s="86"/>
      <c r="H97" s="86"/>
      <c r="I97" s="86"/>
      <c r="J97" s="91"/>
      <c r="K97" s="52"/>
      <c r="L97" s="86"/>
      <c r="M97" s="89"/>
      <c r="N97" s="89" t="str">
        <f aca="false">IF(OR(E97="",F97="",K97&lt;&gt;"Active"),"",COUNTIFS(E$5:E97,E97,F$5:F97,F97,K$5:K97,"Active"))</f>
        <v/>
      </c>
      <c r="O97" s="89" t="str">
        <f aca="false">IF(N97="","",E97&amp;"|"&amp;F97&amp;"|"&amp;N97)</f>
        <v/>
      </c>
      <c r="P97" s="85" t="str">
        <f aca="false">IF(N97="","",IF(N97&gt;Settings!$B$7,"Over limit",IF(N97=Settings!$B$7,"Class full","OK")))</f>
        <v/>
      </c>
    </row>
    <row r="98" customFormat="false" ht="19.5" hidden="false" customHeight="true" outlineLevel="0" collapsed="false">
      <c r="A98" s="85" t="str">
        <f aca="false">IF(B98="","","S"&amp;TEXT(ROW()-4,"0000"))</f>
        <v/>
      </c>
      <c r="B98" s="86"/>
      <c r="C98" s="52"/>
      <c r="D98" s="91"/>
      <c r="E98" s="52"/>
      <c r="F98" s="52"/>
      <c r="G98" s="86"/>
      <c r="H98" s="86"/>
      <c r="I98" s="86"/>
      <c r="J98" s="91"/>
      <c r="K98" s="52"/>
      <c r="L98" s="86"/>
      <c r="M98" s="89"/>
      <c r="N98" s="89" t="str">
        <f aca="false">IF(OR(E98="",F98="",K98&lt;&gt;"Active"),"",COUNTIFS(E$5:E98,E98,F$5:F98,F98,K$5:K98,"Active"))</f>
        <v/>
      </c>
      <c r="O98" s="89" t="str">
        <f aca="false">IF(N98="","",E98&amp;"|"&amp;F98&amp;"|"&amp;N98)</f>
        <v/>
      </c>
      <c r="P98" s="85" t="str">
        <f aca="false">IF(N98="","",IF(N98&gt;Settings!$B$7,"Over limit",IF(N98=Settings!$B$7,"Class full","OK")))</f>
        <v/>
      </c>
    </row>
    <row r="99" customFormat="false" ht="19.5" hidden="false" customHeight="true" outlineLevel="0" collapsed="false">
      <c r="A99" s="85" t="str">
        <f aca="false">IF(B99="","","S"&amp;TEXT(ROW()-4,"0000"))</f>
        <v/>
      </c>
      <c r="B99" s="86"/>
      <c r="C99" s="52"/>
      <c r="D99" s="91"/>
      <c r="E99" s="52"/>
      <c r="F99" s="52"/>
      <c r="G99" s="86"/>
      <c r="H99" s="86"/>
      <c r="I99" s="86"/>
      <c r="J99" s="91"/>
      <c r="K99" s="52"/>
      <c r="L99" s="86"/>
      <c r="M99" s="89"/>
      <c r="N99" s="89" t="str">
        <f aca="false">IF(OR(E99="",F99="",K99&lt;&gt;"Active"),"",COUNTIFS(E$5:E99,E99,F$5:F99,F99,K$5:K99,"Active"))</f>
        <v/>
      </c>
      <c r="O99" s="89" t="str">
        <f aca="false">IF(N99="","",E99&amp;"|"&amp;F99&amp;"|"&amp;N99)</f>
        <v/>
      </c>
      <c r="P99" s="85" t="str">
        <f aca="false">IF(N99="","",IF(N99&gt;Settings!$B$7,"Over limit",IF(N99=Settings!$B$7,"Class full","OK")))</f>
        <v/>
      </c>
    </row>
    <row r="100" customFormat="false" ht="19.5" hidden="false" customHeight="true" outlineLevel="0" collapsed="false">
      <c r="A100" s="85" t="str">
        <f aca="false">IF(B100="","","S"&amp;TEXT(ROW()-4,"0000"))</f>
        <v/>
      </c>
      <c r="B100" s="86"/>
      <c r="C100" s="52"/>
      <c r="D100" s="91"/>
      <c r="E100" s="52"/>
      <c r="F100" s="52"/>
      <c r="G100" s="86"/>
      <c r="H100" s="86"/>
      <c r="I100" s="86"/>
      <c r="J100" s="91"/>
      <c r="K100" s="52"/>
      <c r="L100" s="86"/>
      <c r="M100" s="89"/>
      <c r="N100" s="89" t="str">
        <f aca="false">IF(OR(E100="",F100="",K100&lt;&gt;"Active"),"",COUNTIFS(E$5:E100,E100,F$5:F100,F100,K$5:K100,"Active"))</f>
        <v/>
      </c>
      <c r="O100" s="89" t="str">
        <f aca="false">IF(N100="","",E100&amp;"|"&amp;F100&amp;"|"&amp;N100)</f>
        <v/>
      </c>
      <c r="P100" s="85" t="str">
        <f aca="false">IF(N100="","",IF(N100&gt;Settings!$B$7,"Over limit",IF(N100=Settings!$B$7,"Class full","OK")))</f>
        <v/>
      </c>
    </row>
    <row r="101" customFormat="false" ht="19.5" hidden="false" customHeight="true" outlineLevel="0" collapsed="false">
      <c r="A101" s="85" t="str">
        <f aca="false">IF(B101="","","S"&amp;TEXT(ROW()-4,"0000"))</f>
        <v/>
      </c>
      <c r="B101" s="86"/>
      <c r="C101" s="52"/>
      <c r="D101" s="91"/>
      <c r="E101" s="52"/>
      <c r="F101" s="52"/>
      <c r="G101" s="86"/>
      <c r="H101" s="86"/>
      <c r="I101" s="86"/>
      <c r="J101" s="91"/>
      <c r="K101" s="52"/>
      <c r="L101" s="86"/>
      <c r="M101" s="89"/>
      <c r="N101" s="89" t="str">
        <f aca="false">IF(OR(E101="",F101="",K101&lt;&gt;"Active"),"",COUNTIFS(E$5:E101,E101,F$5:F101,F101,K$5:K101,"Active"))</f>
        <v/>
      </c>
      <c r="O101" s="89" t="str">
        <f aca="false">IF(N101="","",E101&amp;"|"&amp;F101&amp;"|"&amp;N101)</f>
        <v/>
      </c>
      <c r="P101" s="85" t="str">
        <f aca="false">IF(N101="","",IF(N101&gt;Settings!$B$7,"Over limit",IF(N101=Settings!$B$7,"Class full","OK")))</f>
        <v/>
      </c>
    </row>
    <row r="102" customFormat="false" ht="19.5" hidden="false" customHeight="true" outlineLevel="0" collapsed="false">
      <c r="A102" s="85" t="str">
        <f aca="false">IF(B102="","","S"&amp;TEXT(ROW()-4,"0000"))</f>
        <v/>
      </c>
      <c r="B102" s="86"/>
      <c r="C102" s="52"/>
      <c r="D102" s="91"/>
      <c r="E102" s="52"/>
      <c r="F102" s="52"/>
      <c r="G102" s="86"/>
      <c r="H102" s="86"/>
      <c r="I102" s="86"/>
      <c r="J102" s="91"/>
      <c r="K102" s="52"/>
      <c r="L102" s="86"/>
      <c r="M102" s="89"/>
      <c r="N102" s="89" t="str">
        <f aca="false">IF(OR(E102="",F102="",K102&lt;&gt;"Active"),"",COUNTIFS(E$5:E102,E102,F$5:F102,F102,K$5:K102,"Active"))</f>
        <v/>
      </c>
      <c r="O102" s="89" t="str">
        <f aca="false">IF(N102="","",E102&amp;"|"&amp;F102&amp;"|"&amp;N102)</f>
        <v/>
      </c>
      <c r="P102" s="85" t="str">
        <f aca="false">IF(N102="","",IF(N102&gt;Settings!$B$7,"Over limit",IF(N102=Settings!$B$7,"Class full","OK")))</f>
        <v/>
      </c>
    </row>
    <row r="103" customFormat="false" ht="19.5" hidden="false" customHeight="true" outlineLevel="0" collapsed="false">
      <c r="A103" s="85" t="str">
        <f aca="false">IF(B103="","","S"&amp;TEXT(ROW()-4,"0000"))</f>
        <v/>
      </c>
      <c r="B103" s="86"/>
      <c r="C103" s="52"/>
      <c r="D103" s="91"/>
      <c r="E103" s="52"/>
      <c r="F103" s="52"/>
      <c r="G103" s="86"/>
      <c r="H103" s="86"/>
      <c r="I103" s="86"/>
      <c r="J103" s="91"/>
      <c r="K103" s="52"/>
      <c r="L103" s="86"/>
      <c r="M103" s="89"/>
      <c r="N103" s="89" t="str">
        <f aca="false">IF(OR(E103="",F103="",K103&lt;&gt;"Active"),"",COUNTIFS(E$5:E103,E103,F$5:F103,F103,K$5:K103,"Active"))</f>
        <v/>
      </c>
      <c r="O103" s="89" t="str">
        <f aca="false">IF(N103="","",E103&amp;"|"&amp;F103&amp;"|"&amp;N103)</f>
        <v/>
      </c>
      <c r="P103" s="85" t="str">
        <f aca="false">IF(N103="","",IF(N103&gt;Settings!$B$7,"Over limit",IF(N103=Settings!$B$7,"Class full","OK")))</f>
        <v/>
      </c>
    </row>
    <row r="104" customFormat="false" ht="19.5" hidden="false" customHeight="true" outlineLevel="0" collapsed="false">
      <c r="A104" s="85" t="str">
        <f aca="false">IF(B104="","","S"&amp;TEXT(ROW()-4,"0000"))</f>
        <v/>
      </c>
      <c r="B104" s="86"/>
      <c r="C104" s="52"/>
      <c r="D104" s="91"/>
      <c r="E104" s="52"/>
      <c r="F104" s="52"/>
      <c r="G104" s="86"/>
      <c r="H104" s="86"/>
      <c r="I104" s="86"/>
      <c r="J104" s="91"/>
      <c r="K104" s="52"/>
      <c r="L104" s="86"/>
      <c r="M104" s="89"/>
      <c r="N104" s="89" t="str">
        <f aca="false">IF(OR(E104="",F104="",K104&lt;&gt;"Active"),"",COUNTIFS(E$5:E104,E104,F$5:F104,F104,K$5:K104,"Active"))</f>
        <v/>
      </c>
      <c r="O104" s="89" t="str">
        <f aca="false">IF(N104="","",E104&amp;"|"&amp;F104&amp;"|"&amp;N104)</f>
        <v/>
      </c>
      <c r="P104" s="85" t="str">
        <f aca="false">IF(N104="","",IF(N104&gt;Settings!$B$7,"Over limit",IF(N104=Settings!$B$7,"Class full","OK")))</f>
        <v/>
      </c>
    </row>
    <row r="105" customFormat="false" ht="19.5" hidden="false" customHeight="true" outlineLevel="0" collapsed="false">
      <c r="A105" s="85" t="str">
        <f aca="false">IF(B105="","","S"&amp;TEXT(ROW()-4,"0000"))</f>
        <v/>
      </c>
      <c r="B105" s="86"/>
      <c r="C105" s="52"/>
      <c r="D105" s="91"/>
      <c r="E105" s="52"/>
      <c r="F105" s="52"/>
      <c r="G105" s="86"/>
      <c r="H105" s="86"/>
      <c r="I105" s="86"/>
      <c r="J105" s="91"/>
      <c r="K105" s="52"/>
      <c r="L105" s="86"/>
      <c r="M105" s="89"/>
      <c r="N105" s="89" t="str">
        <f aca="false">IF(OR(E105="",F105="",K105&lt;&gt;"Active"),"",COUNTIFS(E$5:E105,E105,F$5:F105,F105,K$5:K105,"Active"))</f>
        <v/>
      </c>
      <c r="O105" s="89" t="str">
        <f aca="false">IF(N105="","",E105&amp;"|"&amp;F105&amp;"|"&amp;N105)</f>
        <v/>
      </c>
      <c r="P105" s="85" t="str">
        <f aca="false">IF(N105="","",IF(N105&gt;Settings!$B$7,"Over limit",IF(N105=Settings!$B$7,"Class full","OK")))</f>
        <v/>
      </c>
    </row>
    <row r="106" customFormat="false" ht="19.5" hidden="false" customHeight="true" outlineLevel="0" collapsed="false">
      <c r="A106" s="85" t="str">
        <f aca="false">IF(B106="","","S"&amp;TEXT(ROW()-4,"0000"))</f>
        <v/>
      </c>
      <c r="B106" s="86"/>
      <c r="C106" s="52"/>
      <c r="D106" s="91"/>
      <c r="E106" s="52"/>
      <c r="F106" s="52"/>
      <c r="G106" s="86"/>
      <c r="H106" s="86"/>
      <c r="I106" s="86"/>
      <c r="J106" s="91"/>
      <c r="K106" s="52"/>
      <c r="L106" s="86"/>
      <c r="M106" s="89"/>
      <c r="N106" s="89" t="str">
        <f aca="false">IF(OR(E106="",F106="",K106&lt;&gt;"Active"),"",COUNTIFS(E$5:E106,E106,F$5:F106,F106,K$5:K106,"Active"))</f>
        <v/>
      </c>
      <c r="O106" s="89" t="str">
        <f aca="false">IF(N106="","",E106&amp;"|"&amp;F106&amp;"|"&amp;N106)</f>
        <v/>
      </c>
      <c r="P106" s="85" t="str">
        <f aca="false">IF(N106="","",IF(N106&gt;Settings!$B$7,"Over limit",IF(N106=Settings!$B$7,"Class full","OK")))</f>
        <v/>
      </c>
    </row>
    <row r="107" customFormat="false" ht="19.5" hidden="false" customHeight="true" outlineLevel="0" collapsed="false">
      <c r="A107" s="85" t="str">
        <f aca="false">IF(B107="","","S"&amp;TEXT(ROW()-4,"0000"))</f>
        <v/>
      </c>
      <c r="B107" s="86"/>
      <c r="C107" s="52"/>
      <c r="D107" s="91"/>
      <c r="E107" s="52"/>
      <c r="F107" s="52"/>
      <c r="G107" s="86"/>
      <c r="H107" s="86"/>
      <c r="I107" s="86"/>
      <c r="J107" s="91"/>
      <c r="K107" s="52"/>
      <c r="L107" s="86"/>
      <c r="M107" s="89"/>
      <c r="N107" s="89" t="str">
        <f aca="false">IF(OR(E107="",F107="",K107&lt;&gt;"Active"),"",COUNTIFS(E$5:E107,E107,F$5:F107,F107,K$5:K107,"Active"))</f>
        <v/>
      </c>
      <c r="O107" s="89" t="str">
        <f aca="false">IF(N107="","",E107&amp;"|"&amp;F107&amp;"|"&amp;N107)</f>
        <v/>
      </c>
      <c r="P107" s="85" t="str">
        <f aca="false">IF(N107="","",IF(N107&gt;Settings!$B$7,"Over limit",IF(N107=Settings!$B$7,"Class full","OK")))</f>
        <v/>
      </c>
    </row>
    <row r="108" customFormat="false" ht="19.5" hidden="false" customHeight="true" outlineLevel="0" collapsed="false">
      <c r="A108" s="85" t="str">
        <f aca="false">IF(B108="","","S"&amp;TEXT(ROW()-4,"0000"))</f>
        <v/>
      </c>
      <c r="B108" s="86"/>
      <c r="C108" s="52"/>
      <c r="D108" s="91"/>
      <c r="E108" s="52"/>
      <c r="F108" s="52"/>
      <c r="G108" s="86"/>
      <c r="H108" s="86"/>
      <c r="I108" s="86"/>
      <c r="J108" s="91"/>
      <c r="K108" s="52"/>
      <c r="L108" s="86"/>
      <c r="M108" s="89"/>
      <c r="N108" s="89" t="str">
        <f aca="false">IF(OR(E108="",F108="",K108&lt;&gt;"Active"),"",COUNTIFS(E$5:E108,E108,F$5:F108,F108,K$5:K108,"Active"))</f>
        <v/>
      </c>
      <c r="O108" s="89" t="str">
        <f aca="false">IF(N108="","",E108&amp;"|"&amp;F108&amp;"|"&amp;N108)</f>
        <v/>
      </c>
      <c r="P108" s="85" t="str">
        <f aca="false">IF(N108="","",IF(N108&gt;Settings!$B$7,"Over limit",IF(N108=Settings!$B$7,"Class full","OK")))</f>
        <v/>
      </c>
    </row>
    <row r="109" customFormat="false" ht="19.5" hidden="false" customHeight="true" outlineLevel="0" collapsed="false">
      <c r="A109" s="85" t="str">
        <f aca="false">IF(B109="","","S"&amp;TEXT(ROW()-4,"0000"))</f>
        <v/>
      </c>
      <c r="B109" s="86"/>
      <c r="C109" s="52"/>
      <c r="D109" s="91"/>
      <c r="E109" s="52"/>
      <c r="F109" s="52"/>
      <c r="G109" s="86"/>
      <c r="H109" s="86"/>
      <c r="I109" s="86"/>
      <c r="J109" s="91"/>
      <c r="K109" s="52"/>
      <c r="L109" s="86"/>
      <c r="M109" s="89"/>
      <c r="N109" s="89" t="str">
        <f aca="false">IF(OR(E109="",F109="",K109&lt;&gt;"Active"),"",COUNTIFS(E$5:E109,E109,F$5:F109,F109,K$5:K109,"Active"))</f>
        <v/>
      </c>
      <c r="O109" s="89" t="str">
        <f aca="false">IF(N109="","",E109&amp;"|"&amp;F109&amp;"|"&amp;N109)</f>
        <v/>
      </c>
      <c r="P109" s="85" t="str">
        <f aca="false">IF(N109="","",IF(N109&gt;Settings!$B$7,"Over limit",IF(N109=Settings!$B$7,"Class full","OK")))</f>
        <v/>
      </c>
    </row>
    <row r="110" customFormat="false" ht="19.5" hidden="false" customHeight="true" outlineLevel="0" collapsed="false">
      <c r="A110" s="85" t="str">
        <f aca="false">IF(B110="","","S"&amp;TEXT(ROW()-4,"0000"))</f>
        <v/>
      </c>
      <c r="B110" s="86"/>
      <c r="C110" s="52"/>
      <c r="D110" s="91"/>
      <c r="E110" s="52"/>
      <c r="F110" s="52"/>
      <c r="G110" s="86"/>
      <c r="H110" s="86"/>
      <c r="I110" s="86"/>
      <c r="J110" s="91"/>
      <c r="K110" s="52"/>
      <c r="L110" s="86"/>
      <c r="M110" s="89"/>
      <c r="N110" s="89" t="str">
        <f aca="false">IF(OR(E110="",F110="",K110&lt;&gt;"Active"),"",COUNTIFS(E$5:E110,E110,F$5:F110,F110,K$5:K110,"Active"))</f>
        <v/>
      </c>
      <c r="O110" s="89" t="str">
        <f aca="false">IF(N110="","",E110&amp;"|"&amp;F110&amp;"|"&amp;N110)</f>
        <v/>
      </c>
      <c r="P110" s="85" t="str">
        <f aca="false">IF(N110="","",IF(N110&gt;Settings!$B$7,"Over limit",IF(N110=Settings!$B$7,"Class full","OK")))</f>
        <v/>
      </c>
    </row>
    <row r="111" customFormat="false" ht="19.5" hidden="false" customHeight="true" outlineLevel="0" collapsed="false">
      <c r="A111" s="85" t="str">
        <f aca="false">IF(B111="","","S"&amp;TEXT(ROW()-4,"0000"))</f>
        <v/>
      </c>
      <c r="B111" s="86"/>
      <c r="C111" s="52"/>
      <c r="D111" s="91"/>
      <c r="E111" s="52"/>
      <c r="F111" s="52"/>
      <c r="G111" s="86"/>
      <c r="H111" s="86"/>
      <c r="I111" s="86"/>
      <c r="J111" s="91"/>
      <c r="K111" s="52"/>
      <c r="L111" s="86"/>
      <c r="M111" s="89"/>
      <c r="N111" s="89" t="str">
        <f aca="false">IF(OR(E111="",F111="",K111&lt;&gt;"Active"),"",COUNTIFS(E$5:E111,E111,F$5:F111,F111,K$5:K111,"Active"))</f>
        <v/>
      </c>
      <c r="O111" s="89" t="str">
        <f aca="false">IF(N111="","",E111&amp;"|"&amp;F111&amp;"|"&amp;N111)</f>
        <v/>
      </c>
      <c r="P111" s="85" t="str">
        <f aca="false">IF(N111="","",IF(N111&gt;Settings!$B$7,"Over limit",IF(N111=Settings!$B$7,"Class full","OK")))</f>
        <v/>
      </c>
    </row>
    <row r="112" customFormat="false" ht="19.5" hidden="false" customHeight="true" outlineLevel="0" collapsed="false">
      <c r="A112" s="85" t="str">
        <f aca="false">IF(B112="","","S"&amp;TEXT(ROW()-4,"0000"))</f>
        <v/>
      </c>
      <c r="B112" s="86"/>
      <c r="C112" s="52"/>
      <c r="D112" s="91"/>
      <c r="E112" s="52"/>
      <c r="F112" s="52"/>
      <c r="G112" s="86"/>
      <c r="H112" s="86"/>
      <c r="I112" s="86"/>
      <c r="J112" s="91"/>
      <c r="K112" s="52"/>
      <c r="L112" s="86"/>
      <c r="M112" s="89"/>
      <c r="N112" s="89" t="str">
        <f aca="false">IF(OR(E112="",F112="",K112&lt;&gt;"Active"),"",COUNTIFS(E$5:E112,E112,F$5:F112,F112,K$5:K112,"Active"))</f>
        <v/>
      </c>
      <c r="O112" s="89" t="str">
        <f aca="false">IF(N112="","",E112&amp;"|"&amp;F112&amp;"|"&amp;N112)</f>
        <v/>
      </c>
      <c r="P112" s="85" t="str">
        <f aca="false">IF(N112="","",IF(N112&gt;Settings!$B$7,"Over limit",IF(N112=Settings!$B$7,"Class full","OK")))</f>
        <v/>
      </c>
    </row>
    <row r="113" customFormat="false" ht="19.5" hidden="false" customHeight="true" outlineLevel="0" collapsed="false">
      <c r="A113" s="85" t="str">
        <f aca="false">IF(B113="","","S"&amp;TEXT(ROW()-4,"0000"))</f>
        <v/>
      </c>
      <c r="B113" s="86"/>
      <c r="C113" s="52"/>
      <c r="D113" s="91"/>
      <c r="E113" s="52"/>
      <c r="F113" s="52"/>
      <c r="G113" s="86"/>
      <c r="H113" s="86"/>
      <c r="I113" s="86"/>
      <c r="J113" s="91"/>
      <c r="K113" s="52"/>
      <c r="L113" s="86"/>
      <c r="M113" s="89"/>
      <c r="N113" s="89" t="str">
        <f aca="false">IF(OR(E113="",F113="",K113&lt;&gt;"Active"),"",COUNTIFS(E$5:E113,E113,F$5:F113,F113,K$5:K113,"Active"))</f>
        <v/>
      </c>
      <c r="O113" s="89" t="str">
        <f aca="false">IF(N113="","",E113&amp;"|"&amp;F113&amp;"|"&amp;N113)</f>
        <v/>
      </c>
      <c r="P113" s="85" t="str">
        <f aca="false">IF(N113="","",IF(N113&gt;Settings!$B$7,"Over limit",IF(N113=Settings!$B$7,"Class full","OK")))</f>
        <v/>
      </c>
    </row>
    <row r="114" customFormat="false" ht="19.5" hidden="false" customHeight="true" outlineLevel="0" collapsed="false">
      <c r="A114" s="85" t="str">
        <f aca="false">IF(B114="","","S"&amp;TEXT(ROW()-4,"0000"))</f>
        <v/>
      </c>
      <c r="B114" s="86"/>
      <c r="C114" s="52"/>
      <c r="D114" s="91"/>
      <c r="E114" s="52"/>
      <c r="F114" s="52"/>
      <c r="G114" s="86"/>
      <c r="H114" s="86"/>
      <c r="I114" s="86"/>
      <c r="J114" s="91"/>
      <c r="K114" s="52"/>
      <c r="L114" s="86"/>
      <c r="M114" s="89"/>
      <c r="N114" s="89" t="str">
        <f aca="false">IF(OR(E114="",F114="",K114&lt;&gt;"Active"),"",COUNTIFS(E$5:E114,E114,F$5:F114,F114,K$5:K114,"Active"))</f>
        <v/>
      </c>
      <c r="O114" s="89" t="str">
        <f aca="false">IF(N114="","",E114&amp;"|"&amp;F114&amp;"|"&amp;N114)</f>
        <v/>
      </c>
      <c r="P114" s="85" t="str">
        <f aca="false">IF(N114="","",IF(N114&gt;Settings!$B$7,"Over limit",IF(N114=Settings!$B$7,"Class full","OK")))</f>
        <v/>
      </c>
    </row>
    <row r="115" customFormat="false" ht="19.5" hidden="false" customHeight="true" outlineLevel="0" collapsed="false">
      <c r="A115" s="85" t="str">
        <f aca="false">IF(B115="","","S"&amp;TEXT(ROW()-4,"0000"))</f>
        <v/>
      </c>
      <c r="B115" s="86"/>
      <c r="C115" s="52"/>
      <c r="D115" s="91"/>
      <c r="E115" s="52"/>
      <c r="F115" s="52"/>
      <c r="G115" s="86"/>
      <c r="H115" s="86"/>
      <c r="I115" s="86"/>
      <c r="J115" s="91"/>
      <c r="K115" s="52"/>
      <c r="L115" s="86"/>
      <c r="M115" s="89"/>
      <c r="N115" s="89" t="str">
        <f aca="false">IF(OR(E115="",F115="",K115&lt;&gt;"Active"),"",COUNTIFS(E$5:E115,E115,F$5:F115,F115,K$5:K115,"Active"))</f>
        <v/>
      </c>
      <c r="O115" s="89" t="str">
        <f aca="false">IF(N115="","",E115&amp;"|"&amp;F115&amp;"|"&amp;N115)</f>
        <v/>
      </c>
      <c r="P115" s="85" t="str">
        <f aca="false">IF(N115="","",IF(N115&gt;Settings!$B$7,"Over limit",IF(N115=Settings!$B$7,"Class full","OK")))</f>
        <v/>
      </c>
    </row>
    <row r="116" customFormat="false" ht="19.5" hidden="false" customHeight="true" outlineLevel="0" collapsed="false">
      <c r="A116" s="85" t="str">
        <f aca="false">IF(B116="","","S"&amp;TEXT(ROW()-4,"0000"))</f>
        <v/>
      </c>
      <c r="B116" s="86"/>
      <c r="C116" s="52"/>
      <c r="D116" s="91"/>
      <c r="E116" s="52"/>
      <c r="F116" s="52"/>
      <c r="G116" s="86"/>
      <c r="H116" s="86"/>
      <c r="I116" s="86"/>
      <c r="J116" s="91"/>
      <c r="K116" s="52"/>
      <c r="L116" s="86"/>
      <c r="M116" s="89"/>
      <c r="N116" s="89" t="str">
        <f aca="false">IF(OR(E116="",F116="",K116&lt;&gt;"Active"),"",COUNTIFS(E$5:E116,E116,F$5:F116,F116,K$5:K116,"Active"))</f>
        <v/>
      </c>
      <c r="O116" s="89" t="str">
        <f aca="false">IF(N116="","",E116&amp;"|"&amp;F116&amp;"|"&amp;N116)</f>
        <v/>
      </c>
      <c r="P116" s="85" t="str">
        <f aca="false">IF(N116="","",IF(N116&gt;Settings!$B$7,"Over limit",IF(N116=Settings!$B$7,"Class full","OK")))</f>
        <v/>
      </c>
    </row>
    <row r="117" customFormat="false" ht="19.5" hidden="false" customHeight="true" outlineLevel="0" collapsed="false">
      <c r="A117" s="85" t="str">
        <f aca="false">IF(B117="","","S"&amp;TEXT(ROW()-4,"0000"))</f>
        <v/>
      </c>
      <c r="B117" s="86"/>
      <c r="C117" s="52"/>
      <c r="D117" s="91"/>
      <c r="E117" s="52"/>
      <c r="F117" s="52"/>
      <c r="G117" s="86"/>
      <c r="H117" s="86"/>
      <c r="I117" s="86"/>
      <c r="J117" s="91"/>
      <c r="K117" s="52"/>
      <c r="L117" s="86"/>
      <c r="M117" s="89"/>
      <c r="N117" s="89" t="str">
        <f aca="false">IF(OR(E117="",F117="",K117&lt;&gt;"Active"),"",COUNTIFS(E$5:E117,E117,F$5:F117,F117,K$5:K117,"Active"))</f>
        <v/>
      </c>
      <c r="O117" s="89" t="str">
        <f aca="false">IF(N117="","",E117&amp;"|"&amp;F117&amp;"|"&amp;N117)</f>
        <v/>
      </c>
      <c r="P117" s="85" t="str">
        <f aca="false">IF(N117="","",IF(N117&gt;Settings!$B$7,"Over limit",IF(N117=Settings!$B$7,"Class full","OK")))</f>
        <v/>
      </c>
    </row>
    <row r="118" customFormat="false" ht="19.5" hidden="false" customHeight="true" outlineLevel="0" collapsed="false">
      <c r="A118" s="85" t="str">
        <f aca="false">IF(B118="","","S"&amp;TEXT(ROW()-4,"0000"))</f>
        <v/>
      </c>
      <c r="B118" s="86"/>
      <c r="C118" s="52"/>
      <c r="D118" s="91"/>
      <c r="E118" s="52"/>
      <c r="F118" s="52"/>
      <c r="G118" s="86"/>
      <c r="H118" s="86"/>
      <c r="I118" s="86"/>
      <c r="J118" s="91"/>
      <c r="K118" s="52"/>
      <c r="L118" s="86"/>
      <c r="M118" s="89"/>
      <c r="N118" s="89" t="str">
        <f aca="false">IF(OR(E118="",F118="",K118&lt;&gt;"Active"),"",COUNTIFS(E$5:E118,E118,F$5:F118,F118,K$5:K118,"Active"))</f>
        <v/>
      </c>
      <c r="O118" s="89" t="str">
        <f aca="false">IF(N118="","",E118&amp;"|"&amp;F118&amp;"|"&amp;N118)</f>
        <v/>
      </c>
      <c r="P118" s="85" t="str">
        <f aca="false">IF(N118="","",IF(N118&gt;Settings!$B$7,"Over limit",IF(N118=Settings!$B$7,"Class full","OK")))</f>
        <v/>
      </c>
    </row>
    <row r="119" customFormat="false" ht="19.5" hidden="false" customHeight="true" outlineLevel="0" collapsed="false">
      <c r="A119" s="85" t="str">
        <f aca="false">IF(B119="","","S"&amp;TEXT(ROW()-4,"0000"))</f>
        <v/>
      </c>
      <c r="B119" s="86"/>
      <c r="C119" s="52"/>
      <c r="D119" s="91"/>
      <c r="E119" s="52"/>
      <c r="F119" s="52"/>
      <c r="G119" s="86"/>
      <c r="H119" s="86"/>
      <c r="I119" s="86"/>
      <c r="J119" s="91"/>
      <c r="K119" s="52"/>
      <c r="L119" s="86"/>
      <c r="M119" s="89"/>
      <c r="N119" s="89" t="str">
        <f aca="false">IF(OR(E119="",F119="",K119&lt;&gt;"Active"),"",COUNTIFS(E$5:E119,E119,F$5:F119,F119,K$5:K119,"Active"))</f>
        <v/>
      </c>
      <c r="O119" s="89" t="str">
        <f aca="false">IF(N119="","",E119&amp;"|"&amp;F119&amp;"|"&amp;N119)</f>
        <v/>
      </c>
      <c r="P119" s="85" t="str">
        <f aca="false">IF(N119="","",IF(N119&gt;Settings!$B$7,"Over limit",IF(N119=Settings!$B$7,"Class full","OK")))</f>
        <v/>
      </c>
    </row>
    <row r="120" customFormat="false" ht="19.5" hidden="false" customHeight="true" outlineLevel="0" collapsed="false">
      <c r="A120" s="85" t="str">
        <f aca="false">IF(B120="","","S"&amp;TEXT(ROW()-4,"0000"))</f>
        <v/>
      </c>
      <c r="B120" s="86"/>
      <c r="C120" s="52"/>
      <c r="D120" s="91"/>
      <c r="E120" s="52"/>
      <c r="F120" s="52"/>
      <c r="G120" s="86"/>
      <c r="H120" s="86"/>
      <c r="I120" s="86"/>
      <c r="J120" s="91"/>
      <c r="K120" s="52"/>
      <c r="L120" s="86"/>
      <c r="M120" s="89"/>
      <c r="N120" s="89" t="str">
        <f aca="false">IF(OR(E120="",F120="",K120&lt;&gt;"Active"),"",COUNTIFS(E$5:E120,E120,F$5:F120,F120,K$5:K120,"Active"))</f>
        <v/>
      </c>
      <c r="O120" s="89" t="str">
        <f aca="false">IF(N120="","",E120&amp;"|"&amp;F120&amp;"|"&amp;N120)</f>
        <v/>
      </c>
      <c r="P120" s="85" t="str">
        <f aca="false">IF(N120="","",IF(N120&gt;Settings!$B$7,"Over limit",IF(N120=Settings!$B$7,"Class full","OK")))</f>
        <v/>
      </c>
    </row>
    <row r="121" customFormat="false" ht="19.5" hidden="false" customHeight="true" outlineLevel="0" collapsed="false">
      <c r="A121" s="85" t="str">
        <f aca="false">IF(B121="","","S"&amp;TEXT(ROW()-4,"0000"))</f>
        <v/>
      </c>
      <c r="B121" s="86"/>
      <c r="C121" s="52"/>
      <c r="D121" s="91"/>
      <c r="E121" s="52"/>
      <c r="F121" s="52"/>
      <c r="G121" s="86"/>
      <c r="H121" s="86"/>
      <c r="I121" s="86"/>
      <c r="J121" s="91"/>
      <c r="K121" s="52"/>
      <c r="L121" s="86"/>
      <c r="M121" s="89"/>
      <c r="N121" s="89" t="str">
        <f aca="false">IF(OR(E121="",F121="",K121&lt;&gt;"Active"),"",COUNTIFS(E$5:E121,E121,F$5:F121,F121,K$5:K121,"Active"))</f>
        <v/>
      </c>
      <c r="O121" s="89" t="str">
        <f aca="false">IF(N121="","",E121&amp;"|"&amp;F121&amp;"|"&amp;N121)</f>
        <v/>
      </c>
      <c r="P121" s="85" t="str">
        <f aca="false">IF(N121="","",IF(N121&gt;Settings!$B$7,"Over limit",IF(N121=Settings!$B$7,"Class full","OK")))</f>
        <v/>
      </c>
    </row>
    <row r="122" customFormat="false" ht="19.5" hidden="false" customHeight="true" outlineLevel="0" collapsed="false">
      <c r="A122" s="85" t="str">
        <f aca="false">IF(B122="","","S"&amp;TEXT(ROW()-4,"0000"))</f>
        <v/>
      </c>
      <c r="B122" s="86"/>
      <c r="C122" s="52"/>
      <c r="D122" s="91"/>
      <c r="E122" s="52"/>
      <c r="F122" s="52"/>
      <c r="G122" s="86"/>
      <c r="H122" s="86"/>
      <c r="I122" s="86"/>
      <c r="J122" s="91"/>
      <c r="K122" s="52"/>
      <c r="L122" s="86"/>
      <c r="M122" s="89"/>
      <c r="N122" s="89" t="str">
        <f aca="false">IF(OR(E122="",F122="",K122&lt;&gt;"Active"),"",COUNTIFS(E$5:E122,E122,F$5:F122,F122,K$5:K122,"Active"))</f>
        <v/>
      </c>
      <c r="O122" s="89" t="str">
        <f aca="false">IF(N122="","",E122&amp;"|"&amp;F122&amp;"|"&amp;N122)</f>
        <v/>
      </c>
      <c r="P122" s="85" t="str">
        <f aca="false">IF(N122="","",IF(N122&gt;Settings!$B$7,"Over limit",IF(N122=Settings!$B$7,"Class full","OK")))</f>
        <v/>
      </c>
    </row>
    <row r="123" customFormat="false" ht="19.5" hidden="false" customHeight="true" outlineLevel="0" collapsed="false">
      <c r="A123" s="85" t="str">
        <f aca="false">IF(B123="","","S"&amp;TEXT(ROW()-4,"0000"))</f>
        <v/>
      </c>
      <c r="B123" s="86"/>
      <c r="C123" s="52"/>
      <c r="D123" s="91"/>
      <c r="E123" s="52"/>
      <c r="F123" s="52"/>
      <c r="G123" s="86"/>
      <c r="H123" s="86"/>
      <c r="I123" s="86"/>
      <c r="J123" s="91"/>
      <c r="K123" s="52"/>
      <c r="L123" s="86"/>
      <c r="M123" s="89"/>
      <c r="N123" s="89" t="str">
        <f aca="false">IF(OR(E123="",F123="",K123&lt;&gt;"Active"),"",COUNTIFS(E$5:E123,E123,F$5:F123,F123,K$5:K123,"Active"))</f>
        <v/>
      </c>
      <c r="O123" s="89" t="str">
        <f aca="false">IF(N123="","",E123&amp;"|"&amp;F123&amp;"|"&amp;N123)</f>
        <v/>
      </c>
      <c r="P123" s="85" t="str">
        <f aca="false">IF(N123="","",IF(N123&gt;Settings!$B$7,"Over limit",IF(N123=Settings!$B$7,"Class full","OK")))</f>
        <v/>
      </c>
    </row>
    <row r="124" customFormat="false" ht="19.5" hidden="false" customHeight="true" outlineLevel="0" collapsed="false">
      <c r="A124" s="85" t="str">
        <f aca="false">IF(B124="","","S"&amp;TEXT(ROW()-4,"0000"))</f>
        <v/>
      </c>
      <c r="B124" s="86"/>
      <c r="C124" s="52"/>
      <c r="D124" s="91"/>
      <c r="E124" s="52"/>
      <c r="F124" s="52"/>
      <c r="G124" s="86"/>
      <c r="H124" s="86"/>
      <c r="I124" s="86"/>
      <c r="J124" s="91"/>
      <c r="K124" s="52"/>
      <c r="L124" s="86"/>
      <c r="M124" s="89"/>
      <c r="N124" s="89" t="str">
        <f aca="false">IF(OR(E124="",F124="",K124&lt;&gt;"Active"),"",COUNTIFS(E$5:E124,E124,F$5:F124,F124,K$5:K124,"Active"))</f>
        <v/>
      </c>
      <c r="O124" s="89" t="str">
        <f aca="false">IF(N124="","",E124&amp;"|"&amp;F124&amp;"|"&amp;N124)</f>
        <v/>
      </c>
      <c r="P124" s="85" t="str">
        <f aca="false">IF(N124="","",IF(N124&gt;Settings!$B$7,"Over limit",IF(N124=Settings!$B$7,"Class full","OK")))</f>
        <v/>
      </c>
    </row>
    <row r="125" customFormat="false" ht="19.5" hidden="false" customHeight="true" outlineLevel="0" collapsed="false">
      <c r="A125" s="85" t="str">
        <f aca="false">IF(B125="","","S"&amp;TEXT(ROW()-4,"0000"))</f>
        <v/>
      </c>
      <c r="B125" s="86"/>
      <c r="C125" s="52"/>
      <c r="D125" s="91"/>
      <c r="E125" s="52"/>
      <c r="F125" s="52"/>
      <c r="G125" s="86"/>
      <c r="H125" s="86"/>
      <c r="I125" s="86"/>
      <c r="J125" s="91"/>
      <c r="K125" s="52"/>
      <c r="L125" s="86"/>
      <c r="M125" s="89"/>
      <c r="N125" s="89" t="str">
        <f aca="false">IF(OR(E125="",F125="",K125&lt;&gt;"Active"),"",COUNTIFS(E$5:E125,E125,F$5:F125,F125,K$5:K125,"Active"))</f>
        <v/>
      </c>
      <c r="O125" s="89" t="str">
        <f aca="false">IF(N125="","",E125&amp;"|"&amp;F125&amp;"|"&amp;N125)</f>
        <v/>
      </c>
      <c r="P125" s="85" t="str">
        <f aca="false">IF(N125="","",IF(N125&gt;Settings!$B$7,"Over limit",IF(N125=Settings!$B$7,"Class full","OK")))</f>
        <v/>
      </c>
    </row>
    <row r="126" customFormat="false" ht="19.5" hidden="false" customHeight="true" outlineLevel="0" collapsed="false">
      <c r="A126" s="85" t="str">
        <f aca="false">IF(B126="","","S"&amp;TEXT(ROW()-4,"0000"))</f>
        <v/>
      </c>
      <c r="B126" s="86"/>
      <c r="C126" s="52"/>
      <c r="D126" s="91"/>
      <c r="E126" s="52"/>
      <c r="F126" s="52"/>
      <c r="G126" s="86"/>
      <c r="H126" s="86"/>
      <c r="I126" s="86"/>
      <c r="J126" s="91"/>
      <c r="K126" s="52"/>
      <c r="L126" s="86"/>
      <c r="M126" s="89"/>
      <c r="N126" s="89" t="str">
        <f aca="false">IF(OR(E126="",F126="",K126&lt;&gt;"Active"),"",COUNTIFS(E$5:E126,E126,F$5:F126,F126,K$5:K126,"Active"))</f>
        <v/>
      </c>
      <c r="O126" s="89" t="str">
        <f aca="false">IF(N126="","",E126&amp;"|"&amp;F126&amp;"|"&amp;N126)</f>
        <v/>
      </c>
      <c r="P126" s="85" t="str">
        <f aca="false">IF(N126="","",IF(N126&gt;Settings!$B$7,"Over limit",IF(N126=Settings!$B$7,"Class full","OK")))</f>
        <v/>
      </c>
    </row>
    <row r="127" customFormat="false" ht="19.5" hidden="false" customHeight="true" outlineLevel="0" collapsed="false">
      <c r="A127" s="85" t="str">
        <f aca="false">IF(B127="","","S"&amp;TEXT(ROW()-4,"0000"))</f>
        <v/>
      </c>
      <c r="B127" s="86"/>
      <c r="C127" s="52"/>
      <c r="D127" s="91"/>
      <c r="E127" s="52"/>
      <c r="F127" s="52"/>
      <c r="G127" s="86"/>
      <c r="H127" s="86"/>
      <c r="I127" s="86"/>
      <c r="J127" s="91"/>
      <c r="K127" s="52"/>
      <c r="L127" s="86"/>
      <c r="M127" s="89"/>
      <c r="N127" s="89" t="str">
        <f aca="false">IF(OR(E127="",F127="",K127&lt;&gt;"Active"),"",COUNTIFS(E$5:E127,E127,F$5:F127,F127,K$5:K127,"Active"))</f>
        <v/>
      </c>
      <c r="O127" s="89" t="str">
        <f aca="false">IF(N127="","",E127&amp;"|"&amp;F127&amp;"|"&amp;N127)</f>
        <v/>
      </c>
      <c r="P127" s="85" t="str">
        <f aca="false">IF(N127="","",IF(N127&gt;Settings!$B$7,"Over limit",IF(N127=Settings!$B$7,"Class full","OK")))</f>
        <v/>
      </c>
    </row>
    <row r="128" customFormat="false" ht="19.5" hidden="false" customHeight="true" outlineLevel="0" collapsed="false">
      <c r="A128" s="85" t="str">
        <f aca="false">IF(B128="","","S"&amp;TEXT(ROW()-4,"0000"))</f>
        <v/>
      </c>
      <c r="B128" s="86"/>
      <c r="C128" s="52"/>
      <c r="D128" s="91"/>
      <c r="E128" s="52"/>
      <c r="F128" s="52"/>
      <c r="G128" s="86"/>
      <c r="H128" s="86"/>
      <c r="I128" s="86"/>
      <c r="J128" s="91"/>
      <c r="K128" s="52"/>
      <c r="L128" s="86"/>
      <c r="M128" s="89"/>
      <c r="N128" s="89" t="str">
        <f aca="false">IF(OR(E128="",F128="",K128&lt;&gt;"Active"),"",COUNTIFS(E$5:E128,E128,F$5:F128,F128,K$5:K128,"Active"))</f>
        <v/>
      </c>
      <c r="O128" s="89" t="str">
        <f aca="false">IF(N128="","",E128&amp;"|"&amp;F128&amp;"|"&amp;N128)</f>
        <v/>
      </c>
      <c r="P128" s="85" t="str">
        <f aca="false">IF(N128="","",IF(N128&gt;Settings!$B$7,"Over limit",IF(N128=Settings!$B$7,"Class full","OK")))</f>
        <v/>
      </c>
    </row>
    <row r="129" customFormat="false" ht="19.5" hidden="false" customHeight="true" outlineLevel="0" collapsed="false">
      <c r="A129" s="85" t="str">
        <f aca="false">IF(B129="","","S"&amp;TEXT(ROW()-4,"0000"))</f>
        <v/>
      </c>
      <c r="B129" s="86"/>
      <c r="C129" s="52"/>
      <c r="D129" s="91"/>
      <c r="E129" s="52"/>
      <c r="F129" s="52"/>
      <c r="G129" s="86"/>
      <c r="H129" s="86"/>
      <c r="I129" s="86"/>
      <c r="J129" s="91"/>
      <c r="K129" s="52"/>
      <c r="L129" s="86"/>
      <c r="M129" s="89"/>
      <c r="N129" s="89" t="str">
        <f aca="false">IF(OR(E129="",F129="",K129&lt;&gt;"Active"),"",COUNTIFS(E$5:E129,E129,F$5:F129,F129,K$5:K129,"Active"))</f>
        <v/>
      </c>
      <c r="O129" s="89" t="str">
        <f aca="false">IF(N129="","",E129&amp;"|"&amp;F129&amp;"|"&amp;N129)</f>
        <v/>
      </c>
      <c r="P129" s="85" t="str">
        <f aca="false">IF(N129="","",IF(N129&gt;Settings!$B$7,"Over limit",IF(N129=Settings!$B$7,"Class full","OK")))</f>
        <v/>
      </c>
    </row>
    <row r="130" customFormat="false" ht="19.5" hidden="false" customHeight="true" outlineLevel="0" collapsed="false">
      <c r="A130" s="85" t="str">
        <f aca="false">IF(B130="","","S"&amp;TEXT(ROW()-4,"0000"))</f>
        <v/>
      </c>
      <c r="B130" s="86"/>
      <c r="C130" s="52"/>
      <c r="D130" s="91"/>
      <c r="E130" s="52"/>
      <c r="F130" s="52"/>
      <c r="G130" s="86"/>
      <c r="H130" s="86"/>
      <c r="I130" s="86"/>
      <c r="J130" s="91"/>
      <c r="K130" s="52"/>
      <c r="L130" s="86"/>
      <c r="M130" s="89"/>
      <c r="N130" s="89" t="str">
        <f aca="false">IF(OR(E130="",F130="",K130&lt;&gt;"Active"),"",COUNTIFS(E$5:E130,E130,F$5:F130,F130,K$5:K130,"Active"))</f>
        <v/>
      </c>
      <c r="O130" s="89" t="str">
        <f aca="false">IF(N130="","",E130&amp;"|"&amp;F130&amp;"|"&amp;N130)</f>
        <v/>
      </c>
      <c r="P130" s="85" t="str">
        <f aca="false">IF(N130="","",IF(N130&gt;Settings!$B$7,"Over limit",IF(N130=Settings!$B$7,"Class full","OK")))</f>
        <v/>
      </c>
    </row>
    <row r="131" customFormat="false" ht="19.5" hidden="false" customHeight="true" outlineLevel="0" collapsed="false">
      <c r="A131" s="85" t="str">
        <f aca="false">IF(B131="","","S"&amp;TEXT(ROW()-4,"0000"))</f>
        <v/>
      </c>
      <c r="B131" s="86"/>
      <c r="C131" s="52"/>
      <c r="D131" s="91"/>
      <c r="E131" s="52"/>
      <c r="F131" s="52"/>
      <c r="G131" s="86"/>
      <c r="H131" s="86"/>
      <c r="I131" s="86"/>
      <c r="J131" s="91"/>
      <c r="K131" s="52"/>
      <c r="L131" s="86"/>
      <c r="M131" s="89"/>
      <c r="N131" s="89" t="str">
        <f aca="false">IF(OR(E131="",F131="",K131&lt;&gt;"Active"),"",COUNTIFS(E$5:E131,E131,F$5:F131,F131,K$5:K131,"Active"))</f>
        <v/>
      </c>
      <c r="O131" s="89" t="str">
        <f aca="false">IF(N131="","",E131&amp;"|"&amp;F131&amp;"|"&amp;N131)</f>
        <v/>
      </c>
      <c r="P131" s="85" t="str">
        <f aca="false">IF(N131="","",IF(N131&gt;Settings!$B$7,"Over limit",IF(N131=Settings!$B$7,"Class full","OK")))</f>
        <v/>
      </c>
    </row>
    <row r="132" customFormat="false" ht="19.5" hidden="false" customHeight="true" outlineLevel="0" collapsed="false">
      <c r="A132" s="85" t="str">
        <f aca="false">IF(B132="","","S"&amp;TEXT(ROW()-4,"0000"))</f>
        <v/>
      </c>
      <c r="B132" s="86"/>
      <c r="C132" s="52"/>
      <c r="D132" s="91"/>
      <c r="E132" s="52"/>
      <c r="F132" s="52"/>
      <c r="G132" s="86"/>
      <c r="H132" s="86"/>
      <c r="I132" s="86"/>
      <c r="J132" s="91"/>
      <c r="K132" s="52"/>
      <c r="L132" s="86"/>
      <c r="M132" s="89"/>
      <c r="N132" s="89" t="str">
        <f aca="false">IF(OR(E132="",F132="",K132&lt;&gt;"Active"),"",COUNTIFS(E$5:E132,E132,F$5:F132,F132,K$5:K132,"Active"))</f>
        <v/>
      </c>
      <c r="O132" s="89" t="str">
        <f aca="false">IF(N132="","",E132&amp;"|"&amp;F132&amp;"|"&amp;N132)</f>
        <v/>
      </c>
      <c r="P132" s="85" t="str">
        <f aca="false">IF(N132="","",IF(N132&gt;Settings!$B$7,"Over limit",IF(N132=Settings!$B$7,"Class full","OK")))</f>
        <v/>
      </c>
    </row>
    <row r="133" customFormat="false" ht="19.5" hidden="false" customHeight="true" outlineLevel="0" collapsed="false">
      <c r="A133" s="85" t="str">
        <f aca="false">IF(B133="","","S"&amp;TEXT(ROW()-4,"0000"))</f>
        <v/>
      </c>
      <c r="B133" s="86"/>
      <c r="C133" s="52"/>
      <c r="D133" s="91"/>
      <c r="E133" s="52"/>
      <c r="F133" s="52"/>
      <c r="G133" s="86"/>
      <c r="H133" s="86"/>
      <c r="I133" s="86"/>
      <c r="J133" s="91"/>
      <c r="K133" s="52"/>
      <c r="L133" s="86"/>
      <c r="M133" s="89"/>
      <c r="N133" s="89" t="str">
        <f aca="false">IF(OR(E133="",F133="",K133&lt;&gt;"Active"),"",COUNTIFS(E$5:E133,E133,F$5:F133,F133,K$5:K133,"Active"))</f>
        <v/>
      </c>
      <c r="O133" s="89" t="str">
        <f aca="false">IF(N133="","",E133&amp;"|"&amp;F133&amp;"|"&amp;N133)</f>
        <v/>
      </c>
      <c r="P133" s="85" t="str">
        <f aca="false">IF(N133="","",IF(N133&gt;Settings!$B$7,"Over limit",IF(N133=Settings!$B$7,"Class full","OK")))</f>
        <v/>
      </c>
    </row>
    <row r="134" customFormat="false" ht="19.5" hidden="false" customHeight="true" outlineLevel="0" collapsed="false">
      <c r="A134" s="85" t="str">
        <f aca="false">IF(B134="","","S"&amp;TEXT(ROW()-4,"0000"))</f>
        <v/>
      </c>
      <c r="B134" s="86"/>
      <c r="C134" s="52"/>
      <c r="D134" s="91"/>
      <c r="E134" s="52"/>
      <c r="F134" s="52"/>
      <c r="G134" s="86"/>
      <c r="H134" s="86"/>
      <c r="I134" s="86"/>
      <c r="J134" s="91"/>
      <c r="K134" s="52"/>
      <c r="L134" s="86"/>
      <c r="M134" s="89"/>
      <c r="N134" s="89" t="str">
        <f aca="false">IF(OR(E134="",F134="",K134&lt;&gt;"Active"),"",COUNTIFS(E$5:E134,E134,F$5:F134,F134,K$5:K134,"Active"))</f>
        <v/>
      </c>
      <c r="O134" s="89" t="str">
        <f aca="false">IF(N134="","",E134&amp;"|"&amp;F134&amp;"|"&amp;N134)</f>
        <v/>
      </c>
      <c r="P134" s="85" t="str">
        <f aca="false">IF(N134="","",IF(N134&gt;Settings!$B$7,"Over limit",IF(N134=Settings!$B$7,"Class full","OK")))</f>
        <v/>
      </c>
    </row>
    <row r="135" customFormat="false" ht="19.5" hidden="false" customHeight="true" outlineLevel="0" collapsed="false">
      <c r="A135" s="85" t="str">
        <f aca="false">IF(B135="","","S"&amp;TEXT(ROW()-4,"0000"))</f>
        <v/>
      </c>
      <c r="B135" s="86"/>
      <c r="C135" s="52"/>
      <c r="D135" s="91"/>
      <c r="E135" s="52"/>
      <c r="F135" s="52"/>
      <c r="G135" s="86"/>
      <c r="H135" s="86"/>
      <c r="I135" s="86"/>
      <c r="J135" s="91"/>
      <c r="K135" s="52"/>
      <c r="L135" s="86"/>
      <c r="M135" s="89"/>
      <c r="N135" s="89" t="str">
        <f aca="false">IF(OR(E135="",F135="",K135&lt;&gt;"Active"),"",COUNTIFS(E$5:E135,E135,F$5:F135,F135,K$5:K135,"Active"))</f>
        <v/>
      </c>
      <c r="O135" s="89" t="str">
        <f aca="false">IF(N135="","",E135&amp;"|"&amp;F135&amp;"|"&amp;N135)</f>
        <v/>
      </c>
      <c r="P135" s="85" t="str">
        <f aca="false">IF(N135="","",IF(N135&gt;Settings!$B$7,"Over limit",IF(N135=Settings!$B$7,"Class full","OK")))</f>
        <v/>
      </c>
    </row>
    <row r="136" customFormat="false" ht="19.5" hidden="false" customHeight="true" outlineLevel="0" collapsed="false">
      <c r="A136" s="85" t="str">
        <f aca="false">IF(B136="","","S"&amp;TEXT(ROW()-4,"0000"))</f>
        <v/>
      </c>
      <c r="B136" s="86"/>
      <c r="C136" s="52"/>
      <c r="D136" s="91"/>
      <c r="E136" s="52"/>
      <c r="F136" s="52"/>
      <c r="G136" s="86"/>
      <c r="H136" s="86"/>
      <c r="I136" s="86"/>
      <c r="J136" s="91"/>
      <c r="K136" s="52"/>
      <c r="L136" s="86"/>
      <c r="M136" s="89"/>
      <c r="N136" s="89" t="str">
        <f aca="false">IF(OR(E136="",F136="",K136&lt;&gt;"Active"),"",COUNTIFS(E$5:E136,E136,F$5:F136,F136,K$5:K136,"Active"))</f>
        <v/>
      </c>
      <c r="O136" s="89" t="str">
        <f aca="false">IF(N136="","",E136&amp;"|"&amp;F136&amp;"|"&amp;N136)</f>
        <v/>
      </c>
      <c r="P136" s="85" t="str">
        <f aca="false">IF(N136="","",IF(N136&gt;Settings!$B$7,"Over limit",IF(N136=Settings!$B$7,"Class full","OK")))</f>
        <v/>
      </c>
    </row>
    <row r="137" customFormat="false" ht="19.5" hidden="false" customHeight="true" outlineLevel="0" collapsed="false">
      <c r="A137" s="85" t="str">
        <f aca="false">IF(B137="","","S"&amp;TEXT(ROW()-4,"0000"))</f>
        <v/>
      </c>
      <c r="B137" s="86"/>
      <c r="C137" s="52"/>
      <c r="D137" s="91"/>
      <c r="E137" s="52"/>
      <c r="F137" s="52"/>
      <c r="G137" s="86"/>
      <c r="H137" s="86"/>
      <c r="I137" s="86"/>
      <c r="J137" s="91"/>
      <c r="K137" s="52"/>
      <c r="L137" s="86"/>
      <c r="M137" s="89"/>
      <c r="N137" s="89" t="str">
        <f aca="false">IF(OR(E137="",F137="",K137&lt;&gt;"Active"),"",COUNTIFS(E$5:E137,E137,F$5:F137,F137,K$5:K137,"Active"))</f>
        <v/>
      </c>
      <c r="O137" s="89" t="str">
        <f aca="false">IF(N137="","",E137&amp;"|"&amp;F137&amp;"|"&amp;N137)</f>
        <v/>
      </c>
      <c r="P137" s="85" t="str">
        <f aca="false">IF(N137="","",IF(N137&gt;Settings!$B$7,"Over limit",IF(N137=Settings!$B$7,"Class full","OK")))</f>
        <v/>
      </c>
    </row>
    <row r="138" customFormat="false" ht="19.5" hidden="false" customHeight="true" outlineLevel="0" collapsed="false">
      <c r="A138" s="85" t="str">
        <f aca="false">IF(B138="","","S"&amp;TEXT(ROW()-4,"0000"))</f>
        <v/>
      </c>
      <c r="B138" s="86"/>
      <c r="C138" s="52"/>
      <c r="D138" s="91"/>
      <c r="E138" s="52"/>
      <c r="F138" s="52"/>
      <c r="G138" s="86"/>
      <c r="H138" s="86"/>
      <c r="I138" s="86"/>
      <c r="J138" s="91"/>
      <c r="K138" s="52"/>
      <c r="L138" s="86"/>
      <c r="M138" s="89"/>
      <c r="N138" s="89" t="str">
        <f aca="false">IF(OR(E138="",F138="",K138&lt;&gt;"Active"),"",COUNTIFS(E$5:E138,E138,F$5:F138,F138,K$5:K138,"Active"))</f>
        <v/>
      </c>
      <c r="O138" s="89" t="str">
        <f aca="false">IF(N138="","",E138&amp;"|"&amp;F138&amp;"|"&amp;N138)</f>
        <v/>
      </c>
      <c r="P138" s="85" t="str">
        <f aca="false">IF(N138="","",IF(N138&gt;Settings!$B$7,"Over limit",IF(N138=Settings!$B$7,"Class full","OK")))</f>
        <v/>
      </c>
    </row>
    <row r="139" customFormat="false" ht="19.5" hidden="false" customHeight="true" outlineLevel="0" collapsed="false">
      <c r="A139" s="85" t="str">
        <f aca="false">IF(B139="","","S"&amp;TEXT(ROW()-4,"0000"))</f>
        <v/>
      </c>
      <c r="B139" s="86"/>
      <c r="C139" s="52"/>
      <c r="D139" s="91"/>
      <c r="E139" s="52"/>
      <c r="F139" s="52"/>
      <c r="G139" s="86"/>
      <c r="H139" s="86"/>
      <c r="I139" s="86"/>
      <c r="J139" s="91"/>
      <c r="K139" s="52"/>
      <c r="L139" s="86"/>
      <c r="M139" s="89"/>
      <c r="N139" s="89" t="str">
        <f aca="false">IF(OR(E139="",F139="",K139&lt;&gt;"Active"),"",COUNTIFS(E$5:E139,E139,F$5:F139,F139,K$5:K139,"Active"))</f>
        <v/>
      </c>
      <c r="O139" s="89" t="str">
        <f aca="false">IF(N139="","",E139&amp;"|"&amp;F139&amp;"|"&amp;N139)</f>
        <v/>
      </c>
      <c r="P139" s="85" t="str">
        <f aca="false">IF(N139="","",IF(N139&gt;Settings!$B$7,"Over limit",IF(N139=Settings!$B$7,"Class full","OK")))</f>
        <v/>
      </c>
    </row>
    <row r="140" customFormat="false" ht="19.5" hidden="false" customHeight="true" outlineLevel="0" collapsed="false">
      <c r="A140" s="85" t="str">
        <f aca="false">IF(B140="","","S"&amp;TEXT(ROW()-4,"0000"))</f>
        <v/>
      </c>
      <c r="B140" s="86"/>
      <c r="C140" s="52"/>
      <c r="D140" s="91"/>
      <c r="E140" s="52"/>
      <c r="F140" s="52"/>
      <c r="G140" s="86"/>
      <c r="H140" s="86"/>
      <c r="I140" s="86"/>
      <c r="J140" s="91"/>
      <c r="K140" s="52"/>
      <c r="L140" s="86"/>
      <c r="M140" s="89"/>
      <c r="N140" s="89" t="str">
        <f aca="false">IF(OR(E140="",F140="",K140&lt;&gt;"Active"),"",COUNTIFS(E$5:E140,E140,F$5:F140,F140,K$5:K140,"Active"))</f>
        <v/>
      </c>
      <c r="O140" s="89" t="str">
        <f aca="false">IF(N140="","",E140&amp;"|"&amp;F140&amp;"|"&amp;N140)</f>
        <v/>
      </c>
      <c r="P140" s="85" t="str">
        <f aca="false">IF(N140="","",IF(N140&gt;Settings!$B$7,"Over limit",IF(N140=Settings!$B$7,"Class full","OK")))</f>
        <v/>
      </c>
    </row>
    <row r="141" customFormat="false" ht="19.5" hidden="false" customHeight="true" outlineLevel="0" collapsed="false">
      <c r="A141" s="85" t="str">
        <f aca="false">IF(B141="","","S"&amp;TEXT(ROW()-4,"0000"))</f>
        <v/>
      </c>
      <c r="B141" s="86"/>
      <c r="C141" s="52"/>
      <c r="D141" s="91"/>
      <c r="E141" s="52"/>
      <c r="F141" s="52"/>
      <c r="G141" s="86"/>
      <c r="H141" s="86"/>
      <c r="I141" s="86"/>
      <c r="J141" s="91"/>
      <c r="K141" s="52"/>
      <c r="L141" s="86"/>
      <c r="M141" s="89"/>
      <c r="N141" s="89" t="str">
        <f aca="false">IF(OR(E141="",F141="",K141&lt;&gt;"Active"),"",COUNTIFS(E$5:E141,E141,F$5:F141,F141,K$5:K141,"Active"))</f>
        <v/>
      </c>
      <c r="O141" s="89" t="str">
        <f aca="false">IF(N141="","",E141&amp;"|"&amp;F141&amp;"|"&amp;N141)</f>
        <v/>
      </c>
      <c r="P141" s="85" t="str">
        <f aca="false">IF(N141="","",IF(N141&gt;Settings!$B$7,"Over limit",IF(N141=Settings!$B$7,"Class full","OK")))</f>
        <v/>
      </c>
    </row>
    <row r="142" customFormat="false" ht="19.5" hidden="false" customHeight="true" outlineLevel="0" collapsed="false">
      <c r="A142" s="85" t="str">
        <f aca="false">IF(B142="","","S"&amp;TEXT(ROW()-4,"0000"))</f>
        <v/>
      </c>
      <c r="B142" s="86"/>
      <c r="C142" s="52"/>
      <c r="D142" s="91"/>
      <c r="E142" s="52"/>
      <c r="F142" s="52"/>
      <c r="G142" s="86"/>
      <c r="H142" s="86"/>
      <c r="I142" s="86"/>
      <c r="J142" s="91"/>
      <c r="K142" s="52"/>
      <c r="L142" s="86"/>
      <c r="M142" s="89"/>
      <c r="N142" s="89" t="str">
        <f aca="false">IF(OR(E142="",F142="",K142&lt;&gt;"Active"),"",COUNTIFS(E$5:E142,E142,F$5:F142,F142,K$5:K142,"Active"))</f>
        <v/>
      </c>
      <c r="O142" s="89" t="str">
        <f aca="false">IF(N142="","",E142&amp;"|"&amp;F142&amp;"|"&amp;N142)</f>
        <v/>
      </c>
      <c r="P142" s="85" t="str">
        <f aca="false">IF(N142="","",IF(N142&gt;Settings!$B$7,"Over limit",IF(N142=Settings!$B$7,"Class full","OK")))</f>
        <v/>
      </c>
    </row>
    <row r="143" customFormat="false" ht="19.5" hidden="false" customHeight="true" outlineLevel="0" collapsed="false">
      <c r="A143" s="85" t="str">
        <f aca="false">IF(B143="","","S"&amp;TEXT(ROW()-4,"0000"))</f>
        <v/>
      </c>
      <c r="B143" s="86"/>
      <c r="C143" s="52"/>
      <c r="D143" s="91"/>
      <c r="E143" s="52"/>
      <c r="F143" s="52"/>
      <c r="G143" s="86"/>
      <c r="H143" s="86"/>
      <c r="I143" s="86"/>
      <c r="J143" s="91"/>
      <c r="K143" s="52"/>
      <c r="L143" s="86"/>
      <c r="M143" s="89"/>
      <c r="N143" s="89" t="str">
        <f aca="false">IF(OR(E143="",F143="",K143&lt;&gt;"Active"),"",COUNTIFS(E$5:E143,E143,F$5:F143,F143,K$5:K143,"Active"))</f>
        <v/>
      </c>
      <c r="O143" s="89" t="str">
        <f aca="false">IF(N143="","",E143&amp;"|"&amp;F143&amp;"|"&amp;N143)</f>
        <v/>
      </c>
      <c r="P143" s="85" t="str">
        <f aca="false">IF(N143="","",IF(N143&gt;Settings!$B$7,"Over limit",IF(N143=Settings!$B$7,"Class full","OK")))</f>
        <v/>
      </c>
    </row>
    <row r="144" customFormat="false" ht="19.5" hidden="false" customHeight="true" outlineLevel="0" collapsed="false">
      <c r="A144" s="85" t="str">
        <f aca="false">IF(B144="","","S"&amp;TEXT(ROW()-4,"0000"))</f>
        <v/>
      </c>
      <c r="B144" s="86"/>
      <c r="C144" s="52"/>
      <c r="D144" s="91"/>
      <c r="E144" s="52"/>
      <c r="F144" s="52"/>
      <c r="G144" s="86"/>
      <c r="H144" s="86"/>
      <c r="I144" s="86"/>
      <c r="J144" s="91"/>
      <c r="K144" s="52"/>
      <c r="L144" s="86"/>
      <c r="M144" s="89"/>
      <c r="N144" s="89" t="str">
        <f aca="false">IF(OR(E144="",F144="",K144&lt;&gt;"Active"),"",COUNTIFS(E$5:E144,E144,F$5:F144,F144,K$5:K144,"Active"))</f>
        <v/>
      </c>
      <c r="O144" s="89" t="str">
        <f aca="false">IF(N144="","",E144&amp;"|"&amp;F144&amp;"|"&amp;N144)</f>
        <v/>
      </c>
      <c r="P144" s="85" t="str">
        <f aca="false">IF(N144="","",IF(N144&gt;Settings!$B$7,"Over limit",IF(N144=Settings!$B$7,"Class full","OK")))</f>
        <v/>
      </c>
    </row>
    <row r="145" customFormat="false" ht="19.5" hidden="false" customHeight="true" outlineLevel="0" collapsed="false">
      <c r="A145" s="85" t="str">
        <f aca="false">IF(B145="","","S"&amp;TEXT(ROW()-4,"0000"))</f>
        <v/>
      </c>
      <c r="B145" s="86"/>
      <c r="C145" s="52"/>
      <c r="D145" s="91"/>
      <c r="E145" s="52"/>
      <c r="F145" s="52"/>
      <c r="G145" s="86"/>
      <c r="H145" s="86"/>
      <c r="I145" s="86"/>
      <c r="J145" s="91"/>
      <c r="K145" s="52"/>
      <c r="L145" s="86"/>
      <c r="M145" s="89"/>
      <c r="N145" s="89" t="str">
        <f aca="false">IF(OR(E145="",F145="",K145&lt;&gt;"Active"),"",COUNTIFS(E$5:E145,E145,F$5:F145,F145,K$5:K145,"Active"))</f>
        <v/>
      </c>
      <c r="O145" s="89" t="str">
        <f aca="false">IF(N145="","",E145&amp;"|"&amp;F145&amp;"|"&amp;N145)</f>
        <v/>
      </c>
      <c r="P145" s="85" t="str">
        <f aca="false">IF(N145="","",IF(N145&gt;Settings!$B$7,"Over limit",IF(N145=Settings!$B$7,"Class full","OK")))</f>
        <v/>
      </c>
    </row>
    <row r="146" customFormat="false" ht="19.5" hidden="false" customHeight="true" outlineLevel="0" collapsed="false">
      <c r="A146" s="85" t="str">
        <f aca="false">IF(B146="","","S"&amp;TEXT(ROW()-4,"0000"))</f>
        <v/>
      </c>
      <c r="B146" s="86"/>
      <c r="C146" s="52"/>
      <c r="D146" s="91"/>
      <c r="E146" s="52"/>
      <c r="F146" s="52"/>
      <c r="G146" s="86"/>
      <c r="H146" s="86"/>
      <c r="I146" s="86"/>
      <c r="J146" s="91"/>
      <c r="K146" s="52"/>
      <c r="L146" s="86"/>
      <c r="M146" s="89"/>
      <c r="N146" s="89" t="str">
        <f aca="false">IF(OR(E146="",F146="",K146&lt;&gt;"Active"),"",COUNTIFS(E$5:E146,E146,F$5:F146,F146,K$5:K146,"Active"))</f>
        <v/>
      </c>
      <c r="O146" s="89" t="str">
        <f aca="false">IF(N146="","",E146&amp;"|"&amp;F146&amp;"|"&amp;N146)</f>
        <v/>
      </c>
      <c r="P146" s="85" t="str">
        <f aca="false">IF(N146="","",IF(N146&gt;Settings!$B$7,"Over limit",IF(N146=Settings!$B$7,"Class full","OK")))</f>
        <v/>
      </c>
    </row>
    <row r="147" customFormat="false" ht="19.5" hidden="false" customHeight="true" outlineLevel="0" collapsed="false">
      <c r="A147" s="85" t="str">
        <f aca="false">IF(B147="","","S"&amp;TEXT(ROW()-4,"0000"))</f>
        <v/>
      </c>
      <c r="B147" s="86"/>
      <c r="C147" s="52"/>
      <c r="D147" s="91"/>
      <c r="E147" s="52"/>
      <c r="F147" s="52"/>
      <c r="G147" s="86"/>
      <c r="H147" s="86"/>
      <c r="I147" s="86"/>
      <c r="J147" s="91"/>
      <c r="K147" s="52"/>
      <c r="L147" s="86"/>
      <c r="M147" s="89"/>
      <c r="N147" s="89" t="str">
        <f aca="false">IF(OR(E147="",F147="",K147&lt;&gt;"Active"),"",COUNTIFS(E$5:E147,E147,F$5:F147,F147,K$5:K147,"Active"))</f>
        <v/>
      </c>
      <c r="O147" s="89" t="str">
        <f aca="false">IF(N147="","",E147&amp;"|"&amp;F147&amp;"|"&amp;N147)</f>
        <v/>
      </c>
      <c r="P147" s="85" t="str">
        <f aca="false">IF(N147="","",IF(N147&gt;Settings!$B$7,"Over limit",IF(N147=Settings!$B$7,"Class full","OK")))</f>
        <v/>
      </c>
    </row>
    <row r="148" customFormat="false" ht="19.5" hidden="false" customHeight="true" outlineLevel="0" collapsed="false">
      <c r="A148" s="85" t="str">
        <f aca="false">IF(B148="","","S"&amp;TEXT(ROW()-4,"0000"))</f>
        <v/>
      </c>
      <c r="B148" s="86"/>
      <c r="C148" s="52"/>
      <c r="D148" s="91"/>
      <c r="E148" s="52"/>
      <c r="F148" s="52"/>
      <c r="G148" s="86"/>
      <c r="H148" s="86"/>
      <c r="I148" s="86"/>
      <c r="J148" s="91"/>
      <c r="K148" s="52"/>
      <c r="L148" s="86"/>
      <c r="M148" s="89"/>
      <c r="N148" s="89" t="str">
        <f aca="false">IF(OR(E148="",F148="",K148&lt;&gt;"Active"),"",COUNTIFS(E$5:E148,E148,F$5:F148,F148,K$5:K148,"Active"))</f>
        <v/>
      </c>
      <c r="O148" s="89" t="str">
        <f aca="false">IF(N148="","",E148&amp;"|"&amp;F148&amp;"|"&amp;N148)</f>
        <v/>
      </c>
      <c r="P148" s="85" t="str">
        <f aca="false">IF(N148="","",IF(N148&gt;Settings!$B$7,"Over limit",IF(N148=Settings!$B$7,"Class full","OK")))</f>
        <v/>
      </c>
    </row>
    <row r="149" customFormat="false" ht="19.5" hidden="false" customHeight="true" outlineLevel="0" collapsed="false">
      <c r="A149" s="85" t="str">
        <f aca="false">IF(B149="","","S"&amp;TEXT(ROW()-4,"0000"))</f>
        <v/>
      </c>
      <c r="B149" s="86"/>
      <c r="C149" s="52"/>
      <c r="D149" s="91"/>
      <c r="E149" s="52"/>
      <c r="F149" s="52"/>
      <c r="G149" s="86"/>
      <c r="H149" s="86"/>
      <c r="I149" s="86"/>
      <c r="J149" s="91"/>
      <c r="K149" s="52"/>
      <c r="L149" s="86"/>
      <c r="M149" s="89"/>
      <c r="N149" s="89" t="str">
        <f aca="false">IF(OR(E149="",F149="",K149&lt;&gt;"Active"),"",COUNTIFS(E$5:E149,E149,F$5:F149,F149,K$5:K149,"Active"))</f>
        <v/>
      </c>
      <c r="O149" s="89" t="str">
        <f aca="false">IF(N149="","",E149&amp;"|"&amp;F149&amp;"|"&amp;N149)</f>
        <v/>
      </c>
      <c r="P149" s="85" t="str">
        <f aca="false">IF(N149="","",IF(N149&gt;Settings!$B$7,"Over limit",IF(N149=Settings!$B$7,"Class full","OK")))</f>
        <v/>
      </c>
    </row>
    <row r="150" customFormat="false" ht="19.5" hidden="false" customHeight="true" outlineLevel="0" collapsed="false">
      <c r="A150" s="85" t="str">
        <f aca="false">IF(B150="","","S"&amp;TEXT(ROW()-4,"0000"))</f>
        <v/>
      </c>
      <c r="B150" s="86"/>
      <c r="C150" s="52"/>
      <c r="D150" s="91"/>
      <c r="E150" s="52"/>
      <c r="F150" s="52"/>
      <c r="G150" s="86"/>
      <c r="H150" s="86"/>
      <c r="I150" s="86"/>
      <c r="J150" s="91"/>
      <c r="K150" s="52"/>
      <c r="L150" s="86"/>
      <c r="M150" s="89"/>
      <c r="N150" s="89" t="str">
        <f aca="false">IF(OR(E150="",F150="",K150&lt;&gt;"Active"),"",COUNTIFS(E$5:E150,E150,F$5:F150,F150,K$5:K150,"Active"))</f>
        <v/>
      </c>
      <c r="O150" s="89" t="str">
        <f aca="false">IF(N150="","",E150&amp;"|"&amp;F150&amp;"|"&amp;N150)</f>
        <v/>
      </c>
      <c r="P150" s="85" t="str">
        <f aca="false">IF(N150="","",IF(N150&gt;Settings!$B$7,"Over limit",IF(N150=Settings!$B$7,"Class full","OK")))</f>
        <v/>
      </c>
    </row>
    <row r="151" customFormat="false" ht="19.5" hidden="false" customHeight="true" outlineLevel="0" collapsed="false">
      <c r="A151" s="85" t="str">
        <f aca="false">IF(B151="","","S"&amp;TEXT(ROW()-4,"0000"))</f>
        <v/>
      </c>
      <c r="B151" s="86"/>
      <c r="C151" s="52"/>
      <c r="D151" s="91"/>
      <c r="E151" s="52"/>
      <c r="F151" s="52"/>
      <c r="G151" s="86"/>
      <c r="H151" s="86"/>
      <c r="I151" s="86"/>
      <c r="J151" s="91"/>
      <c r="K151" s="52"/>
      <c r="L151" s="86"/>
      <c r="M151" s="89"/>
      <c r="N151" s="89" t="str">
        <f aca="false">IF(OR(E151="",F151="",K151&lt;&gt;"Active"),"",COUNTIFS(E$5:E151,E151,F$5:F151,F151,K$5:K151,"Active"))</f>
        <v/>
      </c>
      <c r="O151" s="89" t="str">
        <f aca="false">IF(N151="","",E151&amp;"|"&amp;F151&amp;"|"&amp;N151)</f>
        <v/>
      </c>
      <c r="P151" s="85" t="str">
        <f aca="false">IF(N151="","",IF(N151&gt;Settings!$B$7,"Over limit",IF(N151=Settings!$B$7,"Class full","OK")))</f>
        <v/>
      </c>
    </row>
    <row r="152" customFormat="false" ht="19.5" hidden="false" customHeight="true" outlineLevel="0" collapsed="false">
      <c r="A152" s="85" t="str">
        <f aca="false">IF(B152="","","S"&amp;TEXT(ROW()-4,"0000"))</f>
        <v/>
      </c>
      <c r="B152" s="86"/>
      <c r="C152" s="52"/>
      <c r="D152" s="91"/>
      <c r="E152" s="52"/>
      <c r="F152" s="52"/>
      <c r="G152" s="86"/>
      <c r="H152" s="86"/>
      <c r="I152" s="86"/>
      <c r="J152" s="91"/>
      <c r="K152" s="52"/>
      <c r="L152" s="86"/>
      <c r="M152" s="89"/>
      <c r="N152" s="89" t="str">
        <f aca="false">IF(OR(E152="",F152="",K152&lt;&gt;"Active"),"",COUNTIFS(E$5:E152,E152,F$5:F152,F152,K$5:K152,"Active"))</f>
        <v/>
      </c>
      <c r="O152" s="89" t="str">
        <f aca="false">IF(N152="","",E152&amp;"|"&amp;F152&amp;"|"&amp;N152)</f>
        <v/>
      </c>
      <c r="P152" s="85" t="str">
        <f aca="false">IF(N152="","",IF(N152&gt;Settings!$B$7,"Over limit",IF(N152=Settings!$B$7,"Class full","OK")))</f>
        <v/>
      </c>
    </row>
    <row r="153" customFormat="false" ht="19.5" hidden="false" customHeight="true" outlineLevel="0" collapsed="false">
      <c r="A153" s="85" t="str">
        <f aca="false">IF(B153="","","S"&amp;TEXT(ROW()-4,"0000"))</f>
        <v/>
      </c>
      <c r="B153" s="86"/>
      <c r="C153" s="52"/>
      <c r="D153" s="91"/>
      <c r="E153" s="52"/>
      <c r="F153" s="52"/>
      <c r="G153" s="86"/>
      <c r="H153" s="86"/>
      <c r="I153" s="86"/>
      <c r="J153" s="91"/>
      <c r="K153" s="52"/>
      <c r="L153" s="86"/>
      <c r="M153" s="89"/>
      <c r="N153" s="89" t="str">
        <f aca="false">IF(OR(E153="",F153="",K153&lt;&gt;"Active"),"",COUNTIFS(E$5:E153,E153,F$5:F153,F153,K$5:K153,"Active"))</f>
        <v/>
      </c>
      <c r="O153" s="89" t="str">
        <f aca="false">IF(N153="","",E153&amp;"|"&amp;F153&amp;"|"&amp;N153)</f>
        <v/>
      </c>
      <c r="P153" s="85" t="str">
        <f aca="false">IF(N153="","",IF(N153&gt;Settings!$B$7,"Over limit",IF(N153=Settings!$B$7,"Class full","OK")))</f>
        <v/>
      </c>
    </row>
    <row r="154" customFormat="false" ht="19.5" hidden="false" customHeight="true" outlineLevel="0" collapsed="false">
      <c r="A154" s="85" t="str">
        <f aca="false">IF(B154="","","S"&amp;TEXT(ROW()-4,"0000"))</f>
        <v/>
      </c>
      <c r="B154" s="86"/>
      <c r="C154" s="52"/>
      <c r="D154" s="91"/>
      <c r="E154" s="52"/>
      <c r="F154" s="52"/>
      <c r="G154" s="86"/>
      <c r="H154" s="86"/>
      <c r="I154" s="86"/>
      <c r="J154" s="91"/>
      <c r="K154" s="52"/>
      <c r="L154" s="86"/>
      <c r="M154" s="89"/>
      <c r="N154" s="89" t="str">
        <f aca="false">IF(OR(E154="",F154="",K154&lt;&gt;"Active"),"",COUNTIFS(E$5:E154,E154,F$5:F154,F154,K$5:K154,"Active"))</f>
        <v/>
      </c>
      <c r="O154" s="89" t="str">
        <f aca="false">IF(N154="","",E154&amp;"|"&amp;F154&amp;"|"&amp;N154)</f>
        <v/>
      </c>
      <c r="P154" s="85" t="str">
        <f aca="false">IF(N154="","",IF(N154&gt;Settings!$B$7,"Over limit",IF(N154=Settings!$B$7,"Class full","OK")))</f>
        <v/>
      </c>
    </row>
    <row r="155" customFormat="false" ht="19.5" hidden="false" customHeight="true" outlineLevel="0" collapsed="false">
      <c r="A155" s="85" t="str">
        <f aca="false">IF(B155="","","S"&amp;TEXT(ROW()-4,"0000"))</f>
        <v/>
      </c>
      <c r="B155" s="86"/>
      <c r="C155" s="52"/>
      <c r="D155" s="91"/>
      <c r="E155" s="52"/>
      <c r="F155" s="52"/>
      <c r="G155" s="86"/>
      <c r="H155" s="86"/>
      <c r="I155" s="86"/>
      <c r="J155" s="91"/>
      <c r="K155" s="52"/>
      <c r="L155" s="86"/>
      <c r="M155" s="89"/>
      <c r="N155" s="89" t="str">
        <f aca="false">IF(OR(E155="",F155="",K155&lt;&gt;"Active"),"",COUNTIFS(E$5:E155,E155,F$5:F155,F155,K$5:K155,"Active"))</f>
        <v/>
      </c>
      <c r="O155" s="89" t="str">
        <f aca="false">IF(N155="","",E155&amp;"|"&amp;F155&amp;"|"&amp;N155)</f>
        <v/>
      </c>
      <c r="P155" s="85" t="str">
        <f aca="false">IF(N155="","",IF(N155&gt;Settings!$B$7,"Over limit",IF(N155=Settings!$B$7,"Class full","OK")))</f>
        <v/>
      </c>
    </row>
    <row r="156" customFormat="false" ht="19.5" hidden="false" customHeight="true" outlineLevel="0" collapsed="false">
      <c r="A156" s="85" t="str">
        <f aca="false">IF(B156="","","S"&amp;TEXT(ROW()-4,"0000"))</f>
        <v/>
      </c>
      <c r="B156" s="86"/>
      <c r="C156" s="52"/>
      <c r="D156" s="91"/>
      <c r="E156" s="52"/>
      <c r="F156" s="52"/>
      <c r="G156" s="86"/>
      <c r="H156" s="86"/>
      <c r="I156" s="86"/>
      <c r="J156" s="91"/>
      <c r="K156" s="52"/>
      <c r="L156" s="86"/>
      <c r="M156" s="89"/>
      <c r="N156" s="89" t="str">
        <f aca="false">IF(OR(E156="",F156="",K156&lt;&gt;"Active"),"",COUNTIFS(E$5:E156,E156,F$5:F156,F156,K$5:K156,"Active"))</f>
        <v/>
      </c>
      <c r="O156" s="89" t="str">
        <f aca="false">IF(N156="","",E156&amp;"|"&amp;F156&amp;"|"&amp;N156)</f>
        <v/>
      </c>
      <c r="P156" s="85" t="str">
        <f aca="false">IF(N156="","",IF(N156&gt;Settings!$B$7,"Over limit",IF(N156=Settings!$B$7,"Class full","OK")))</f>
        <v/>
      </c>
    </row>
    <row r="157" customFormat="false" ht="19.5" hidden="false" customHeight="true" outlineLevel="0" collapsed="false">
      <c r="A157" s="85" t="str">
        <f aca="false">IF(B157="","","S"&amp;TEXT(ROW()-4,"0000"))</f>
        <v/>
      </c>
      <c r="B157" s="86"/>
      <c r="C157" s="52"/>
      <c r="D157" s="91"/>
      <c r="E157" s="52"/>
      <c r="F157" s="52"/>
      <c r="G157" s="86"/>
      <c r="H157" s="86"/>
      <c r="I157" s="86"/>
      <c r="J157" s="91"/>
      <c r="K157" s="52"/>
      <c r="L157" s="86"/>
      <c r="M157" s="89"/>
      <c r="N157" s="89" t="str">
        <f aca="false">IF(OR(E157="",F157="",K157&lt;&gt;"Active"),"",COUNTIFS(E$5:E157,E157,F$5:F157,F157,K$5:K157,"Active"))</f>
        <v/>
      </c>
      <c r="O157" s="89" t="str">
        <f aca="false">IF(N157="","",E157&amp;"|"&amp;F157&amp;"|"&amp;N157)</f>
        <v/>
      </c>
      <c r="P157" s="85" t="str">
        <f aca="false">IF(N157="","",IF(N157&gt;Settings!$B$7,"Over limit",IF(N157=Settings!$B$7,"Class full","OK")))</f>
        <v/>
      </c>
    </row>
    <row r="158" customFormat="false" ht="19.5" hidden="false" customHeight="true" outlineLevel="0" collapsed="false">
      <c r="A158" s="85" t="str">
        <f aca="false">IF(B158="","","S"&amp;TEXT(ROW()-4,"0000"))</f>
        <v/>
      </c>
      <c r="B158" s="86"/>
      <c r="C158" s="52"/>
      <c r="D158" s="91"/>
      <c r="E158" s="52"/>
      <c r="F158" s="52"/>
      <c r="G158" s="86"/>
      <c r="H158" s="86"/>
      <c r="I158" s="86"/>
      <c r="J158" s="91"/>
      <c r="K158" s="52"/>
      <c r="L158" s="86"/>
      <c r="M158" s="89"/>
      <c r="N158" s="89" t="str">
        <f aca="false">IF(OR(E158="",F158="",K158&lt;&gt;"Active"),"",COUNTIFS(E$5:E158,E158,F$5:F158,F158,K$5:K158,"Active"))</f>
        <v/>
      </c>
      <c r="O158" s="89" t="str">
        <f aca="false">IF(N158="","",E158&amp;"|"&amp;F158&amp;"|"&amp;N158)</f>
        <v/>
      </c>
      <c r="P158" s="85" t="str">
        <f aca="false">IF(N158="","",IF(N158&gt;Settings!$B$7,"Over limit",IF(N158=Settings!$B$7,"Class full","OK")))</f>
        <v/>
      </c>
    </row>
    <row r="159" customFormat="false" ht="19.5" hidden="false" customHeight="true" outlineLevel="0" collapsed="false">
      <c r="A159" s="85" t="str">
        <f aca="false">IF(B159="","","S"&amp;TEXT(ROW()-4,"0000"))</f>
        <v/>
      </c>
      <c r="B159" s="86"/>
      <c r="C159" s="52"/>
      <c r="D159" s="91"/>
      <c r="E159" s="52"/>
      <c r="F159" s="52"/>
      <c r="G159" s="86"/>
      <c r="H159" s="86"/>
      <c r="I159" s="86"/>
      <c r="J159" s="91"/>
      <c r="K159" s="52"/>
      <c r="L159" s="86"/>
      <c r="M159" s="89"/>
      <c r="N159" s="89" t="str">
        <f aca="false">IF(OR(E159="",F159="",K159&lt;&gt;"Active"),"",COUNTIFS(E$5:E159,E159,F$5:F159,F159,K$5:K159,"Active"))</f>
        <v/>
      </c>
      <c r="O159" s="89" t="str">
        <f aca="false">IF(N159="","",E159&amp;"|"&amp;F159&amp;"|"&amp;N159)</f>
        <v/>
      </c>
      <c r="P159" s="85" t="str">
        <f aca="false">IF(N159="","",IF(N159&gt;Settings!$B$7,"Over limit",IF(N159=Settings!$B$7,"Class full","OK")))</f>
        <v/>
      </c>
    </row>
    <row r="160" customFormat="false" ht="19.5" hidden="false" customHeight="true" outlineLevel="0" collapsed="false">
      <c r="A160" s="85" t="str">
        <f aca="false">IF(B160="","","S"&amp;TEXT(ROW()-4,"0000"))</f>
        <v/>
      </c>
      <c r="B160" s="86"/>
      <c r="C160" s="52"/>
      <c r="D160" s="91"/>
      <c r="E160" s="52"/>
      <c r="F160" s="52"/>
      <c r="G160" s="86"/>
      <c r="H160" s="86"/>
      <c r="I160" s="86"/>
      <c r="J160" s="91"/>
      <c r="K160" s="52"/>
      <c r="L160" s="86"/>
      <c r="M160" s="89"/>
      <c r="N160" s="89" t="str">
        <f aca="false">IF(OR(E160="",F160="",K160&lt;&gt;"Active"),"",COUNTIFS(E$5:E160,E160,F$5:F160,F160,K$5:K160,"Active"))</f>
        <v/>
      </c>
      <c r="O160" s="89" t="str">
        <f aca="false">IF(N160="","",E160&amp;"|"&amp;F160&amp;"|"&amp;N160)</f>
        <v/>
      </c>
      <c r="P160" s="85" t="str">
        <f aca="false">IF(N160="","",IF(N160&gt;Settings!$B$7,"Over limit",IF(N160=Settings!$B$7,"Class full","OK")))</f>
        <v/>
      </c>
    </row>
    <row r="161" customFormat="false" ht="19.5" hidden="false" customHeight="true" outlineLevel="0" collapsed="false">
      <c r="A161" s="85" t="str">
        <f aca="false">IF(B161="","","S"&amp;TEXT(ROW()-4,"0000"))</f>
        <v/>
      </c>
      <c r="B161" s="86"/>
      <c r="C161" s="52"/>
      <c r="D161" s="91"/>
      <c r="E161" s="52"/>
      <c r="F161" s="52"/>
      <c r="G161" s="86"/>
      <c r="H161" s="86"/>
      <c r="I161" s="86"/>
      <c r="J161" s="91"/>
      <c r="K161" s="52"/>
      <c r="L161" s="86"/>
      <c r="M161" s="89"/>
      <c r="N161" s="89" t="str">
        <f aca="false">IF(OR(E161="",F161="",K161&lt;&gt;"Active"),"",COUNTIFS(E$5:E161,E161,F$5:F161,F161,K$5:K161,"Active"))</f>
        <v/>
      </c>
      <c r="O161" s="89" t="str">
        <f aca="false">IF(N161="","",E161&amp;"|"&amp;F161&amp;"|"&amp;N161)</f>
        <v/>
      </c>
      <c r="P161" s="85" t="str">
        <f aca="false">IF(N161="","",IF(N161&gt;Settings!$B$7,"Over limit",IF(N161=Settings!$B$7,"Class full","OK")))</f>
        <v/>
      </c>
    </row>
    <row r="162" customFormat="false" ht="19.5" hidden="false" customHeight="true" outlineLevel="0" collapsed="false">
      <c r="A162" s="85" t="str">
        <f aca="false">IF(B162="","","S"&amp;TEXT(ROW()-4,"0000"))</f>
        <v/>
      </c>
      <c r="B162" s="86"/>
      <c r="C162" s="52"/>
      <c r="D162" s="91"/>
      <c r="E162" s="52"/>
      <c r="F162" s="52"/>
      <c r="G162" s="86"/>
      <c r="H162" s="86"/>
      <c r="I162" s="86"/>
      <c r="J162" s="91"/>
      <c r="K162" s="52"/>
      <c r="L162" s="86"/>
      <c r="M162" s="89"/>
      <c r="N162" s="89" t="str">
        <f aca="false">IF(OR(E162="",F162="",K162&lt;&gt;"Active"),"",COUNTIFS(E$5:E162,E162,F$5:F162,F162,K$5:K162,"Active"))</f>
        <v/>
      </c>
      <c r="O162" s="89" t="str">
        <f aca="false">IF(N162="","",E162&amp;"|"&amp;F162&amp;"|"&amp;N162)</f>
        <v/>
      </c>
      <c r="P162" s="85" t="str">
        <f aca="false">IF(N162="","",IF(N162&gt;Settings!$B$7,"Over limit",IF(N162=Settings!$B$7,"Class full","OK")))</f>
        <v/>
      </c>
    </row>
    <row r="163" customFormat="false" ht="19.5" hidden="false" customHeight="true" outlineLevel="0" collapsed="false">
      <c r="A163" s="85" t="str">
        <f aca="false">IF(B163="","","S"&amp;TEXT(ROW()-4,"0000"))</f>
        <v/>
      </c>
      <c r="B163" s="86"/>
      <c r="C163" s="52"/>
      <c r="D163" s="91"/>
      <c r="E163" s="52"/>
      <c r="F163" s="52"/>
      <c r="G163" s="86"/>
      <c r="H163" s="86"/>
      <c r="I163" s="86"/>
      <c r="J163" s="91"/>
      <c r="K163" s="52"/>
      <c r="L163" s="86"/>
      <c r="M163" s="89"/>
      <c r="N163" s="89" t="str">
        <f aca="false">IF(OR(E163="",F163="",K163&lt;&gt;"Active"),"",COUNTIFS(E$5:E163,E163,F$5:F163,F163,K$5:K163,"Active"))</f>
        <v/>
      </c>
      <c r="O163" s="89" t="str">
        <f aca="false">IF(N163="","",E163&amp;"|"&amp;F163&amp;"|"&amp;N163)</f>
        <v/>
      </c>
      <c r="P163" s="85" t="str">
        <f aca="false">IF(N163="","",IF(N163&gt;Settings!$B$7,"Over limit",IF(N163=Settings!$B$7,"Class full","OK")))</f>
        <v/>
      </c>
    </row>
    <row r="164" customFormat="false" ht="19.5" hidden="false" customHeight="true" outlineLevel="0" collapsed="false">
      <c r="A164" s="85" t="str">
        <f aca="false">IF(B164="","","S"&amp;TEXT(ROW()-4,"0000"))</f>
        <v/>
      </c>
      <c r="B164" s="86"/>
      <c r="C164" s="52"/>
      <c r="D164" s="91"/>
      <c r="E164" s="52"/>
      <c r="F164" s="52"/>
      <c r="G164" s="86"/>
      <c r="H164" s="86"/>
      <c r="I164" s="86"/>
      <c r="J164" s="91"/>
      <c r="K164" s="52"/>
      <c r="L164" s="86"/>
      <c r="M164" s="89"/>
      <c r="N164" s="89" t="str">
        <f aca="false">IF(OR(E164="",F164="",K164&lt;&gt;"Active"),"",COUNTIFS(E$5:E164,E164,F$5:F164,F164,K$5:K164,"Active"))</f>
        <v/>
      </c>
      <c r="O164" s="89" t="str">
        <f aca="false">IF(N164="","",E164&amp;"|"&amp;F164&amp;"|"&amp;N164)</f>
        <v/>
      </c>
      <c r="P164" s="85" t="str">
        <f aca="false">IF(N164="","",IF(N164&gt;Settings!$B$7,"Over limit",IF(N164=Settings!$B$7,"Class full","OK")))</f>
        <v/>
      </c>
    </row>
    <row r="165" customFormat="false" ht="19.5" hidden="false" customHeight="true" outlineLevel="0" collapsed="false">
      <c r="A165" s="85" t="str">
        <f aca="false">IF(B165="","","S"&amp;TEXT(ROW()-4,"0000"))</f>
        <v/>
      </c>
      <c r="B165" s="86"/>
      <c r="C165" s="52"/>
      <c r="D165" s="91"/>
      <c r="E165" s="52"/>
      <c r="F165" s="52"/>
      <c r="G165" s="86"/>
      <c r="H165" s="86"/>
      <c r="I165" s="86"/>
      <c r="J165" s="91"/>
      <c r="K165" s="52"/>
      <c r="L165" s="86"/>
      <c r="M165" s="89"/>
      <c r="N165" s="89" t="str">
        <f aca="false">IF(OR(E165="",F165="",K165&lt;&gt;"Active"),"",COUNTIFS(E$5:E165,E165,F$5:F165,F165,K$5:K165,"Active"))</f>
        <v/>
      </c>
      <c r="O165" s="89" t="str">
        <f aca="false">IF(N165="","",E165&amp;"|"&amp;F165&amp;"|"&amp;N165)</f>
        <v/>
      </c>
      <c r="P165" s="85" t="str">
        <f aca="false">IF(N165="","",IF(N165&gt;Settings!$B$7,"Over limit",IF(N165=Settings!$B$7,"Class full","OK")))</f>
        <v/>
      </c>
    </row>
    <row r="166" customFormat="false" ht="19.5" hidden="false" customHeight="true" outlineLevel="0" collapsed="false">
      <c r="A166" s="85" t="str">
        <f aca="false">IF(B166="","","S"&amp;TEXT(ROW()-4,"0000"))</f>
        <v/>
      </c>
      <c r="B166" s="86"/>
      <c r="C166" s="52"/>
      <c r="D166" s="91"/>
      <c r="E166" s="52"/>
      <c r="F166" s="52"/>
      <c r="G166" s="86"/>
      <c r="H166" s="86"/>
      <c r="I166" s="86"/>
      <c r="J166" s="91"/>
      <c r="K166" s="52"/>
      <c r="L166" s="86"/>
      <c r="M166" s="89"/>
      <c r="N166" s="89" t="str">
        <f aca="false">IF(OR(E166="",F166="",K166&lt;&gt;"Active"),"",COUNTIFS(E$5:E166,E166,F$5:F166,F166,K$5:K166,"Active"))</f>
        <v/>
      </c>
      <c r="O166" s="89" t="str">
        <f aca="false">IF(N166="","",E166&amp;"|"&amp;F166&amp;"|"&amp;N166)</f>
        <v/>
      </c>
      <c r="P166" s="85" t="str">
        <f aca="false">IF(N166="","",IF(N166&gt;Settings!$B$7,"Over limit",IF(N166=Settings!$B$7,"Class full","OK")))</f>
        <v/>
      </c>
    </row>
    <row r="167" customFormat="false" ht="19.5" hidden="false" customHeight="true" outlineLevel="0" collapsed="false">
      <c r="A167" s="85" t="str">
        <f aca="false">IF(B167="","","S"&amp;TEXT(ROW()-4,"0000"))</f>
        <v/>
      </c>
      <c r="B167" s="86"/>
      <c r="C167" s="52"/>
      <c r="D167" s="91"/>
      <c r="E167" s="52"/>
      <c r="F167" s="52"/>
      <c r="G167" s="86"/>
      <c r="H167" s="86"/>
      <c r="I167" s="86"/>
      <c r="J167" s="91"/>
      <c r="K167" s="52"/>
      <c r="L167" s="86"/>
      <c r="M167" s="89"/>
      <c r="N167" s="89" t="str">
        <f aca="false">IF(OR(E167="",F167="",K167&lt;&gt;"Active"),"",COUNTIFS(E$5:E167,E167,F$5:F167,F167,K$5:K167,"Active"))</f>
        <v/>
      </c>
      <c r="O167" s="89" t="str">
        <f aca="false">IF(N167="","",E167&amp;"|"&amp;F167&amp;"|"&amp;N167)</f>
        <v/>
      </c>
      <c r="P167" s="85" t="str">
        <f aca="false">IF(N167="","",IF(N167&gt;Settings!$B$7,"Over limit",IF(N167=Settings!$B$7,"Class full","OK")))</f>
        <v/>
      </c>
    </row>
    <row r="168" customFormat="false" ht="19.5" hidden="false" customHeight="true" outlineLevel="0" collapsed="false">
      <c r="A168" s="85" t="str">
        <f aca="false">IF(B168="","","S"&amp;TEXT(ROW()-4,"0000"))</f>
        <v/>
      </c>
      <c r="B168" s="86"/>
      <c r="C168" s="52"/>
      <c r="D168" s="91"/>
      <c r="E168" s="52"/>
      <c r="F168" s="52"/>
      <c r="G168" s="86"/>
      <c r="H168" s="86"/>
      <c r="I168" s="86"/>
      <c r="J168" s="91"/>
      <c r="K168" s="52"/>
      <c r="L168" s="86"/>
      <c r="M168" s="89"/>
      <c r="N168" s="89" t="str">
        <f aca="false">IF(OR(E168="",F168="",K168&lt;&gt;"Active"),"",COUNTIFS(E$5:E168,E168,F$5:F168,F168,K$5:K168,"Active"))</f>
        <v/>
      </c>
      <c r="O168" s="89" t="str">
        <f aca="false">IF(N168="","",E168&amp;"|"&amp;F168&amp;"|"&amp;N168)</f>
        <v/>
      </c>
      <c r="P168" s="85" t="str">
        <f aca="false">IF(N168="","",IF(N168&gt;Settings!$B$7,"Over limit",IF(N168=Settings!$B$7,"Class full","OK")))</f>
        <v/>
      </c>
    </row>
    <row r="169" customFormat="false" ht="19.5" hidden="false" customHeight="true" outlineLevel="0" collapsed="false">
      <c r="A169" s="85" t="str">
        <f aca="false">IF(B169="","","S"&amp;TEXT(ROW()-4,"0000"))</f>
        <v/>
      </c>
      <c r="B169" s="86"/>
      <c r="C169" s="52"/>
      <c r="D169" s="91"/>
      <c r="E169" s="52"/>
      <c r="F169" s="52"/>
      <c r="G169" s="86"/>
      <c r="H169" s="86"/>
      <c r="I169" s="86"/>
      <c r="J169" s="91"/>
      <c r="K169" s="52"/>
      <c r="L169" s="86"/>
      <c r="M169" s="89"/>
      <c r="N169" s="89" t="str">
        <f aca="false">IF(OR(E169="",F169="",K169&lt;&gt;"Active"),"",COUNTIFS(E$5:E169,E169,F$5:F169,F169,K$5:K169,"Active"))</f>
        <v/>
      </c>
      <c r="O169" s="89" t="str">
        <f aca="false">IF(N169="","",E169&amp;"|"&amp;F169&amp;"|"&amp;N169)</f>
        <v/>
      </c>
      <c r="P169" s="85" t="str">
        <f aca="false">IF(N169="","",IF(N169&gt;Settings!$B$7,"Over limit",IF(N169=Settings!$B$7,"Class full","OK")))</f>
        <v/>
      </c>
    </row>
    <row r="170" customFormat="false" ht="19.5" hidden="false" customHeight="true" outlineLevel="0" collapsed="false">
      <c r="A170" s="85" t="str">
        <f aca="false">IF(B170="","","S"&amp;TEXT(ROW()-4,"0000"))</f>
        <v/>
      </c>
      <c r="B170" s="86"/>
      <c r="C170" s="52"/>
      <c r="D170" s="91"/>
      <c r="E170" s="52"/>
      <c r="F170" s="52"/>
      <c r="G170" s="86"/>
      <c r="H170" s="86"/>
      <c r="I170" s="86"/>
      <c r="J170" s="91"/>
      <c r="K170" s="52"/>
      <c r="L170" s="86"/>
      <c r="M170" s="89"/>
      <c r="N170" s="89" t="str">
        <f aca="false">IF(OR(E170="",F170="",K170&lt;&gt;"Active"),"",COUNTIFS(E$5:E170,E170,F$5:F170,F170,K$5:K170,"Active"))</f>
        <v/>
      </c>
      <c r="O170" s="89" t="str">
        <f aca="false">IF(N170="","",E170&amp;"|"&amp;F170&amp;"|"&amp;N170)</f>
        <v/>
      </c>
      <c r="P170" s="85" t="str">
        <f aca="false">IF(N170="","",IF(N170&gt;Settings!$B$7,"Over limit",IF(N170=Settings!$B$7,"Class full","OK")))</f>
        <v/>
      </c>
    </row>
    <row r="171" customFormat="false" ht="19.5" hidden="false" customHeight="true" outlineLevel="0" collapsed="false">
      <c r="A171" s="85" t="str">
        <f aca="false">IF(B171="","","S"&amp;TEXT(ROW()-4,"0000"))</f>
        <v/>
      </c>
      <c r="B171" s="86"/>
      <c r="C171" s="52"/>
      <c r="D171" s="91"/>
      <c r="E171" s="52"/>
      <c r="F171" s="52"/>
      <c r="G171" s="86"/>
      <c r="H171" s="86"/>
      <c r="I171" s="86"/>
      <c r="J171" s="91"/>
      <c r="K171" s="52"/>
      <c r="L171" s="86"/>
      <c r="M171" s="89"/>
      <c r="N171" s="89" t="str">
        <f aca="false">IF(OR(E171="",F171="",K171&lt;&gt;"Active"),"",COUNTIFS(E$5:E171,E171,F$5:F171,F171,K$5:K171,"Active"))</f>
        <v/>
      </c>
      <c r="O171" s="89" t="str">
        <f aca="false">IF(N171="","",E171&amp;"|"&amp;F171&amp;"|"&amp;N171)</f>
        <v/>
      </c>
      <c r="P171" s="85" t="str">
        <f aca="false">IF(N171="","",IF(N171&gt;Settings!$B$7,"Over limit",IF(N171=Settings!$B$7,"Class full","OK")))</f>
        <v/>
      </c>
    </row>
    <row r="172" customFormat="false" ht="19.5" hidden="false" customHeight="true" outlineLevel="0" collapsed="false">
      <c r="A172" s="85" t="str">
        <f aca="false">IF(B172="","","S"&amp;TEXT(ROW()-4,"0000"))</f>
        <v/>
      </c>
      <c r="B172" s="86"/>
      <c r="C172" s="52"/>
      <c r="D172" s="91"/>
      <c r="E172" s="52"/>
      <c r="F172" s="52"/>
      <c r="G172" s="86"/>
      <c r="H172" s="86"/>
      <c r="I172" s="86"/>
      <c r="J172" s="91"/>
      <c r="K172" s="52"/>
      <c r="L172" s="86"/>
      <c r="M172" s="89"/>
      <c r="N172" s="89" t="str">
        <f aca="false">IF(OR(E172="",F172="",K172&lt;&gt;"Active"),"",COUNTIFS(E$5:E172,E172,F$5:F172,F172,K$5:K172,"Active"))</f>
        <v/>
      </c>
      <c r="O172" s="89" t="str">
        <f aca="false">IF(N172="","",E172&amp;"|"&amp;F172&amp;"|"&amp;N172)</f>
        <v/>
      </c>
      <c r="P172" s="85" t="str">
        <f aca="false">IF(N172="","",IF(N172&gt;Settings!$B$7,"Over limit",IF(N172=Settings!$B$7,"Class full","OK")))</f>
        <v/>
      </c>
    </row>
    <row r="173" customFormat="false" ht="19.5" hidden="false" customHeight="true" outlineLevel="0" collapsed="false">
      <c r="A173" s="85" t="str">
        <f aca="false">IF(B173="","","S"&amp;TEXT(ROW()-4,"0000"))</f>
        <v/>
      </c>
      <c r="B173" s="86"/>
      <c r="C173" s="52"/>
      <c r="D173" s="91"/>
      <c r="E173" s="52"/>
      <c r="F173" s="52"/>
      <c r="G173" s="86"/>
      <c r="H173" s="86"/>
      <c r="I173" s="86"/>
      <c r="J173" s="91"/>
      <c r="K173" s="52"/>
      <c r="L173" s="86"/>
      <c r="M173" s="89"/>
      <c r="N173" s="89" t="str">
        <f aca="false">IF(OR(E173="",F173="",K173&lt;&gt;"Active"),"",COUNTIFS(E$5:E173,E173,F$5:F173,F173,K$5:K173,"Active"))</f>
        <v/>
      </c>
      <c r="O173" s="89" t="str">
        <f aca="false">IF(N173="","",E173&amp;"|"&amp;F173&amp;"|"&amp;N173)</f>
        <v/>
      </c>
      <c r="P173" s="85" t="str">
        <f aca="false">IF(N173="","",IF(N173&gt;Settings!$B$7,"Over limit",IF(N173=Settings!$B$7,"Class full","OK")))</f>
        <v/>
      </c>
    </row>
    <row r="174" customFormat="false" ht="19.5" hidden="false" customHeight="true" outlineLevel="0" collapsed="false">
      <c r="A174" s="85" t="str">
        <f aca="false">IF(B174="","","S"&amp;TEXT(ROW()-4,"0000"))</f>
        <v/>
      </c>
      <c r="B174" s="86"/>
      <c r="C174" s="52"/>
      <c r="D174" s="91"/>
      <c r="E174" s="52"/>
      <c r="F174" s="52"/>
      <c r="G174" s="86"/>
      <c r="H174" s="86"/>
      <c r="I174" s="86"/>
      <c r="J174" s="91"/>
      <c r="K174" s="52"/>
      <c r="L174" s="86"/>
      <c r="M174" s="89"/>
      <c r="N174" s="89" t="str">
        <f aca="false">IF(OR(E174="",F174="",K174&lt;&gt;"Active"),"",COUNTIFS(E$5:E174,E174,F$5:F174,F174,K$5:K174,"Active"))</f>
        <v/>
      </c>
      <c r="O174" s="89" t="str">
        <f aca="false">IF(N174="","",E174&amp;"|"&amp;F174&amp;"|"&amp;N174)</f>
        <v/>
      </c>
      <c r="P174" s="85" t="str">
        <f aca="false">IF(N174="","",IF(N174&gt;Settings!$B$7,"Over limit",IF(N174=Settings!$B$7,"Class full","OK")))</f>
        <v/>
      </c>
    </row>
    <row r="175" customFormat="false" ht="19.5" hidden="false" customHeight="true" outlineLevel="0" collapsed="false">
      <c r="A175" s="85" t="str">
        <f aca="false">IF(B175="","","S"&amp;TEXT(ROW()-4,"0000"))</f>
        <v/>
      </c>
      <c r="B175" s="86"/>
      <c r="C175" s="52"/>
      <c r="D175" s="91"/>
      <c r="E175" s="52"/>
      <c r="F175" s="52"/>
      <c r="G175" s="86"/>
      <c r="H175" s="86"/>
      <c r="I175" s="86"/>
      <c r="J175" s="91"/>
      <c r="K175" s="52"/>
      <c r="L175" s="86"/>
      <c r="M175" s="89"/>
      <c r="N175" s="89" t="str">
        <f aca="false">IF(OR(E175="",F175="",K175&lt;&gt;"Active"),"",COUNTIFS(E$5:E175,E175,F$5:F175,F175,K$5:K175,"Active"))</f>
        <v/>
      </c>
      <c r="O175" s="89" t="str">
        <f aca="false">IF(N175="","",E175&amp;"|"&amp;F175&amp;"|"&amp;N175)</f>
        <v/>
      </c>
      <c r="P175" s="85" t="str">
        <f aca="false">IF(N175="","",IF(N175&gt;Settings!$B$7,"Over limit",IF(N175=Settings!$B$7,"Class full","OK")))</f>
        <v/>
      </c>
    </row>
    <row r="176" customFormat="false" ht="19.5" hidden="false" customHeight="true" outlineLevel="0" collapsed="false">
      <c r="A176" s="85" t="str">
        <f aca="false">IF(B176="","","S"&amp;TEXT(ROW()-4,"0000"))</f>
        <v/>
      </c>
      <c r="B176" s="86"/>
      <c r="C176" s="52"/>
      <c r="D176" s="91"/>
      <c r="E176" s="52"/>
      <c r="F176" s="52"/>
      <c r="G176" s="86"/>
      <c r="H176" s="86"/>
      <c r="I176" s="86"/>
      <c r="J176" s="91"/>
      <c r="K176" s="52"/>
      <c r="L176" s="86"/>
      <c r="M176" s="89"/>
      <c r="N176" s="89" t="str">
        <f aca="false">IF(OR(E176="",F176="",K176&lt;&gt;"Active"),"",COUNTIFS(E$5:E176,E176,F$5:F176,F176,K$5:K176,"Active"))</f>
        <v/>
      </c>
      <c r="O176" s="89" t="str">
        <f aca="false">IF(N176="","",E176&amp;"|"&amp;F176&amp;"|"&amp;N176)</f>
        <v/>
      </c>
      <c r="P176" s="85" t="str">
        <f aca="false">IF(N176="","",IF(N176&gt;Settings!$B$7,"Over limit",IF(N176=Settings!$B$7,"Class full","OK")))</f>
        <v/>
      </c>
    </row>
    <row r="177" customFormat="false" ht="19.5" hidden="false" customHeight="true" outlineLevel="0" collapsed="false">
      <c r="A177" s="85" t="str">
        <f aca="false">IF(B177="","","S"&amp;TEXT(ROW()-4,"0000"))</f>
        <v/>
      </c>
      <c r="B177" s="86"/>
      <c r="C177" s="52"/>
      <c r="D177" s="91"/>
      <c r="E177" s="52"/>
      <c r="F177" s="52"/>
      <c r="G177" s="86"/>
      <c r="H177" s="86"/>
      <c r="I177" s="86"/>
      <c r="J177" s="91"/>
      <c r="K177" s="52"/>
      <c r="L177" s="86"/>
      <c r="M177" s="89"/>
      <c r="N177" s="89" t="str">
        <f aca="false">IF(OR(E177="",F177="",K177&lt;&gt;"Active"),"",COUNTIFS(E$5:E177,E177,F$5:F177,F177,K$5:K177,"Active"))</f>
        <v/>
      </c>
      <c r="O177" s="89" t="str">
        <f aca="false">IF(N177="","",E177&amp;"|"&amp;F177&amp;"|"&amp;N177)</f>
        <v/>
      </c>
      <c r="P177" s="85" t="str">
        <f aca="false">IF(N177="","",IF(N177&gt;Settings!$B$7,"Over limit",IF(N177=Settings!$B$7,"Class full","OK")))</f>
        <v/>
      </c>
    </row>
    <row r="178" customFormat="false" ht="19.5" hidden="false" customHeight="true" outlineLevel="0" collapsed="false">
      <c r="A178" s="85" t="str">
        <f aca="false">IF(B178="","","S"&amp;TEXT(ROW()-4,"0000"))</f>
        <v/>
      </c>
      <c r="B178" s="86"/>
      <c r="C178" s="52"/>
      <c r="D178" s="91"/>
      <c r="E178" s="52"/>
      <c r="F178" s="52"/>
      <c r="G178" s="86"/>
      <c r="H178" s="86"/>
      <c r="I178" s="86"/>
      <c r="J178" s="91"/>
      <c r="K178" s="52"/>
      <c r="L178" s="86"/>
      <c r="M178" s="89"/>
      <c r="N178" s="89" t="str">
        <f aca="false">IF(OR(E178="",F178="",K178&lt;&gt;"Active"),"",COUNTIFS(E$5:E178,E178,F$5:F178,F178,K$5:K178,"Active"))</f>
        <v/>
      </c>
      <c r="O178" s="89" t="str">
        <f aca="false">IF(N178="","",E178&amp;"|"&amp;F178&amp;"|"&amp;N178)</f>
        <v/>
      </c>
      <c r="P178" s="85" t="str">
        <f aca="false">IF(N178="","",IF(N178&gt;Settings!$B$7,"Over limit",IF(N178=Settings!$B$7,"Class full","OK")))</f>
        <v/>
      </c>
    </row>
    <row r="179" customFormat="false" ht="19.5" hidden="false" customHeight="true" outlineLevel="0" collapsed="false">
      <c r="A179" s="85" t="str">
        <f aca="false">IF(B179="","","S"&amp;TEXT(ROW()-4,"0000"))</f>
        <v/>
      </c>
      <c r="B179" s="86"/>
      <c r="C179" s="52"/>
      <c r="D179" s="91"/>
      <c r="E179" s="52"/>
      <c r="F179" s="52"/>
      <c r="G179" s="86"/>
      <c r="H179" s="86"/>
      <c r="I179" s="86"/>
      <c r="J179" s="91"/>
      <c r="K179" s="52"/>
      <c r="L179" s="86"/>
      <c r="M179" s="89"/>
      <c r="N179" s="89" t="str">
        <f aca="false">IF(OR(E179="",F179="",K179&lt;&gt;"Active"),"",COUNTIFS(E$5:E179,E179,F$5:F179,F179,K$5:K179,"Active"))</f>
        <v/>
      </c>
      <c r="O179" s="89" t="str">
        <f aca="false">IF(N179="","",E179&amp;"|"&amp;F179&amp;"|"&amp;N179)</f>
        <v/>
      </c>
      <c r="P179" s="85" t="str">
        <f aca="false">IF(N179="","",IF(N179&gt;Settings!$B$7,"Over limit",IF(N179=Settings!$B$7,"Class full","OK")))</f>
        <v/>
      </c>
    </row>
    <row r="180" customFormat="false" ht="19.5" hidden="false" customHeight="true" outlineLevel="0" collapsed="false">
      <c r="A180" s="85" t="str">
        <f aca="false">IF(B180="","","S"&amp;TEXT(ROW()-4,"0000"))</f>
        <v/>
      </c>
      <c r="B180" s="86"/>
      <c r="C180" s="52"/>
      <c r="D180" s="91"/>
      <c r="E180" s="52"/>
      <c r="F180" s="52"/>
      <c r="G180" s="86"/>
      <c r="H180" s="86"/>
      <c r="I180" s="86"/>
      <c r="J180" s="91"/>
      <c r="K180" s="52"/>
      <c r="L180" s="86"/>
      <c r="M180" s="89"/>
      <c r="N180" s="89" t="str">
        <f aca="false">IF(OR(E180="",F180="",K180&lt;&gt;"Active"),"",COUNTIFS(E$5:E180,E180,F$5:F180,F180,K$5:K180,"Active"))</f>
        <v/>
      </c>
      <c r="O180" s="89" t="str">
        <f aca="false">IF(N180="","",E180&amp;"|"&amp;F180&amp;"|"&amp;N180)</f>
        <v/>
      </c>
      <c r="P180" s="85" t="str">
        <f aca="false">IF(N180="","",IF(N180&gt;Settings!$B$7,"Over limit",IF(N180=Settings!$B$7,"Class full","OK")))</f>
        <v/>
      </c>
    </row>
    <row r="181" customFormat="false" ht="19.5" hidden="false" customHeight="true" outlineLevel="0" collapsed="false">
      <c r="A181" s="85" t="str">
        <f aca="false">IF(B181="","","S"&amp;TEXT(ROW()-4,"0000"))</f>
        <v/>
      </c>
      <c r="B181" s="86"/>
      <c r="C181" s="52"/>
      <c r="D181" s="91"/>
      <c r="E181" s="52"/>
      <c r="F181" s="52"/>
      <c r="G181" s="86"/>
      <c r="H181" s="86"/>
      <c r="I181" s="86"/>
      <c r="J181" s="91"/>
      <c r="K181" s="52"/>
      <c r="L181" s="86"/>
      <c r="M181" s="89"/>
      <c r="N181" s="89" t="str">
        <f aca="false">IF(OR(E181="",F181="",K181&lt;&gt;"Active"),"",COUNTIFS(E$5:E181,E181,F$5:F181,F181,K$5:K181,"Active"))</f>
        <v/>
      </c>
      <c r="O181" s="89" t="str">
        <f aca="false">IF(N181="","",E181&amp;"|"&amp;F181&amp;"|"&amp;N181)</f>
        <v/>
      </c>
      <c r="P181" s="85" t="str">
        <f aca="false">IF(N181="","",IF(N181&gt;Settings!$B$7,"Over limit",IF(N181=Settings!$B$7,"Class full","OK")))</f>
        <v/>
      </c>
    </row>
    <row r="182" customFormat="false" ht="19.5" hidden="false" customHeight="true" outlineLevel="0" collapsed="false">
      <c r="A182" s="85" t="str">
        <f aca="false">IF(B182="","","S"&amp;TEXT(ROW()-4,"0000"))</f>
        <v/>
      </c>
      <c r="B182" s="86"/>
      <c r="C182" s="52"/>
      <c r="D182" s="91"/>
      <c r="E182" s="52"/>
      <c r="F182" s="52"/>
      <c r="G182" s="86"/>
      <c r="H182" s="86"/>
      <c r="I182" s="86"/>
      <c r="J182" s="91"/>
      <c r="K182" s="52"/>
      <c r="L182" s="86"/>
      <c r="M182" s="89"/>
      <c r="N182" s="89" t="str">
        <f aca="false">IF(OR(E182="",F182="",K182&lt;&gt;"Active"),"",COUNTIFS(E$5:E182,E182,F$5:F182,F182,K$5:K182,"Active"))</f>
        <v/>
      </c>
      <c r="O182" s="89" t="str">
        <f aca="false">IF(N182="","",E182&amp;"|"&amp;F182&amp;"|"&amp;N182)</f>
        <v/>
      </c>
      <c r="P182" s="85" t="str">
        <f aca="false">IF(N182="","",IF(N182&gt;Settings!$B$7,"Over limit",IF(N182=Settings!$B$7,"Class full","OK")))</f>
        <v/>
      </c>
    </row>
    <row r="183" customFormat="false" ht="19.5" hidden="false" customHeight="true" outlineLevel="0" collapsed="false">
      <c r="A183" s="85" t="str">
        <f aca="false">IF(B183="","","S"&amp;TEXT(ROW()-4,"0000"))</f>
        <v/>
      </c>
      <c r="B183" s="86"/>
      <c r="C183" s="52"/>
      <c r="D183" s="91"/>
      <c r="E183" s="52"/>
      <c r="F183" s="52"/>
      <c r="G183" s="86"/>
      <c r="H183" s="86"/>
      <c r="I183" s="86"/>
      <c r="J183" s="91"/>
      <c r="K183" s="52"/>
      <c r="L183" s="86"/>
      <c r="M183" s="89"/>
      <c r="N183" s="89" t="str">
        <f aca="false">IF(OR(E183="",F183="",K183&lt;&gt;"Active"),"",COUNTIFS(E$5:E183,E183,F$5:F183,F183,K$5:K183,"Active"))</f>
        <v/>
      </c>
      <c r="O183" s="89" t="str">
        <f aca="false">IF(N183="","",E183&amp;"|"&amp;F183&amp;"|"&amp;N183)</f>
        <v/>
      </c>
      <c r="P183" s="85" t="str">
        <f aca="false">IF(N183="","",IF(N183&gt;Settings!$B$7,"Over limit",IF(N183=Settings!$B$7,"Class full","OK")))</f>
        <v/>
      </c>
    </row>
    <row r="184" customFormat="false" ht="19.5" hidden="false" customHeight="true" outlineLevel="0" collapsed="false">
      <c r="A184" s="85" t="str">
        <f aca="false">IF(B184="","","S"&amp;TEXT(ROW()-4,"0000"))</f>
        <v/>
      </c>
      <c r="B184" s="86"/>
      <c r="C184" s="52"/>
      <c r="D184" s="91"/>
      <c r="E184" s="52"/>
      <c r="F184" s="52"/>
      <c r="G184" s="86"/>
      <c r="H184" s="86"/>
      <c r="I184" s="86"/>
      <c r="J184" s="91"/>
      <c r="K184" s="52"/>
      <c r="L184" s="86"/>
      <c r="M184" s="89"/>
      <c r="N184" s="89" t="str">
        <f aca="false">IF(OR(E184="",F184="",K184&lt;&gt;"Active"),"",COUNTIFS(E$5:E184,E184,F$5:F184,F184,K$5:K184,"Active"))</f>
        <v/>
      </c>
      <c r="O184" s="89" t="str">
        <f aca="false">IF(N184="","",E184&amp;"|"&amp;F184&amp;"|"&amp;N184)</f>
        <v/>
      </c>
      <c r="P184" s="85" t="str">
        <f aca="false">IF(N184="","",IF(N184&gt;Settings!$B$7,"Over limit",IF(N184=Settings!$B$7,"Class full","OK")))</f>
        <v/>
      </c>
    </row>
    <row r="185" customFormat="false" ht="19.5" hidden="false" customHeight="true" outlineLevel="0" collapsed="false">
      <c r="A185" s="85" t="str">
        <f aca="false">IF(B185="","","S"&amp;TEXT(ROW()-4,"0000"))</f>
        <v/>
      </c>
      <c r="B185" s="86"/>
      <c r="C185" s="52"/>
      <c r="D185" s="91"/>
      <c r="E185" s="52"/>
      <c r="F185" s="52"/>
      <c r="G185" s="86"/>
      <c r="H185" s="86"/>
      <c r="I185" s="86"/>
      <c r="J185" s="91"/>
      <c r="K185" s="52"/>
      <c r="L185" s="86"/>
      <c r="M185" s="89"/>
      <c r="N185" s="89" t="str">
        <f aca="false">IF(OR(E185="",F185="",K185&lt;&gt;"Active"),"",COUNTIFS(E$5:E185,E185,F$5:F185,F185,K$5:K185,"Active"))</f>
        <v/>
      </c>
      <c r="O185" s="89" t="str">
        <f aca="false">IF(N185="","",E185&amp;"|"&amp;F185&amp;"|"&amp;N185)</f>
        <v/>
      </c>
      <c r="P185" s="85" t="str">
        <f aca="false">IF(N185="","",IF(N185&gt;Settings!$B$7,"Over limit",IF(N185=Settings!$B$7,"Class full","OK")))</f>
        <v/>
      </c>
    </row>
    <row r="186" customFormat="false" ht="19.5" hidden="false" customHeight="true" outlineLevel="0" collapsed="false">
      <c r="A186" s="85" t="str">
        <f aca="false">IF(B186="","","S"&amp;TEXT(ROW()-4,"0000"))</f>
        <v/>
      </c>
      <c r="B186" s="86"/>
      <c r="C186" s="52"/>
      <c r="D186" s="91"/>
      <c r="E186" s="52"/>
      <c r="F186" s="52"/>
      <c r="G186" s="86"/>
      <c r="H186" s="86"/>
      <c r="I186" s="86"/>
      <c r="J186" s="91"/>
      <c r="K186" s="52"/>
      <c r="L186" s="86"/>
      <c r="M186" s="89"/>
      <c r="N186" s="89" t="str">
        <f aca="false">IF(OR(E186="",F186="",K186&lt;&gt;"Active"),"",COUNTIFS(E$5:E186,E186,F$5:F186,F186,K$5:K186,"Active"))</f>
        <v/>
      </c>
      <c r="O186" s="89" t="str">
        <f aca="false">IF(N186="","",E186&amp;"|"&amp;F186&amp;"|"&amp;N186)</f>
        <v/>
      </c>
      <c r="P186" s="85" t="str">
        <f aca="false">IF(N186="","",IF(N186&gt;Settings!$B$7,"Over limit",IF(N186=Settings!$B$7,"Class full","OK")))</f>
        <v/>
      </c>
    </row>
    <row r="187" customFormat="false" ht="19.5" hidden="false" customHeight="true" outlineLevel="0" collapsed="false">
      <c r="A187" s="85" t="str">
        <f aca="false">IF(B187="","","S"&amp;TEXT(ROW()-4,"0000"))</f>
        <v/>
      </c>
      <c r="B187" s="86"/>
      <c r="C187" s="52"/>
      <c r="D187" s="91"/>
      <c r="E187" s="52"/>
      <c r="F187" s="52"/>
      <c r="G187" s="86"/>
      <c r="H187" s="86"/>
      <c r="I187" s="86"/>
      <c r="J187" s="91"/>
      <c r="K187" s="52"/>
      <c r="L187" s="86"/>
      <c r="M187" s="89"/>
      <c r="N187" s="89" t="str">
        <f aca="false">IF(OR(E187="",F187="",K187&lt;&gt;"Active"),"",COUNTIFS(E$5:E187,E187,F$5:F187,F187,K$5:K187,"Active"))</f>
        <v/>
      </c>
      <c r="O187" s="89" t="str">
        <f aca="false">IF(N187="","",E187&amp;"|"&amp;F187&amp;"|"&amp;N187)</f>
        <v/>
      </c>
      <c r="P187" s="85" t="str">
        <f aca="false">IF(N187="","",IF(N187&gt;Settings!$B$7,"Over limit",IF(N187=Settings!$B$7,"Class full","OK")))</f>
        <v/>
      </c>
    </row>
    <row r="188" customFormat="false" ht="19.5" hidden="false" customHeight="true" outlineLevel="0" collapsed="false">
      <c r="A188" s="85" t="str">
        <f aca="false">IF(B188="","","S"&amp;TEXT(ROW()-4,"0000"))</f>
        <v/>
      </c>
      <c r="B188" s="86"/>
      <c r="C188" s="52"/>
      <c r="D188" s="91"/>
      <c r="E188" s="52"/>
      <c r="F188" s="52"/>
      <c r="G188" s="86"/>
      <c r="H188" s="86"/>
      <c r="I188" s="86"/>
      <c r="J188" s="91"/>
      <c r="K188" s="52"/>
      <c r="L188" s="86"/>
      <c r="M188" s="89"/>
      <c r="N188" s="89" t="str">
        <f aca="false">IF(OR(E188="",F188="",K188&lt;&gt;"Active"),"",COUNTIFS(E$5:E188,E188,F$5:F188,F188,K$5:K188,"Active"))</f>
        <v/>
      </c>
      <c r="O188" s="89" t="str">
        <f aca="false">IF(N188="","",E188&amp;"|"&amp;F188&amp;"|"&amp;N188)</f>
        <v/>
      </c>
      <c r="P188" s="85" t="str">
        <f aca="false">IF(N188="","",IF(N188&gt;Settings!$B$7,"Over limit",IF(N188=Settings!$B$7,"Class full","OK")))</f>
        <v/>
      </c>
    </row>
    <row r="189" customFormat="false" ht="19.5" hidden="false" customHeight="true" outlineLevel="0" collapsed="false">
      <c r="A189" s="85" t="str">
        <f aca="false">IF(B189="","","S"&amp;TEXT(ROW()-4,"0000"))</f>
        <v/>
      </c>
      <c r="B189" s="86"/>
      <c r="C189" s="52"/>
      <c r="D189" s="91"/>
      <c r="E189" s="52"/>
      <c r="F189" s="52"/>
      <c r="G189" s="86"/>
      <c r="H189" s="86"/>
      <c r="I189" s="86"/>
      <c r="J189" s="91"/>
      <c r="K189" s="52"/>
      <c r="L189" s="86"/>
      <c r="M189" s="89"/>
      <c r="N189" s="89" t="str">
        <f aca="false">IF(OR(E189="",F189="",K189&lt;&gt;"Active"),"",COUNTIFS(E$5:E189,E189,F$5:F189,F189,K$5:K189,"Active"))</f>
        <v/>
      </c>
      <c r="O189" s="89" t="str">
        <f aca="false">IF(N189="","",E189&amp;"|"&amp;F189&amp;"|"&amp;N189)</f>
        <v/>
      </c>
      <c r="P189" s="85" t="str">
        <f aca="false">IF(N189="","",IF(N189&gt;Settings!$B$7,"Over limit",IF(N189=Settings!$B$7,"Class full","OK")))</f>
        <v/>
      </c>
    </row>
    <row r="190" customFormat="false" ht="19.5" hidden="false" customHeight="true" outlineLevel="0" collapsed="false">
      <c r="A190" s="85" t="str">
        <f aca="false">IF(B190="","","S"&amp;TEXT(ROW()-4,"0000"))</f>
        <v/>
      </c>
      <c r="B190" s="86"/>
      <c r="C190" s="52"/>
      <c r="D190" s="91"/>
      <c r="E190" s="52"/>
      <c r="F190" s="52"/>
      <c r="G190" s="86"/>
      <c r="H190" s="86"/>
      <c r="I190" s="86"/>
      <c r="J190" s="91"/>
      <c r="K190" s="52"/>
      <c r="L190" s="86"/>
      <c r="M190" s="89"/>
      <c r="N190" s="89" t="str">
        <f aca="false">IF(OR(E190="",F190="",K190&lt;&gt;"Active"),"",COUNTIFS(E$5:E190,E190,F$5:F190,F190,K$5:K190,"Active"))</f>
        <v/>
      </c>
      <c r="O190" s="89" t="str">
        <f aca="false">IF(N190="","",E190&amp;"|"&amp;F190&amp;"|"&amp;N190)</f>
        <v/>
      </c>
      <c r="P190" s="85" t="str">
        <f aca="false">IF(N190="","",IF(N190&gt;Settings!$B$7,"Over limit",IF(N190=Settings!$B$7,"Class full","OK")))</f>
        <v/>
      </c>
    </row>
    <row r="191" customFormat="false" ht="19.5" hidden="false" customHeight="true" outlineLevel="0" collapsed="false">
      <c r="A191" s="85" t="str">
        <f aca="false">IF(B191="","","S"&amp;TEXT(ROW()-4,"0000"))</f>
        <v/>
      </c>
      <c r="B191" s="86"/>
      <c r="C191" s="52"/>
      <c r="D191" s="91"/>
      <c r="E191" s="52"/>
      <c r="F191" s="52"/>
      <c r="G191" s="86"/>
      <c r="H191" s="86"/>
      <c r="I191" s="86"/>
      <c r="J191" s="91"/>
      <c r="K191" s="52"/>
      <c r="L191" s="86"/>
      <c r="M191" s="89"/>
      <c r="N191" s="89" t="str">
        <f aca="false">IF(OR(E191="",F191="",K191&lt;&gt;"Active"),"",COUNTIFS(E$5:E191,E191,F$5:F191,F191,K$5:K191,"Active"))</f>
        <v/>
      </c>
      <c r="O191" s="89" t="str">
        <f aca="false">IF(N191="","",E191&amp;"|"&amp;F191&amp;"|"&amp;N191)</f>
        <v/>
      </c>
      <c r="P191" s="85" t="str">
        <f aca="false">IF(N191="","",IF(N191&gt;Settings!$B$7,"Over limit",IF(N191=Settings!$B$7,"Class full","OK")))</f>
        <v/>
      </c>
    </row>
    <row r="192" customFormat="false" ht="19.5" hidden="false" customHeight="true" outlineLevel="0" collapsed="false">
      <c r="A192" s="85" t="str">
        <f aca="false">IF(B192="","","S"&amp;TEXT(ROW()-4,"0000"))</f>
        <v/>
      </c>
      <c r="B192" s="86"/>
      <c r="C192" s="52"/>
      <c r="D192" s="91"/>
      <c r="E192" s="52"/>
      <c r="F192" s="52"/>
      <c r="G192" s="86"/>
      <c r="H192" s="86"/>
      <c r="I192" s="86"/>
      <c r="J192" s="91"/>
      <c r="K192" s="52"/>
      <c r="L192" s="86"/>
      <c r="M192" s="89"/>
      <c r="N192" s="89" t="str">
        <f aca="false">IF(OR(E192="",F192="",K192&lt;&gt;"Active"),"",COUNTIFS(E$5:E192,E192,F$5:F192,F192,K$5:K192,"Active"))</f>
        <v/>
      </c>
      <c r="O192" s="89" t="str">
        <f aca="false">IF(N192="","",E192&amp;"|"&amp;F192&amp;"|"&amp;N192)</f>
        <v/>
      </c>
      <c r="P192" s="85" t="str">
        <f aca="false">IF(N192="","",IF(N192&gt;Settings!$B$7,"Over limit",IF(N192=Settings!$B$7,"Class full","OK")))</f>
        <v/>
      </c>
    </row>
    <row r="193" customFormat="false" ht="19.5" hidden="false" customHeight="true" outlineLevel="0" collapsed="false">
      <c r="A193" s="85" t="str">
        <f aca="false">IF(B193="","","S"&amp;TEXT(ROW()-4,"0000"))</f>
        <v/>
      </c>
      <c r="B193" s="86"/>
      <c r="C193" s="52"/>
      <c r="D193" s="91"/>
      <c r="E193" s="52"/>
      <c r="F193" s="52"/>
      <c r="G193" s="86"/>
      <c r="H193" s="86"/>
      <c r="I193" s="86"/>
      <c r="J193" s="91"/>
      <c r="K193" s="52"/>
      <c r="L193" s="86"/>
      <c r="M193" s="89"/>
      <c r="N193" s="89" t="str">
        <f aca="false">IF(OR(E193="",F193="",K193&lt;&gt;"Active"),"",COUNTIFS(E$5:E193,E193,F$5:F193,F193,K$5:K193,"Active"))</f>
        <v/>
      </c>
      <c r="O193" s="89" t="str">
        <f aca="false">IF(N193="","",E193&amp;"|"&amp;F193&amp;"|"&amp;N193)</f>
        <v/>
      </c>
      <c r="P193" s="85" t="str">
        <f aca="false">IF(N193="","",IF(N193&gt;Settings!$B$7,"Over limit",IF(N193=Settings!$B$7,"Class full","OK")))</f>
        <v/>
      </c>
    </row>
    <row r="194" customFormat="false" ht="19.5" hidden="false" customHeight="true" outlineLevel="0" collapsed="false">
      <c r="A194" s="85" t="str">
        <f aca="false">IF(B194="","","S"&amp;TEXT(ROW()-4,"0000"))</f>
        <v/>
      </c>
      <c r="B194" s="86"/>
      <c r="C194" s="52"/>
      <c r="D194" s="91"/>
      <c r="E194" s="52"/>
      <c r="F194" s="52"/>
      <c r="G194" s="86"/>
      <c r="H194" s="86"/>
      <c r="I194" s="86"/>
      <c r="J194" s="91"/>
      <c r="K194" s="52"/>
      <c r="L194" s="86"/>
      <c r="M194" s="89"/>
      <c r="N194" s="89" t="str">
        <f aca="false">IF(OR(E194="",F194="",K194&lt;&gt;"Active"),"",COUNTIFS(E$5:E194,E194,F$5:F194,F194,K$5:K194,"Active"))</f>
        <v/>
      </c>
      <c r="O194" s="89" t="str">
        <f aca="false">IF(N194="","",E194&amp;"|"&amp;F194&amp;"|"&amp;N194)</f>
        <v/>
      </c>
      <c r="P194" s="85" t="str">
        <f aca="false">IF(N194="","",IF(N194&gt;Settings!$B$7,"Over limit",IF(N194=Settings!$B$7,"Class full","OK")))</f>
        <v/>
      </c>
    </row>
    <row r="195" customFormat="false" ht="19.5" hidden="false" customHeight="true" outlineLevel="0" collapsed="false">
      <c r="A195" s="85" t="str">
        <f aca="false">IF(B195="","","S"&amp;TEXT(ROW()-4,"0000"))</f>
        <v/>
      </c>
      <c r="B195" s="86"/>
      <c r="C195" s="52"/>
      <c r="D195" s="91"/>
      <c r="E195" s="52"/>
      <c r="F195" s="52"/>
      <c r="G195" s="86"/>
      <c r="H195" s="86"/>
      <c r="I195" s="86"/>
      <c r="J195" s="91"/>
      <c r="K195" s="52"/>
      <c r="L195" s="86"/>
      <c r="M195" s="89"/>
      <c r="N195" s="89" t="str">
        <f aca="false">IF(OR(E195="",F195="",K195&lt;&gt;"Active"),"",COUNTIFS(E$5:E195,E195,F$5:F195,F195,K$5:K195,"Active"))</f>
        <v/>
      </c>
      <c r="O195" s="89" t="str">
        <f aca="false">IF(N195="","",E195&amp;"|"&amp;F195&amp;"|"&amp;N195)</f>
        <v/>
      </c>
      <c r="P195" s="85" t="str">
        <f aca="false">IF(N195="","",IF(N195&gt;Settings!$B$7,"Over limit",IF(N195=Settings!$B$7,"Class full","OK")))</f>
        <v/>
      </c>
    </row>
    <row r="196" customFormat="false" ht="19.5" hidden="false" customHeight="true" outlineLevel="0" collapsed="false">
      <c r="A196" s="85" t="str">
        <f aca="false">IF(B196="","","S"&amp;TEXT(ROW()-4,"0000"))</f>
        <v/>
      </c>
      <c r="B196" s="86"/>
      <c r="C196" s="52"/>
      <c r="D196" s="91"/>
      <c r="E196" s="52"/>
      <c r="F196" s="52"/>
      <c r="G196" s="86"/>
      <c r="H196" s="86"/>
      <c r="I196" s="86"/>
      <c r="J196" s="91"/>
      <c r="K196" s="52"/>
      <c r="L196" s="86"/>
      <c r="M196" s="89"/>
      <c r="N196" s="89" t="str">
        <f aca="false">IF(OR(E196="",F196="",K196&lt;&gt;"Active"),"",COUNTIFS(E$5:E196,E196,F$5:F196,F196,K$5:K196,"Active"))</f>
        <v/>
      </c>
      <c r="O196" s="89" t="str">
        <f aca="false">IF(N196="","",E196&amp;"|"&amp;F196&amp;"|"&amp;N196)</f>
        <v/>
      </c>
      <c r="P196" s="85" t="str">
        <f aca="false">IF(N196="","",IF(N196&gt;Settings!$B$7,"Over limit",IF(N196=Settings!$B$7,"Class full","OK")))</f>
        <v/>
      </c>
    </row>
    <row r="197" customFormat="false" ht="19.5" hidden="false" customHeight="true" outlineLevel="0" collapsed="false">
      <c r="A197" s="85" t="str">
        <f aca="false">IF(B197="","","S"&amp;TEXT(ROW()-4,"0000"))</f>
        <v/>
      </c>
      <c r="B197" s="86"/>
      <c r="C197" s="52"/>
      <c r="D197" s="91"/>
      <c r="E197" s="52"/>
      <c r="F197" s="52"/>
      <c r="G197" s="86"/>
      <c r="H197" s="86"/>
      <c r="I197" s="86"/>
      <c r="J197" s="91"/>
      <c r="K197" s="52"/>
      <c r="L197" s="86"/>
      <c r="M197" s="89"/>
      <c r="N197" s="89" t="str">
        <f aca="false">IF(OR(E197="",F197="",K197&lt;&gt;"Active"),"",COUNTIFS(E$5:E197,E197,F$5:F197,F197,K$5:K197,"Active"))</f>
        <v/>
      </c>
      <c r="O197" s="89" t="str">
        <f aca="false">IF(N197="","",E197&amp;"|"&amp;F197&amp;"|"&amp;N197)</f>
        <v/>
      </c>
      <c r="P197" s="85" t="str">
        <f aca="false">IF(N197="","",IF(N197&gt;Settings!$B$7,"Over limit",IF(N197=Settings!$B$7,"Class full","OK")))</f>
        <v/>
      </c>
    </row>
    <row r="198" customFormat="false" ht="19.5" hidden="false" customHeight="true" outlineLevel="0" collapsed="false">
      <c r="A198" s="85" t="str">
        <f aca="false">IF(B198="","","S"&amp;TEXT(ROW()-4,"0000"))</f>
        <v/>
      </c>
      <c r="B198" s="86"/>
      <c r="C198" s="52"/>
      <c r="D198" s="91"/>
      <c r="E198" s="52"/>
      <c r="F198" s="52"/>
      <c r="G198" s="86"/>
      <c r="H198" s="86"/>
      <c r="I198" s="86"/>
      <c r="J198" s="91"/>
      <c r="K198" s="52"/>
      <c r="L198" s="86"/>
      <c r="M198" s="89"/>
      <c r="N198" s="89" t="str">
        <f aca="false">IF(OR(E198="",F198="",K198&lt;&gt;"Active"),"",COUNTIFS(E$5:E198,E198,F$5:F198,F198,K$5:K198,"Active"))</f>
        <v/>
      </c>
      <c r="O198" s="89" t="str">
        <f aca="false">IF(N198="","",E198&amp;"|"&amp;F198&amp;"|"&amp;N198)</f>
        <v/>
      </c>
      <c r="P198" s="85" t="str">
        <f aca="false">IF(N198="","",IF(N198&gt;Settings!$B$7,"Over limit",IF(N198=Settings!$B$7,"Class full","OK")))</f>
        <v/>
      </c>
    </row>
    <row r="199" customFormat="false" ht="19.5" hidden="false" customHeight="true" outlineLevel="0" collapsed="false">
      <c r="A199" s="85" t="str">
        <f aca="false">IF(B199="","","S"&amp;TEXT(ROW()-4,"0000"))</f>
        <v/>
      </c>
      <c r="B199" s="86"/>
      <c r="C199" s="52"/>
      <c r="D199" s="91"/>
      <c r="E199" s="52"/>
      <c r="F199" s="52"/>
      <c r="G199" s="86"/>
      <c r="H199" s="86"/>
      <c r="I199" s="86"/>
      <c r="J199" s="91"/>
      <c r="K199" s="52"/>
      <c r="L199" s="86"/>
      <c r="M199" s="89"/>
      <c r="N199" s="89" t="str">
        <f aca="false">IF(OR(E199="",F199="",K199&lt;&gt;"Active"),"",COUNTIFS(E$5:E199,E199,F$5:F199,F199,K$5:K199,"Active"))</f>
        <v/>
      </c>
      <c r="O199" s="89" t="str">
        <f aca="false">IF(N199="","",E199&amp;"|"&amp;F199&amp;"|"&amp;N199)</f>
        <v/>
      </c>
      <c r="P199" s="85" t="str">
        <f aca="false">IF(N199="","",IF(N199&gt;Settings!$B$7,"Over limit",IF(N199=Settings!$B$7,"Class full","OK")))</f>
        <v/>
      </c>
    </row>
    <row r="200" customFormat="false" ht="19.5" hidden="false" customHeight="true" outlineLevel="0" collapsed="false">
      <c r="A200" s="85" t="str">
        <f aca="false">IF(B200="","","S"&amp;TEXT(ROW()-4,"0000"))</f>
        <v/>
      </c>
      <c r="B200" s="86"/>
      <c r="C200" s="52"/>
      <c r="D200" s="91"/>
      <c r="E200" s="52"/>
      <c r="F200" s="52"/>
      <c r="G200" s="86"/>
      <c r="H200" s="86"/>
      <c r="I200" s="86"/>
      <c r="J200" s="91"/>
      <c r="K200" s="52"/>
      <c r="L200" s="86"/>
      <c r="M200" s="89"/>
      <c r="N200" s="89" t="str">
        <f aca="false">IF(OR(E200="",F200="",K200&lt;&gt;"Active"),"",COUNTIFS(E$5:E200,E200,F$5:F200,F200,K$5:K200,"Active"))</f>
        <v/>
      </c>
      <c r="O200" s="89" t="str">
        <f aca="false">IF(N200="","",E200&amp;"|"&amp;F200&amp;"|"&amp;N200)</f>
        <v/>
      </c>
      <c r="P200" s="85" t="str">
        <f aca="false">IF(N200="","",IF(N200&gt;Settings!$B$7,"Over limit",IF(N200=Settings!$B$7,"Class full","OK")))</f>
        <v/>
      </c>
    </row>
    <row r="201" customFormat="false" ht="19.5" hidden="false" customHeight="true" outlineLevel="0" collapsed="false">
      <c r="A201" s="85" t="str">
        <f aca="false">IF(B201="","","S"&amp;TEXT(ROW()-4,"0000"))</f>
        <v/>
      </c>
      <c r="B201" s="86"/>
      <c r="C201" s="52"/>
      <c r="D201" s="91"/>
      <c r="E201" s="52"/>
      <c r="F201" s="52"/>
      <c r="G201" s="86"/>
      <c r="H201" s="86"/>
      <c r="I201" s="86"/>
      <c r="J201" s="91"/>
      <c r="K201" s="52"/>
      <c r="L201" s="86"/>
      <c r="M201" s="89"/>
      <c r="N201" s="89" t="str">
        <f aca="false">IF(OR(E201="",F201="",K201&lt;&gt;"Active"),"",COUNTIFS(E$5:E201,E201,F$5:F201,F201,K$5:K201,"Active"))</f>
        <v/>
      </c>
      <c r="O201" s="89" t="str">
        <f aca="false">IF(N201="","",E201&amp;"|"&amp;F201&amp;"|"&amp;N201)</f>
        <v/>
      </c>
      <c r="P201" s="85" t="str">
        <f aca="false">IF(N201="","",IF(N201&gt;Settings!$B$7,"Over limit",IF(N201=Settings!$B$7,"Class full","OK")))</f>
        <v/>
      </c>
    </row>
    <row r="202" customFormat="false" ht="19.5" hidden="false" customHeight="true" outlineLevel="0" collapsed="false">
      <c r="A202" s="85" t="str">
        <f aca="false">IF(B202="","","S"&amp;TEXT(ROW()-4,"0000"))</f>
        <v/>
      </c>
      <c r="B202" s="86"/>
      <c r="C202" s="52"/>
      <c r="D202" s="91"/>
      <c r="E202" s="52"/>
      <c r="F202" s="52"/>
      <c r="G202" s="86"/>
      <c r="H202" s="86"/>
      <c r="I202" s="86"/>
      <c r="J202" s="91"/>
      <c r="K202" s="52"/>
      <c r="L202" s="86"/>
      <c r="M202" s="89"/>
      <c r="N202" s="89" t="str">
        <f aca="false">IF(OR(E202="",F202="",K202&lt;&gt;"Active"),"",COUNTIFS(E$5:E202,E202,F$5:F202,F202,K$5:K202,"Active"))</f>
        <v/>
      </c>
      <c r="O202" s="89" t="str">
        <f aca="false">IF(N202="","",E202&amp;"|"&amp;F202&amp;"|"&amp;N202)</f>
        <v/>
      </c>
      <c r="P202" s="85" t="str">
        <f aca="false">IF(N202="","",IF(N202&gt;Settings!$B$7,"Over limit",IF(N202=Settings!$B$7,"Class full","OK")))</f>
        <v/>
      </c>
    </row>
    <row r="203" customFormat="false" ht="19.5" hidden="false" customHeight="true" outlineLevel="0" collapsed="false">
      <c r="A203" s="85" t="str">
        <f aca="false">IF(B203="","","S"&amp;TEXT(ROW()-4,"0000"))</f>
        <v/>
      </c>
      <c r="B203" s="86"/>
      <c r="C203" s="52"/>
      <c r="D203" s="91"/>
      <c r="E203" s="52"/>
      <c r="F203" s="52"/>
      <c r="G203" s="86"/>
      <c r="H203" s="86"/>
      <c r="I203" s="86"/>
      <c r="J203" s="91"/>
      <c r="K203" s="52"/>
      <c r="L203" s="86"/>
      <c r="M203" s="89"/>
      <c r="N203" s="89" t="str">
        <f aca="false">IF(OR(E203="",F203="",K203&lt;&gt;"Active"),"",COUNTIFS(E$5:E203,E203,F$5:F203,F203,K$5:K203,"Active"))</f>
        <v/>
      </c>
      <c r="O203" s="89" t="str">
        <f aca="false">IF(N203="","",E203&amp;"|"&amp;F203&amp;"|"&amp;N203)</f>
        <v/>
      </c>
      <c r="P203" s="85" t="str">
        <f aca="false">IF(N203="","",IF(N203&gt;Settings!$B$7,"Over limit",IF(N203=Settings!$B$7,"Class full","OK")))</f>
        <v/>
      </c>
    </row>
    <row r="204" customFormat="false" ht="19.5" hidden="false" customHeight="true" outlineLevel="0" collapsed="false">
      <c r="A204" s="85" t="str">
        <f aca="false">IF(B204="","","S"&amp;TEXT(ROW()-4,"0000"))</f>
        <v/>
      </c>
      <c r="B204" s="86"/>
      <c r="C204" s="52"/>
      <c r="D204" s="91"/>
      <c r="E204" s="52"/>
      <c r="F204" s="52"/>
      <c r="G204" s="86"/>
      <c r="H204" s="86"/>
      <c r="I204" s="86"/>
      <c r="J204" s="91"/>
      <c r="K204" s="52"/>
      <c r="L204" s="86"/>
      <c r="M204" s="89"/>
      <c r="N204" s="89" t="str">
        <f aca="false">IF(OR(E204="",F204="",K204&lt;&gt;"Active"),"",COUNTIFS(E$5:E204,E204,F$5:F204,F204,K$5:K204,"Active"))</f>
        <v/>
      </c>
      <c r="O204" s="89" t="str">
        <f aca="false">IF(N204="","",E204&amp;"|"&amp;F204&amp;"|"&amp;N204)</f>
        <v/>
      </c>
      <c r="P204" s="85" t="str">
        <f aca="false">IF(N204="","",IF(N204&gt;Settings!$B$7,"Over limit",IF(N204=Settings!$B$7,"Class full","OK")))</f>
        <v/>
      </c>
    </row>
    <row r="205" customFormat="false" ht="19.5" hidden="false" customHeight="true" outlineLevel="0" collapsed="false">
      <c r="A205" s="85" t="str">
        <f aca="false">IF(B205="","","S"&amp;TEXT(ROW()-4,"0000"))</f>
        <v/>
      </c>
      <c r="B205" s="86"/>
      <c r="C205" s="52"/>
      <c r="D205" s="91"/>
      <c r="E205" s="52"/>
      <c r="F205" s="52"/>
      <c r="G205" s="86"/>
      <c r="H205" s="86"/>
      <c r="I205" s="86"/>
      <c r="J205" s="91"/>
      <c r="K205" s="52"/>
      <c r="L205" s="86"/>
      <c r="M205" s="89"/>
      <c r="N205" s="89" t="str">
        <f aca="false">IF(OR(E205="",F205="",K205&lt;&gt;"Active"),"",COUNTIFS(E$5:E205,E205,F$5:F205,F205,K$5:K205,"Active"))</f>
        <v/>
      </c>
      <c r="O205" s="89" t="str">
        <f aca="false">IF(N205="","",E205&amp;"|"&amp;F205&amp;"|"&amp;N205)</f>
        <v/>
      </c>
      <c r="P205" s="85" t="str">
        <f aca="false">IF(N205="","",IF(N205&gt;Settings!$B$7,"Over limit",IF(N205=Settings!$B$7,"Class full","OK")))</f>
        <v/>
      </c>
    </row>
    <row r="206" customFormat="false" ht="19.5" hidden="false" customHeight="true" outlineLevel="0" collapsed="false">
      <c r="A206" s="85" t="str">
        <f aca="false">IF(B206="","","S"&amp;TEXT(ROW()-4,"0000"))</f>
        <v/>
      </c>
      <c r="B206" s="86"/>
      <c r="C206" s="52"/>
      <c r="D206" s="91"/>
      <c r="E206" s="52"/>
      <c r="F206" s="52"/>
      <c r="G206" s="86"/>
      <c r="H206" s="86"/>
      <c r="I206" s="86"/>
      <c r="J206" s="91"/>
      <c r="K206" s="52"/>
      <c r="L206" s="86"/>
      <c r="M206" s="89"/>
      <c r="N206" s="89" t="str">
        <f aca="false">IF(OR(E206="",F206="",K206&lt;&gt;"Active"),"",COUNTIFS(E$5:E206,E206,F$5:F206,F206,K$5:K206,"Active"))</f>
        <v/>
      </c>
      <c r="O206" s="89" t="str">
        <f aca="false">IF(N206="","",E206&amp;"|"&amp;F206&amp;"|"&amp;N206)</f>
        <v/>
      </c>
      <c r="P206" s="85" t="str">
        <f aca="false">IF(N206="","",IF(N206&gt;Settings!$B$7,"Over limit",IF(N206=Settings!$B$7,"Class full","OK")))</f>
        <v/>
      </c>
    </row>
    <row r="207" customFormat="false" ht="19.5" hidden="false" customHeight="true" outlineLevel="0" collapsed="false">
      <c r="A207" s="85" t="str">
        <f aca="false">IF(B207="","","S"&amp;TEXT(ROW()-4,"0000"))</f>
        <v/>
      </c>
      <c r="B207" s="86"/>
      <c r="C207" s="52"/>
      <c r="D207" s="91"/>
      <c r="E207" s="52"/>
      <c r="F207" s="52"/>
      <c r="G207" s="86"/>
      <c r="H207" s="86"/>
      <c r="I207" s="86"/>
      <c r="J207" s="91"/>
      <c r="K207" s="52"/>
      <c r="L207" s="86"/>
      <c r="M207" s="89"/>
      <c r="N207" s="89" t="str">
        <f aca="false">IF(OR(E207="",F207="",K207&lt;&gt;"Active"),"",COUNTIFS(E$5:E207,E207,F$5:F207,F207,K$5:K207,"Active"))</f>
        <v/>
      </c>
      <c r="O207" s="89" t="str">
        <f aca="false">IF(N207="","",E207&amp;"|"&amp;F207&amp;"|"&amp;N207)</f>
        <v/>
      </c>
      <c r="P207" s="85" t="str">
        <f aca="false">IF(N207="","",IF(N207&gt;Settings!$B$7,"Over limit",IF(N207=Settings!$B$7,"Class full","OK")))</f>
        <v/>
      </c>
    </row>
    <row r="208" customFormat="false" ht="19.5" hidden="false" customHeight="true" outlineLevel="0" collapsed="false">
      <c r="A208" s="85" t="str">
        <f aca="false">IF(B208="","","S"&amp;TEXT(ROW()-4,"0000"))</f>
        <v/>
      </c>
      <c r="B208" s="86"/>
      <c r="C208" s="52"/>
      <c r="D208" s="91"/>
      <c r="E208" s="52"/>
      <c r="F208" s="52"/>
      <c r="G208" s="86"/>
      <c r="H208" s="86"/>
      <c r="I208" s="86"/>
      <c r="J208" s="91"/>
      <c r="K208" s="52"/>
      <c r="L208" s="86"/>
      <c r="M208" s="89"/>
      <c r="N208" s="89" t="str">
        <f aca="false">IF(OR(E208="",F208="",K208&lt;&gt;"Active"),"",COUNTIFS(E$5:E208,E208,F$5:F208,F208,K$5:K208,"Active"))</f>
        <v/>
      </c>
      <c r="O208" s="89" t="str">
        <f aca="false">IF(N208="","",E208&amp;"|"&amp;F208&amp;"|"&amp;N208)</f>
        <v/>
      </c>
      <c r="P208" s="85" t="str">
        <f aca="false">IF(N208="","",IF(N208&gt;Settings!$B$7,"Over limit",IF(N208=Settings!$B$7,"Class full","OK")))</f>
        <v/>
      </c>
    </row>
    <row r="209" customFormat="false" ht="19.5" hidden="false" customHeight="true" outlineLevel="0" collapsed="false">
      <c r="A209" s="85" t="str">
        <f aca="false">IF(B209="","","S"&amp;TEXT(ROW()-4,"0000"))</f>
        <v/>
      </c>
      <c r="B209" s="86"/>
      <c r="C209" s="52"/>
      <c r="D209" s="91"/>
      <c r="E209" s="52"/>
      <c r="F209" s="52"/>
      <c r="G209" s="86"/>
      <c r="H209" s="86"/>
      <c r="I209" s="86"/>
      <c r="J209" s="91"/>
      <c r="K209" s="52"/>
      <c r="L209" s="86"/>
      <c r="M209" s="89"/>
      <c r="N209" s="89" t="str">
        <f aca="false">IF(OR(E209="",F209="",K209&lt;&gt;"Active"),"",COUNTIFS(E$5:E209,E209,F$5:F209,F209,K$5:K209,"Active"))</f>
        <v/>
      </c>
      <c r="O209" s="89" t="str">
        <f aca="false">IF(N209="","",E209&amp;"|"&amp;F209&amp;"|"&amp;N209)</f>
        <v/>
      </c>
      <c r="P209" s="85" t="str">
        <f aca="false">IF(N209="","",IF(N209&gt;Settings!$B$7,"Over limit",IF(N209=Settings!$B$7,"Class full","OK")))</f>
        <v/>
      </c>
    </row>
    <row r="210" customFormat="false" ht="19.5" hidden="false" customHeight="true" outlineLevel="0" collapsed="false">
      <c r="A210" s="85" t="str">
        <f aca="false">IF(B210="","","S"&amp;TEXT(ROW()-4,"0000"))</f>
        <v/>
      </c>
      <c r="B210" s="86"/>
      <c r="C210" s="52"/>
      <c r="D210" s="91"/>
      <c r="E210" s="52"/>
      <c r="F210" s="52"/>
      <c r="G210" s="86"/>
      <c r="H210" s="86"/>
      <c r="I210" s="86"/>
      <c r="J210" s="91"/>
      <c r="K210" s="52"/>
      <c r="L210" s="86"/>
      <c r="M210" s="89"/>
      <c r="N210" s="89" t="str">
        <f aca="false">IF(OR(E210="",F210="",K210&lt;&gt;"Active"),"",COUNTIFS(E$5:E210,E210,F$5:F210,F210,K$5:K210,"Active"))</f>
        <v/>
      </c>
      <c r="O210" s="89" t="str">
        <f aca="false">IF(N210="","",E210&amp;"|"&amp;F210&amp;"|"&amp;N210)</f>
        <v/>
      </c>
      <c r="P210" s="85" t="str">
        <f aca="false">IF(N210="","",IF(N210&gt;Settings!$B$7,"Over limit",IF(N210=Settings!$B$7,"Class full","OK")))</f>
        <v/>
      </c>
    </row>
    <row r="211" customFormat="false" ht="19.5" hidden="false" customHeight="true" outlineLevel="0" collapsed="false">
      <c r="A211" s="85" t="str">
        <f aca="false">IF(B211="","","S"&amp;TEXT(ROW()-4,"0000"))</f>
        <v/>
      </c>
      <c r="B211" s="86"/>
      <c r="C211" s="52"/>
      <c r="D211" s="91"/>
      <c r="E211" s="52"/>
      <c r="F211" s="52"/>
      <c r="G211" s="86"/>
      <c r="H211" s="86"/>
      <c r="I211" s="86"/>
      <c r="J211" s="91"/>
      <c r="K211" s="52"/>
      <c r="L211" s="86"/>
      <c r="M211" s="89"/>
      <c r="N211" s="89" t="str">
        <f aca="false">IF(OR(E211="",F211="",K211&lt;&gt;"Active"),"",COUNTIFS(E$5:E211,E211,F$5:F211,F211,K$5:K211,"Active"))</f>
        <v/>
      </c>
      <c r="O211" s="89" t="str">
        <f aca="false">IF(N211="","",E211&amp;"|"&amp;F211&amp;"|"&amp;N211)</f>
        <v/>
      </c>
      <c r="P211" s="85" t="str">
        <f aca="false">IF(N211="","",IF(N211&gt;Settings!$B$7,"Over limit",IF(N211=Settings!$B$7,"Class full","OK")))</f>
        <v/>
      </c>
    </row>
    <row r="212" customFormat="false" ht="19.5" hidden="false" customHeight="true" outlineLevel="0" collapsed="false">
      <c r="A212" s="85" t="str">
        <f aca="false">IF(B212="","","S"&amp;TEXT(ROW()-4,"0000"))</f>
        <v/>
      </c>
      <c r="B212" s="86"/>
      <c r="C212" s="52"/>
      <c r="D212" s="91"/>
      <c r="E212" s="52"/>
      <c r="F212" s="52"/>
      <c r="G212" s="86"/>
      <c r="H212" s="86"/>
      <c r="I212" s="86"/>
      <c r="J212" s="91"/>
      <c r="K212" s="52"/>
      <c r="L212" s="86"/>
      <c r="M212" s="89"/>
      <c r="N212" s="89" t="str">
        <f aca="false">IF(OR(E212="",F212="",K212&lt;&gt;"Active"),"",COUNTIFS(E$5:E212,E212,F$5:F212,F212,K$5:K212,"Active"))</f>
        <v/>
      </c>
      <c r="O212" s="89" t="str">
        <f aca="false">IF(N212="","",E212&amp;"|"&amp;F212&amp;"|"&amp;N212)</f>
        <v/>
      </c>
      <c r="P212" s="85" t="str">
        <f aca="false">IF(N212="","",IF(N212&gt;Settings!$B$7,"Over limit",IF(N212=Settings!$B$7,"Class full","OK")))</f>
        <v/>
      </c>
    </row>
    <row r="213" customFormat="false" ht="19.5" hidden="false" customHeight="true" outlineLevel="0" collapsed="false">
      <c r="A213" s="85" t="str">
        <f aca="false">IF(B213="","","S"&amp;TEXT(ROW()-4,"0000"))</f>
        <v/>
      </c>
      <c r="B213" s="86"/>
      <c r="C213" s="52"/>
      <c r="D213" s="91"/>
      <c r="E213" s="52"/>
      <c r="F213" s="52"/>
      <c r="G213" s="86"/>
      <c r="H213" s="86"/>
      <c r="I213" s="86"/>
      <c r="J213" s="91"/>
      <c r="K213" s="52"/>
      <c r="L213" s="86"/>
      <c r="M213" s="89"/>
      <c r="N213" s="89" t="str">
        <f aca="false">IF(OR(E213="",F213="",K213&lt;&gt;"Active"),"",COUNTIFS(E$5:E213,E213,F$5:F213,F213,K$5:K213,"Active"))</f>
        <v/>
      </c>
      <c r="O213" s="89" t="str">
        <f aca="false">IF(N213="","",E213&amp;"|"&amp;F213&amp;"|"&amp;N213)</f>
        <v/>
      </c>
      <c r="P213" s="85" t="str">
        <f aca="false">IF(N213="","",IF(N213&gt;Settings!$B$7,"Over limit",IF(N213=Settings!$B$7,"Class full","OK")))</f>
        <v/>
      </c>
    </row>
    <row r="214" customFormat="false" ht="19.5" hidden="false" customHeight="true" outlineLevel="0" collapsed="false">
      <c r="A214" s="85" t="str">
        <f aca="false">IF(B214="","","S"&amp;TEXT(ROW()-4,"0000"))</f>
        <v/>
      </c>
      <c r="B214" s="86"/>
      <c r="C214" s="52"/>
      <c r="D214" s="91"/>
      <c r="E214" s="52"/>
      <c r="F214" s="52"/>
      <c r="G214" s="86"/>
      <c r="H214" s="86"/>
      <c r="I214" s="86"/>
      <c r="J214" s="91"/>
      <c r="K214" s="52"/>
      <c r="L214" s="86"/>
      <c r="M214" s="89"/>
      <c r="N214" s="89" t="str">
        <f aca="false">IF(OR(E214="",F214="",K214&lt;&gt;"Active"),"",COUNTIFS(E$5:E214,E214,F$5:F214,F214,K$5:K214,"Active"))</f>
        <v/>
      </c>
      <c r="O214" s="89" t="str">
        <f aca="false">IF(N214="","",E214&amp;"|"&amp;F214&amp;"|"&amp;N214)</f>
        <v/>
      </c>
      <c r="P214" s="85" t="str">
        <f aca="false">IF(N214="","",IF(N214&gt;Settings!$B$7,"Over limit",IF(N214=Settings!$B$7,"Class full","OK")))</f>
        <v/>
      </c>
    </row>
    <row r="215" customFormat="false" ht="19.5" hidden="false" customHeight="true" outlineLevel="0" collapsed="false">
      <c r="A215" s="85" t="str">
        <f aca="false">IF(B215="","","S"&amp;TEXT(ROW()-4,"0000"))</f>
        <v/>
      </c>
      <c r="B215" s="86"/>
      <c r="C215" s="52"/>
      <c r="D215" s="91"/>
      <c r="E215" s="52"/>
      <c r="F215" s="52"/>
      <c r="G215" s="86"/>
      <c r="H215" s="86"/>
      <c r="I215" s="86"/>
      <c r="J215" s="91"/>
      <c r="K215" s="52"/>
      <c r="L215" s="86"/>
      <c r="M215" s="89"/>
      <c r="N215" s="89" t="str">
        <f aca="false">IF(OR(E215="",F215="",K215&lt;&gt;"Active"),"",COUNTIFS(E$5:E215,E215,F$5:F215,F215,K$5:K215,"Active"))</f>
        <v/>
      </c>
      <c r="O215" s="89" t="str">
        <f aca="false">IF(N215="","",E215&amp;"|"&amp;F215&amp;"|"&amp;N215)</f>
        <v/>
      </c>
      <c r="P215" s="85" t="str">
        <f aca="false">IF(N215="","",IF(N215&gt;Settings!$B$7,"Over limit",IF(N215=Settings!$B$7,"Class full","OK")))</f>
        <v/>
      </c>
    </row>
    <row r="216" customFormat="false" ht="19.5" hidden="false" customHeight="true" outlineLevel="0" collapsed="false">
      <c r="A216" s="85" t="str">
        <f aca="false">IF(B216="","","S"&amp;TEXT(ROW()-4,"0000"))</f>
        <v/>
      </c>
      <c r="B216" s="86"/>
      <c r="C216" s="52"/>
      <c r="D216" s="91"/>
      <c r="E216" s="52"/>
      <c r="F216" s="52"/>
      <c r="G216" s="86"/>
      <c r="H216" s="86"/>
      <c r="I216" s="86"/>
      <c r="J216" s="91"/>
      <c r="K216" s="52"/>
      <c r="L216" s="86"/>
      <c r="M216" s="89"/>
      <c r="N216" s="89" t="str">
        <f aca="false">IF(OR(E216="",F216="",K216&lt;&gt;"Active"),"",COUNTIFS(E$5:E216,E216,F$5:F216,F216,K$5:K216,"Active"))</f>
        <v/>
      </c>
      <c r="O216" s="89" t="str">
        <f aca="false">IF(N216="","",E216&amp;"|"&amp;F216&amp;"|"&amp;N216)</f>
        <v/>
      </c>
      <c r="P216" s="85" t="str">
        <f aca="false">IF(N216="","",IF(N216&gt;Settings!$B$7,"Over limit",IF(N216=Settings!$B$7,"Class full","OK")))</f>
        <v/>
      </c>
    </row>
    <row r="217" customFormat="false" ht="19.5" hidden="false" customHeight="true" outlineLevel="0" collapsed="false">
      <c r="A217" s="85" t="str">
        <f aca="false">IF(B217="","","S"&amp;TEXT(ROW()-4,"0000"))</f>
        <v/>
      </c>
      <c r="B217" s="86"/>
      <c r="C217" s="52"/>
      <c r="D217" s="91"/>
      <c r="E217" s="52"/>
      <c r="F217" s="52"/>
      <c r="G217" s="86"/>
      <c r="H217" s="86"/>
      <c r="I217" s="86"/>
      <c r="J217" s="91"/>
      <c r="K217" s="52"/>
      <c r="L217" s="86"/>
      <c r="M217" s="89"/>
      <c r="N217" s="89" t="str">
        <f aca="false">IF(OR(E217="",F217="",K217&lt;&gt;"Active"),"",COUNTIFS(E$5:E217,E217,F$5:F217,F217,K$5:K217,"Active"))</f>
        <v/>
      </c>
      <c r="O217" s="89" t="str">
        <f aca="false">IF(N217="","",E217&amp;"|"&amp;F217&amp;"|"&amp;N217)</f>
        <v/>
      </c>
      <c r="P217" s="85" t="str">
        <f aca="false">IF(N217="","",IF(N217&gt;Settings!$B$7,"Over limit",IF(N217=Settings!$B$7,"Class full","OK")))</f>
        <v/>
      </c>
    </row>
    <row r="218" customFormat="false" ht="19.5" hidden="false" customHeight="true" outlineLevel="0" collapsed="false">
      <c r="A218" s="85" t="str">
        <f aca="false">IF(B218="","","S"&amp;TEXT(ROW()-4,"0000"))</f>
        <v/>
      </c>
      <c r="B218" s="86"/>
      <c r="C218" s="52"/>
      <c r="D218" s="91"/>
      <c r="E218" s="52"/>
      <c r="F218" s="52"/>
      <c r="G218" s="86"/>
      <c r="H218" s="86"/>
      <c r="I218" s="86"/>
      <c r="J218" s="91"/>
      <c r="K218" s="52"/>
      <c r="L218" s="86"/>
      <c r="M218" s="89"/>
      <c r="N218" s="89" t="str">
        <f aca="false">IF(OR(E218="",F218="",K218&lt;&gt;"Active"),"",COUNTIFS(E$5:E218,E218,F$5:F218,F218,K$5:K218,"Active"))</f>
        <v/>
      </c>
      <c r="O218" s="89" t="str">
        <f aca="false">IF(N218="","",E218&amp;"|"&amp;F218&amp;"|"&amp;N218)</f>
        <v/>
      </c>
      <c r="P218" s="85" t="str">
        <f aca="false">IF(N218="","",IF(N218&gt;Settings!$B$7,"Over limit",IF(N218=Settings!$B$7,"Class full","OK")))</f>
        <v/>
      </c>
    </row>
    <row r="219" customFormat="false" ht="19.5" hidden="false" customHeight="true" outlineLevel="0" collapsed="false">
      <c r="A219" s="85" t="str">
        <f aca="false">IF(B219="","","S"&amp;TEXT(ROW()-4,"0000"))</f>
        <v/>
      </c>
      <c r="B219" s="86"/>
      <c r="C219" s="52"/>
      <c r="D219" s="91"/>
      <c r="E219" s="52"/>
      <c r="F219" s="52"/>
      <c r="G219" s="86"/>
      <c r="H219" s="86"/>
      <c r="I219" s="86"/>
      <c r="J219" s="91"/>
      <c r="K219" s="52"/>
      <c r="L219" s="86"/>
      <c r="M219" s="89"/>
      <c r="N219" s="89" t="str">
        <f aca="false">IF(OR(E219="",F219="",K219&lt;&gt;"Active"),"",COUNTIFS(E$5:E219,E219,F$5:F219,F219,K$5:K219,"Active"))</f>
        <v/>
      </c>
      <c r="O219" s="89" t="str">
        <f aca="false">IF(N219="","",E219&amp;"|"&amp;F219&amp;"|"&amp;N219)</f>
        <v/>
      </c>
      <c r="P219" s="85" t="str">
        <f aca="false">IF(N219="","",IF(N219&gt;Settings!$B$7,"Over limit",IF(N219=Settings!$B$7,"Class full","OK")))</f>
        <v/>
      </c>
    </row>
    <row r="220" customFormat="false" ht="19.5" hidden="false" customHeight="true" outlineLevel="0" collapsed="false">
      <c r="A220" s="85" t="str">
        <f aca="false">IF(B220="","","S"&amp;TEXT(ROW()-4,"0000"))</f>
        <v/>
      </c>
      <c r="B220" s="86"/>
      <c r="C220" s="52"/>
      <c r="D220" s="91"/>
      <c r="E220" s="52"/>
      <c r="F220" s="52"/>
      <c r="G220" s="86"/>
      <c r="H220" s="86"/>
      <c r="I220" s="86"/>
      <c r="J220" s="91"/>
      <c r="K220" s="52"/>
      <c r="L220" s="86"/>
      <c r="M220" s="89"/>
      <c r="N220" s="89" t="str">
        <f aca="false">IF(OR(E220="",F220="",K220&lt;&gt;"Active"),"",COUNTIFS(E$5:E220,E220,F$5:F220,F220,K$5:K220,"Active"))</f>
        <v/>
      </c>
      <c r="O220" s="89" t="str">
        <f aca="false">IF(N220="","",E220&amp;"|"&amp;F220&amp;"|"&amp;N220)</f>
        <v/>
      </c>
      <c r="P220" s="85" t="str">
        <f aca="false">IF(N220="","",IF(N220&gt;Settings!$B$7,"Over limit",IF(N220=Settings!$B$7,"Class full","OK")))</f>
        <v/>
      </c>
    </row>
    <row r="221" customFormat="false" ht="19.5" hidden="false" customHeight="true" outlineLevel="0" collapsed="false">
      <c r="A221" s="85" t="str">
        <f aca="false">IF(B221="","","S"&amp;TEXT(ROW()-4,"0000"))</f>
        <v/>
      </c>
      <c r="B221" s="86"/>
      <c r="C221" s="52"/>
      <c r="D221" s="91"/>
      <c r="E221" s="52"/>
      <c r="F221" s="52"/>
      <c r="G221" s="86"/>
      <c r="H221" s="86"/>
      <c r="I221" s="86"/>
      <c r="J221" s="91"/>
      <c r="K221" s="52"/>
      <c r="L221" s="86"/>
      <c r="M221" s="89"/>
      <c r="N221" s="89" t="str">
        <f aca="false">IF(OR(E221="",F221="",K221&lt;&gt;"Active"),"",COUNTIFS(E$5:E221,E221,F$5:F221,F221,K$5:K221,"Active"))</f>
        <v/>
      </c>
      <c r="O221" s="89" t="str">
        <f aca="false">IF(N221="","",E221&amp;"|"&amp;F221&amp;"|"&amp;N221)</f>
        <v/>
      </c>
      <c r="P221" s="85" t="str">
        <f aca="false">IF(N221="","",IF(N221&gt;Settings!$B$7,"Over limit",IF(N221=Settings!$B$7,"Class full","OK")))</f>
        <v/>
      </c>
    </row>
    <row r="222" customFormat="false" ht="19.5" hidden="false" customHeight="true" outlineLevel="0" collapsed="false">
      <c r="A222" s="85" t="str">
        <f aca="false">IF(B222="","","S"&amp;TEXT(ROW()-4,"0000"))</f>
        <v/>
      </c>
      <c r="B222" s="86"/>
      <c r="C222" s="52"/>
      <c r="D222" s="91"/>
      <c r="E222" s="52"/>
      <c r="F222" s="52"/>
      <c r="G222" s="86"/>
      <c r="H222" s="86"/>
      <c r="I222" s="86"/>
      <c r="J222" s="91"/>
      <c r="K222" s="52"/>
      <c r="L222" s="86"/>
      <c r="M222" s="89"/>
      <c r="N222" s="89" t="str">
        <f aca="false">IF(OR(E222="",F222="",K222&lt;&gt;"Active"),"",COUNTIFS(E$5:E222,E222,F$5:F222,F222,K$5:K222,"Active"))</f>
        <v/>
      </c>
      <c r="O222" s="89" t="str">
        <f aca="false">IF(N222="","",E222&amp;"|"&amp;F222&amp;"|"&amp;N222)</f>
        <v/>
      </c>
      <c r="P222" s="85" t="str">
        <f aca="false">IF(N222="","",IF(N222&gt;Settings!$B$7,"Over limit",IF(N222=Settings!$B$7,"Class full","OK")))</f>
        <v/>
      </c>
    </row>
    <row r="223" customFormat="false" ht="19.5" hidden="false" customHeight="true" outlineLevel="0" collapsed="false">
      <c r="A223" s="85" t="str">
        <f aca="false">IF(B223="","","S"&amp;TEXT(ROW()-4,"0000"))</f>
        <v/>
      </c>
      <c r="B223" s="86"/>
      <c r="C223" s="52"/>
      <c r="D223" s="91"/>
      <c r="E223" s="52"/>
      <c r="F223" s="52"/>
      <c r="G223" s="86"/>
      <c r="H223" s="86"/>
      <c r="I223" s="86"/>
      <c r="J223" s="91"/>
      <c r="K223" s="52"/>
      <c r="L223" s="86"/>
      <c r="M223" s="89"/>
      <c r="N223" s="89" t="str">
        <f aca="false">IF(OR(E223="",F223="",K223&lt;&gt;"Active"),"",COUNTIFS(E$5:E223,E223,F$5:F223,F223,K$5:K223,"Active"))</f>
        <v/>
      </c>
      <c r="O223" s="89" t="str">
        <f aca="false">IF(N223="","",E223&amp;"|"&amp;F223&amp;"|"&amp;N223)</f>
        <v/>
      </c>
      <c r="P223" s="85" t="str">
        <f aca="false">IF(N223="","",IF(N223&gt;Settings!$B$7,"Over limit",IF(N223=Settings!$B$7,"Class full","OK")))</f>
        <v/>
      </c>
    </row>
    <row r="224" customFormat="false" ht="19.5" hidden="false" customHeight="true" outlineLevel="0" collapsed="false">
      <c r="A224" s="85" t="str">
        <f aca="false">IF(B224="","","S"&amp;TEXT(ROW()-4,"0000"))</f>
        <v/>
      </c>
      <c r="B224" s="86"/>
      <c r="C224" s="52"/>
      <c r="D224" s="91"/>
      <c r="E224" s="52"/>
      <c r="F224" s="52"/>
      <c r="G224" s="86"/>
      <c r="H224" s="86"/>
      <c r="I224" s="86"/>
      <c r="J224" s="91"/>
      <c r="K224" s="52"/>
      <c r="L224" s="86"/>
      <c r="M224" s="89"/>
      <c r="N224" s="89" t="str">
        <f aca="false">IF(OR(E224="",F224="",K224&lt;&gt;"Active"),"",COUNTIFS(E$5:E224,E224,F$5:F224,F224,K$5:K224,"Active"))</f>
        <v/>
      </c>
      <c r="O224" s="89" t="str">
        <f aca="false">IF(N224="","",E224&amp;"|"&amp;F224&amp;"|"&amp;N224)</f>
        <v/>
      </c>
      <c r="P224" s="85" t="str">
        <f aca="false">IF(N224="","",IF(N224&gt;Settings!$B$7,"Over limit",IF(N224=Settings!$B$7,"Class full","OK")))</f>
        <v/>
      </c>
    </row>
    <row r="225" customFormat="false" ht="19.5" hidden="false" customHeight="true" outlineLevel="0" collapsed="false">
      <c r="A225" s="85" t="str">
        <f aca="false">IF(B225="","","S"&amp;TEXT(ROW()-4,"0000"))</f>
        <v/>
      </c>
      <c r="B225" s="86"/>
      <c r="C225" s="52"/>
      <c r="D225" s="91"/>
      <c r="E225" s="52"/>
      <c r="F225" s="52"/>
      <c r="G225" s="86"/>
      <c r="H225" s="86"/>
      <c r="I225" s="86"/>
      <c r="J225" s="91"/>
      <c r="K225" s="52"/>
      <c r="L225" s="86"/>
      <c r="M225" s="89"/>
      <c r="N225" s="89" t="str">
        <f aca="false">IF(OR(E225="",F225="",K225&lt;&gt;"Active"),"",COUNTIFS(E$5:E225,E225,F$5:F225,F225,K$5:K225,"Active"))</f>
        <v/>
      </c>
      <c r="O225" s="89" t="str">
        <f aca="false">IF(N225="","",E225&amp;"|"&amp;F225&amp;"|"&amp;N225)</f>
        <v/>
      </c>
      <c r="P225" s="85" t="str">
        <f aca="false">IF(N225="","",IF(N225&gt;Settings!$B$7,"Over limit",IF(N225=Settings!$B$7,"Class full","OK")))</f>
        <v/>
      </c>
    </row>
    <row r="226" customFormat="false" ht="19.5" hidden="false" customHeight="true" outlineLevel="0" collapsed="false">
      <c r="A226" s="85" t="str">
        <f aca="false">IF(B226="","","S"&amp;TEXT(ROW()-4,"0000"))</f>
        <v/>
      </c>
      <c r="B226" s="86"/>
      <c r="C226" s="52"/>
      <c r="D226" s="91"/>
      <c r="E226" s="52"/>
      <c r="F226" s="52"/>
      <c r="G226" s="86"/>
      <c r="H226" s="86"/>
      <c r="I226" s="86"/>
      <c r="J226" s="91"/>
      <c r="K226" s="52"/>
      <c r="L226" s="86"/>
      <c r="M226" s="89"/>
      <c r="N226" s="89" t="str">
        <f aca="false">IF(OR(E226="",F226="",K226&lt;&gt;"Active"),"",COUNTIFS(E$5:E226,E226,F$5:F226,F226,K$5:K226,"Active"))</f>
        <v/>
      </c>
      <c r="O226" s="89" t="str">
        <f aca="false">IF(N226="","",E226&amp;"|"&amp;F226&amp;"|"&amp;N226)</f>
        <v/>
      </c>
      <c r="P226" s="85" t="str">
        <f aca="false">IF(N226="","",IF(N226&gt;Settings!$B$7,"Over limit",IF(N226=Settings!$B$7,"Class full","OK")))</f>
        <v/>
      </c>
    </row>
    <row r="227" customFormat="false" ht="19.5" hidden="false" customHeight="true" outlineLevel="0" collapsed="false">
      <c r="A227" s="85" t="str">
        <f aca="false">IF(B227="","","S"&amp;TEXT(ROW()-4,"0000"))</f>
        <v/>
      </c>
      <c r="B227" s="86"/>
      <c r="C227" s="52"/>
      <c r="D227" s="91"/>
      <c r="E227" s="52"/>
      <c r="F227" s="52"/>
      <c r="G227" s="86"/>
      <c r="H227" s="86"/>
      <c r="I227" s="86"/>
      <c r="J227" s="91"/>
      <c r="K227" s="52"/>
      <c r="L227" s="86"/>
      <c r="M227" s="89"/>
      <c r="N227" s="89" t="str">
        <f aca="false">IF(OR(E227="",F227="",K227&lt;&gt;"Active"),"",COUNTIFS(E$5:E227,E227,F$5:F227,F227,K$5:K227,"Active"))</f>
        <v/>
      </c>
      <c r="O227" s="89" t="str">
        <f aca="false">IF(N227="","",E227&amp;"|"&amp;F227&amp;"|"&amp;N227)</f>
        <v/>
      </c>
      <c r="P227" s="85" t="str">
        <f aca="false">IF(N227="","",IF(N227&gt;Settings!$B$7,"Over limit",IF(N227=Settings!$B$7,"Class full","OK")))</f>
        <v/>
      </c>
    </row>
    <row r="228" customFormat="false" ht="19.5" hidden="false" customHeight="true" outlineLevel="0" collapsed="false">
      <c r="A228" s="85" t="str">
        <f aca="false">IF(B228="","","S"&amp;TEXT(ROW()-4,"0000"))</f>
        <v/>
      </c>
      <c r="B228" s="86"/>
      <c r="C228" s="52"/>
      <c r="D228" s="91"/>
      <c r="E228" s="52"/>
      <c r="F228" s="52"/>
      <c r="G228" s="86"/>
      <c r="H228" s="86"/>
      <c r="I228" s="86"/>
      <c r="J228" s="91"/>
      <c r="K228" s="52"/>
      <c r="L228" s="86"/>
      <c r="M228" s="89"/>
      <c r="N228" s="89" t="str">
        <f aca="false">IF(OR(E228="",F228="",K228&lt;&gt;"Active"),"",COUNTIFS(E$5:E228,E228,F$5:F228,F228,K$5:K228,"Active"))</f>
        <v/>
      </c>
      <c r="O228" s="89" t="str">
        <f aca="false">IF(N228="","",E228&amp;"|"&amp;F228&amp;"|"&amp;N228)</f>
        <v/>
      </c>
      <c r="P228" s="85" t="str">
        <f aca="false">IF(N228="","",IF(N228&gt;Settings!$B$7,"Over limit",IF(N228=Settings!$B$7,"Class full","OK")))</f>
        <v/>
      </c>
    </row>
    <row r="229" customFormat="false" ht="19.5" hidden="false" customHeight="true" outlineLevel="0" collapsed="false">
      <c r="A229" s="85" t="str">
        <f aca="false">IF(B229="","","S"&amp;TEXT(ROW()-4,"0000"))</f>
        <v/>
      </c>
      <c r="B229" s="86"/>
      <c r="C229" s="52"/>
      <c r="D229" s="91"/>
      <c r="E229" s="52"/>
      <c r="F229" s="52"/>
      <c r="G229" s="86"/>
      <c r="H229" s="86"/>
      <c r="I229" s="86"/>
      <c r="J229" s="91"/>
      <c r="K229" s="52"/>
      <c r="L229" s="86"/>
      <c r="M229" s="89"/>
      <c r="N229" s="89" t="str">
        <f aca="false">IF(OR(E229="",F229="",K229&lt;&gt;"Active"),"",COUNTIFS(E$5:E229,E229,F$5:F229,F229,K$5:K229,"Active"))</f>
        <v/>
      </c>
      <c r="O229" s="89" t="str">
        <f aca="false">IF(N229="","",E229&amp;"|"&amp;F229&amp;"|"&amp;N229)</f>
        <v/>
      </c>
      <c r="P229" s="85" t="str">
        <f aca="false">IF(N229="","",IF(N229&gt;Settings!$B$7,"Over limit",IF(N229=Settings!$B$7,"Class full","OK")))</f>
        <v/>
      </c>
    </row>
    <row r="230" customFormat="false" ht="19.5" hidden="false" customHeight="true" outlineLevel="0" collapsed="false">
      <c r="A230" s="85" t="str">
        <f aca="false">IF(B230="","","S"&amp;TEXT(ROW()-4,"0000"))</f>
        <v/>
      </c>
      <c r="B230" s="86"/>
      <c r="C230" s="52"/>
      <c r="D230" s="91"/>
      <c r="E230" s="52"/>
      <c r="F230" s="52"/>
      <c r="G230" s="86"/>
      <c r="H230" s="86"/>
      <c r="I230" s="86"/>
      <c r="J230" s="91"/>
      <c r="K230" s="52"/>
      <c r="L230" s="86"/>
      <c r="M230" s="89"/>
      <c r="N230" s="89" t="str">
        <f aca="false">IF(OR(E230="",F230="",K230&lt;&gt;"Active"),"",COUNTIFS(E$5:E230,E230,F$5:F230,F230,K$5:K230,"Active"))</f>
        <v/>
      </c>
      <c r="O230" s="89" t="str">
        <f aca="false">IF(N230="","",E230&amp;"|"&amp;F230&amp;"|"&amp;N230)</f>
        <v/>
      </c>
      <c r="P230" s="85" t="str">
        <f aca="false">IF(N230="","",IF(N230&gt;Settings!$B$7,"Over limit",IF(N230=Settings!$B$7,"Class full","OK")))</f>
        <v/>
      </c>
    </row>
    <row r="231" customFormat="false" ht="19.5" hidden="false" customHeight="true" outlineLevel="0" collapsed="false">
      <c r="A231" s="85" t="str">
        <f aca="false">IF(B231="","","S"&amp;TEXT(ROW()-4,"0000"))</f>
        <v/>
      </c>
      <c r="B231" s="86"/>
      <c r="C231" s="52"/>
      <c r="D231" s="91"/>
      <c r="E231" s="52"/>
      <c r="F231" s="52"/>
      <c r="G231" s="86"/>
      <c r="H231" s="86"/>
      <c r="I231" s="86"/>
      <c r="J231" s="91"/>
      <c r="K231" s="52"/>
      <c r="L231" s="86"/>
      <c r="M231" s="89"/>
      <c r="N231" s="89" t="str">
        <f aca="false">IF(OR(E231="",F231="",K231&lt;&gt;"Active"),"",COUNTIFS(E$5:E231,E231,F$5:F231,F231,K$5:K231,"Active"))</f>
        <v/>
      </c>
      <c r="O231" s="89" t="str">
        <f aca="false">IF(N231="","",E231&amp;"|"&amp;F231&amp;"|"&amp;N231)</f>
        <v/>
      </c>
      <c r="P231" s="85" t="str">
        <f aca="false">IF(N231="","",IF(N231&gt;Settings!$B$7,"Over limit",IF(N231=Settings!$B$7,"Class full","OK")))</f>
        <v/>
      </c>
    </row>
    <row r="232" customFormat="false" ht="19.5" hidden="false" customHeight="true" outlineLevel="0" collapsed="false">
      <c r="A232" s="85" t="str">
        <f aca="false">IF(B232="","","S"&amp;TEXT(ROW()-4,"0000"))</f>
        <v/>
      </c>
      <c r="B232" s="86"/>
      <c r="C232" s="52"/>
      <c r="D232" s="91"/>
      <c r="E232" s="52"/>
      <c r="F232" s="52"/>
      <c r="G232" s="86"/>
      <c r="H232" s="86"/>
      <c r="I232" s="86"/>
      <c r="J232" s="91"/>
      <c r="K232" s="52"/>
      <c r="L232" s="86"/>
      <c r="M232" s="89"/>
      <c r="N232" s="89" t="str">
        <f aca="false">IF(OR(E232="",F232="",K232&lt;&gt;"Active"),"",COUNTIFS(E$5:E232,E232,F$5:F232,F232,K$5:K232,"Active"))</f>
        <v/>
      </c>
      <c r="O232" s="89" t="str">
        <f aca="false">IF(N232="","",E232&amp;"|"&amp;F232&amp;"|"&amp;N232)</f>
        <v/>
      </c>
      <c r="P232" s="85" t="str">
        <f aca="false">IF(N232="","",IF(N232&gt;Settings!$B$7,"Over limit",IF(N232=Settings!$B$7,"Class full","OK")))</f>
        <v/>
      </c>
    </row>
    <row r="233" customFormat="false" ht="19.5" hidden="false" customHeight="true" outlineLevel="0" collapsed="false">
      <c r="A233" s="85" t="str">
        <f aca="false">IF(B233="","","S"&amp;TEXT(ROW()-4,"0000"))</f>
        <v/>
      </c>
      <c r="B233" s="86"/>
      <c r="C233" s="52"/>
      <c r="D233" s="91"/>
      <c r="E233" s="52"/>
      <c r="F233" s="52"/>
      <c r="G233" s="86"/>
      <c r="H233" s="86"/>
      <c r="I233" s="86"/>
      <c r="J233" s="91"/>
      <c r="K233" s="52"/>
      <c r="L233" s="86"/>
      <c r="M233" s="89"/>
      <c r="N233" s="89" t="str">
        <f aca="false">IF(OR(E233="",F233="",K233&lt;&gt;"Active"),"",COUNTIFS(E$5:E233,E233,F$5:F233,F233,K$5:K233,"Active"))</f>
        <v/>
      </c>
      <c r="O233" s="89" t="str">
        <f aca="false">IF(N233="","",E233&amp;"|"&amp;F233&amp;"|"&amp;N233)</f>
        <v/>
      </c>
      <c r="P233" s="85" t="str">
        <f aca="false">IF(N233="","",IF(N233&gt;Settings!$B$7,"Over limit",IF(N233=Settings!$B$7,"Class full","OK")))</f>
        <v/>
      </c>
    </row>
    <row r="234" customFormat="false" ht="19.5" hidden="false" customHeight="true" outlineLevel="0" collapsed="false">
      <c r="A234" s="85" t="str">
        <f aca="false">IF(B234="","","S"&amp;TEXT(ROW()-4,"0000"))</f>
        <v/>
      </c>
      <c r="B234" s="86"/>
      <c r="C234" s="52"/>
      <c r="D234" s="91"/>
      <c r="E234" s="52"/>
      <c r="F234" s="52"/>
      <c r="G234" s="86"/>
      <c r="H234" s="86"/>
      <c r="I234" s="86"/>
      <c r="J234" s="91"/>
      <c r="K234" s="52"/>
      <c r="L234" s="86"/>
      <c r="M234" s="89"/>
      <c r="N234" s="89" t="str">
        <f aca="false">IF(OR(E234="",F234="",K234&lt;&gt;"Active"),"",COUNTIFS(E$5:E234,E234,F$5:F234,F234,K$5:K234,"Active"))</f>
        <v/>
      </c>
      <c r="O234" s="89" t="str">
        <f aca="false">IF(N234="","",E234&amp;"|"&amp;F234&amp;"|"&amp;N234)</f>
        <v/>
      </c>
      <c r="P234" s="85" t="str">
        <f aca="false">IF(N234="","",IF(N234&gt;Settings!$B$7,"Over limit",IF(N234=Settings!$B$7,"Class full","OK")))</f>
        <v/>
      </c>
    </row>
    <row r="235" customFormat="false" ht="19.5" hidden="false" customHeight="true" outlineLevel="0" collapsed="false">
      <c r="A235" s="85" t="str">
        <f aca="false">IF(B235="","","S"&amp;TEXT(ROW()-4,"0000"))</f>
        <v/>
      </c>
      <c r="B235" s="86"/>
      <c r="C235" s="52"/>
      <c r="D235" s="91"/>
      <c r="E235" s="52"/>
      <c r="F235" s="52"/>
      <c r="G235" s="86"/>
      <c r="H235" s="86"/>
      <c r="I235" s="86"/>
      <c r="J235" s="91"/>
      <c r="K235" s="52"/>
      <c r="L235" s="86"/>
      <c r="M235" s="89"/>
      <c r="N235" s="89" t="str">
        <f aca="false">IF(OR(E235="",F235="",K235&lt;&gt;"Active"),"",COUNTIFS(E$5:E235,E235,F$5:F235,F235,K$5:K235,"Active"))</f>
        <v/>
      </c>
      <c r="O235" s="89" t="str">
        <f aca="false">IF(N235="","",E235&amp;"|"&amp;F235&amp;"|"&amp;N235)</f>
        <v/>
      </c>
      <c r="P235" s="85" t="str">
        <f aca="false">IF(N235="","",IF(N235&gt;Settings!$B$7,"Over limit",IF(N235=Settings!$B$7,"Class full","OK")))</f>
        <v/>
      </c>
    </row>
    <row r="236" customFormat="false" ht="19.5" hidden="false" customHeight="true" outlineLevel="0" collapsed="false">
      <c r="A236" s="85" t="str">
        <f aca="false">IF(B236="","","S"&amp;TEXT(ROW()-4,"0000"))</f>
        <v/>
      </c>
      <c r="B236" s="86"/>
      <c r="C236" s="52"/>
      <c r="D236" s="91"/>
      <c r="E236" s="52"/>
      <c r="F236" s="52"/>
      <c r="G236" s="86"/>
      <c r="H236" s="86"/>
      <c r="I236" s="86"/>
      <c r="J236" s="91"/>
      <c r="K236" s="52"/>
      <c r="L236" s="86"/>
      <c r="M236" s="89"/>
      <c r="N236" s="89" t="str">
        <f aca="false">IF(OR(E236="",F236="",K236&lt;&gt;"Active"),"",COUNTIFS(E$5:E236,E236,F$5:F236,F236,K$5:K236,"Active"))</f>
        <v/>
      </c>
      <c r="O236" s="89" t="str">
        <f aca="false">IF(N236="","",E236&amp;"|"&amp;F236&amp;"|"&amp;N236)</f>
        <v/>
      </c>
      <c r="P236" s="85" t="str">
        <f aca="false">IF(N236="","",IF(N236&gt;Settings!$B$7,"Over limit",IF(N236=Settings!$B$7,"Class full","OK")))</f>
        <v/>
      </c>
    </row>
    <row r="237" customFormat="false" ht="19.5" hidden="false" customHeight="true" outlineLevel="0" collapsed="false">
      <c r="A237" s="85" t="str">
        <f aca="false">IF(B237="","","S"&amp;TEXT(ROW()-4,"0000"))</f>
        <v/>
      </c>
      <c r="B237" s="86"/>
      <c r="C237" s="52"/>
      <c r="D237" s="91"/>
      <c r="E237" s="52"/>
      <c r="F237" s="52"/>
      <c r="G237" s="86"/>
      <c r="H237" s="86"/>
      <c r="I237" s="86"/>
      <c r="J237" s="91"/>
      <c r="K237" s="52"/>
      <c r="L237" s="86"/>
      <c r="M237" s="89"/>
      <c r="N237" s="89" t="str">
        <f aca="false">IF(OR(E237="",F237="",K237&lt;&gt;"Active"),"",COUNTIFS(E$5:E237,E237,F$5:F237,F237,K$5:K237,"Active"))</f>
        <v/>
      </c>
      <c r="O237" s="89" t="str">
        <f aca="false">IF(N237="","",E237&amp;"|"&amp;F237&amp;"|"&amp;N237)</f>
        <v/>
      </c>
      <c r="P237" s="85" t="str">
        <f aca="false">IF(N237="","",IF(N237&gt;Settings!$B$7,"Over limit",IF(N237=Settings!$B$7,"Class full","OK")))</f>
        <v/>
      </c>
    </row>
    <row r="238" customFormat="false" ht="19.5" hidden="false" customHeight="true" outlineLevel="0" collapsed="false">
      <c r="A238" s="85" t="str">
        <f aca="false">IF(B238="","","S"&amp;TEXT(ROW()-4,"0000"))</f>
        <v/>
      </c>
      <c r="B238" s="86"/>
      <c r="C238" s="52"/>
      <c r="D238" s="91"/>
      <c r="E238" s="52"/>
      <c r="F238" s="52"/>
      <c r="G238" s="86"/>
      <c r="H238" s="86"/>
      <c r="I238" s="86"/>
      <c r="J238" s="91"/>
      <c r="K238" s="52"/>
      <c r="L238" s="86"/>
      <c r="M238" s="89"/>
      <c r="N238" s="89" t="str">
        <f aca="false">IF(OR(E238="",F238="",K238&lt;&gt;"Active"),"",COUNTIFS(E$5:E238,E238,F$5:F238,F238,K$5:K238,"Active"))</f>
        <v/>
      </c>
      <c r="O238" s="89" t="str">
        <f aca="false">IF(N238="","",E238&amp;"|"&amp;F238&amp;"|"&amp;N238)</f>
        <v/>
      </c>
      <c r="P238" s="85" t="str">
        <f aca="false">IF(N238="","",IF(N238&gt;Settings!$B$7,"Over limit",IF(N238=Settings!$B$7,"Class full","OK")))</f>
        <v/>
      </c>
    </row>
    <row r="239" customFormat="false" ht="19.5" hidden="false" customHeight="true" outlineLevel="0" collapsed="false">
      <c r="A239" s="85" t="str">
        <f aca="false">IF(B239="","","S"&amp;TEXT(ROW()-4,"0000"))</f>
        <v/>
      </c>
      <c r="B239" s="86"/>
      <c r="C239" s="52"/>
      <c r="D239" s="91"/>
      <c r="E239" s="52"/>
      <c r="F239" s="52"/>
      <c r="G239" s="86"/>
      <c r="H239" s="86"/>
      <c r="I239" s="86"/>
      <c r="J239" s="91"/>
      <c r="K239" s="52"/>
      <c r="L239" s="86"/>
      <c r="M239" s="89"/>
      <c r="N239" s="89" t="str">
        <f aca="false">IF(OR(E239="",F239="",K239&lt;&gt;"Active"),"",COUNTIFS(E$5:E239,E239,F$5:F239,F239,K$5:K239,"Active"))</f>
        <v/>
      </c>
      <c r="O239" s="89" t="str">
        <f aca="false">IF(N239="","",E239&amp;"|"&amp;F239&amp;"|"&amp;N239)</f>
        <v/>
      </c>
      <c r="P239" s="85" t="str">
        <f aca="false">IF(N239="","",IF(N239&gt;Settings!$B$7,"Over limit",IF(N239=Settings!$B$7,"Class full","OK")))</f>
        <v/>
      </c>
    </row>
    <row r="240" customFormat="false" ht="19.5" hidden="false" customHeight="true" outlineLevel="0" collapsed="false">
      <c r="A240" s="85" t="str">
        <f aca="false">IF(B240="","","S"&amp;TEXT(ROW()-4,"0000"))</f>
        <v/>
      </c>
      <c r="B240" s="86"/>
      <c r="C240" s="52"/>
      <c r="D240" s="91"/>
      <c r="E240" s="52"/>
      <c r="F240" s="52"/>
      <c r="G240" s="86"/>
      <c r="H240" s="86"/>
      <c r="I240" s="86"/>
      <c r="J240" s="91"/>
      <c r="K240" s="52"/>
      <c r="L240" s="86"/>
      <c r="M240" s="89"/>
      <c r="N240" s="89" t="str">
        <f aca="false">IF(OR(E240="",F240="",K240&lt;&gt;"Active"),"",COUNTIFS(E$5:E240,E240,F$5:F240,F240,K$5:K240,"Active"))</f>
        <v/>
      </c>
      <c r="O240" s="89" t="str">
        <f aca="false">IF(N240="","",E240&amp;"|"&amp;F240&amp;"|"&amp;N240)</f>
        <v/>
      </c>
      <c r="P240" s="85" t="str">
        <f aca="false">IF(N240="","",IF(N240&gt;Settings!$B$7,"Over limit",IF(N240=Settings!$B$7,"Class full","OK")))</f>
        <v/>
      </c>
    </row>
    <row r="241" customFormat="false" ht="19.5" hidden="false" customHeight="true" outlineLevel="0" collapsed="false">
      <c r="A241" s="85" t="str">
        <f aca="false">IF(B241="","","S"&amp;TEXT(ROW()-4,"0000"))</f>
        <v/>
      </c>
      <c r="B241" s="86"/>
      <c r="C241" s="52"/>
      <c r="D241" s="91"/>
      <c r="E241" s="52"/>
      <c r="F241" s="52"/>
      <c r="G241" s="86"/>
      <c r="H241" s="86"/>
      <c r="I241" s="86"/>
      <c r="J241" s="91"/>
      <c r="K241" s="52"/>
      <c r="L241" s="86"/>
      <c r="M241" s="89"/>
      <c r="N241" s="89" t="str">
        <f aca="false">IF(OR(E241="",F241="",K241&lt;&gt;"Active"),"",COUNTIFS(E$5:E241,E241,F$5:F241,F241,K$5:K241,"Active"))</f>
        <v/>
      </c>
      <c r="O241" s="89" t="str">
        <f aca="false">IF(N241="","",E241&amp;"|"&amp;F241&amp;"|"&amp;N241)</f>
        <v/>
      </c>
      <c r="P241" s="85" t="str">
        <f aca="false">IF(N241="","",IF(N241&gt;Settings!$B$7,"Over limit",IF(N241=Settings!$B$7,"Class full","OK")))</f>
        <v/>
      </c>
    </row>
    <row r="242" customFormat="false" ht="19.5" hidden="false" customHeight="true" outlineLevel="0" collapsed="false">
      <c r="A242" s="85" t="str">
        <f aca="false">IF(B242="","","S"&amp;TEXT(ROW()-4,"0000"))</f>
        <v/>
      </c>
      <c r="B242" s="86"/>
      <c r="C242" s="52"/>
      <c r="D242" s="91"/>
      <c r="E242" s="52"/>
      <c r="F242" s="52"/>
      <c r="G242" s="86"/>
      <c r="H242" s="86"/>
      <c r="I242" s="86"/>
      <c r="J242" s="91"/>
      <c r="K242" s="52"/>
      <c r="L242" s="86"/>
      <c r="M242" s="89"/>
      <c r="N242" s="89" t="str">
        <f aca="false">IF(OR(E242="",F242="",K242&lt;&gt;"Active"),"",COUNTIFS(E$5:E242,E242,F$5:F242,F242,K$5:K242,"Active"))</f>
        <v/>
      </c>
      <c r="O242" s="89" t="str">
        <f aca="false">IF(N242="","",E242&amp;"|"&amp;F242&amp;"|"&amp;N242)</f>
        <v/>
      </c>
      <c r="P242" s="85" t="str">
        <f aca="false">IF(N242="","",IF(N242&gt;Settings!$B$7,"Over limit",IF(N242=Settings!$B$7,"Class full","OK")))</f>
        <v/>
      </c>
    </row>
    <row r="243" customFormat="false" ht="19.5" hidden="false" customHeight="true" outlineLevel="0" collapsed="false">
      <c r="A243" s="85" t="str">
        <f aca="false">IF(B243="","","S"&amp;TEXT(ROW()-4,"0000"))</f>
        <v/>
      </c>
      <c r="B243" s="86"/>
      <c r="C243" s="52"/>
      <c r="D243" s="91"/>
      <c r="E243" s="52"/>
      <c r="F243" s="52"/>
      <c r="G243" s="86"/>
      <c r="H243" s="86"/>
      <c r="I243" s="86"/>
      <c r="J243" s="91"/>
      <c r="K243" s="52"/>
      <c r="L243" s="86"/>
      <c r="M243" s="89"/>
      <c r="N243" s="89" t="str">
        <f aca="false">IF(OR(E243="",F243="",K243&lt;&gt;"Active"),"",COUNTIFS(E$5:E243,E243,F$5:F243,F243,K$5:K243,"Active"))</f>
        <v/>
      </c>
      <c r="O243" s="89" t="str">
        <f aca="false">IF(N243="","",E243&amp;"|"&amp;F243&amp;"|"&amp;N243)</f>
        <v/>
      </c>
      <c r="P243" s="85" t="str">
        <f aca="false">IF(N243="","",IF(N243&gt;Settings!$B$7,"Over limit",IF(N243=Settings!$B$7,"Class full","OK")))</f>
        <v/>
      </c>
    </row>
    <row r="244" customFormat="false" ht="19.5" hidden="false" customHeight="true" outlineLevel="0" collapsed="false">
      <c r="A244" s="85" t="str">
        <f aca="false">IF(B244="","","S"&amp;TEXT(ROW()-4,"0000"))</f>
        <v/>
      </c>
      <c r="B244" s="86"/>
      <c r="C244" s="52"/>
      <c r="D244" s="91"/>
      <c r="E244" s="52"/>
      <c r="F244" s="52"/>
      <c r="G244" s="86"/>
      <c r="H244" s="86"/>
      <c r="I244" s="86"/>
      <c r="J244" s="91"/>
      <c r="K244" s="52"/>
      <c r="L244" s="86"/>
      <c r="M244" s="89"/>
      <c r="N244" s="89" t="str">
        <f aca="false">IF(OR(E244="",F244="",K244&lt;&gt;"Active"),"",COUNTIFS(E$5:E244,E244,F$5:F244,F244,K$5:K244,"Active"))</f>
        <v/>
      </c>
      <c r="O244" s="89" t="str">
        <f aca="false">IF(N244="","",E244&amp;"|"&amp;F244&amp;"|"&amp;N244)</f>
        <v/>
      </c>
      <c r="P244" s="85" t="str">
        <f aca="false">IF(N244="","",IF(N244&gt;Settings!$B$7,"Over limit",IF(N244=Settings!$B$7,"Class full","OK")))</f>
        <v/>
      </c>
    </row>
    <row r="245" customFormat="false" ht="19.5" hidden="false" customHeight="true" outlineLevel="0" collapsed="false">
      <c r="A245" s="85" t="str">
        <f aca="false">IF(B245="","","S"&amp;TEXT(ROW()-4,"0000"))</f>
        <v/>
      </c>
      <c r="B245" s="86"/>
      <c r="C245" s="52"/>
      <c r="D245" s="91"/>
      <c r="E245" s="52"/>
      <c r="F245" s="52"/>
      <c r="G245" s="86"/>
      <c r="H245" s="86"/>
      <c r="I245" s="86"/>
      <c r="J245" s="91"/>
      <c r="K245" s="52"/>
      <c r="L245" s="86"/>
      <c r="M245" s="89"/>
      <c r="N245" s="89" t="str">
        <f aca="false">IF(OR(E245="",F245="",K245&lt;&gt;"Active"),"",COUNTIFS(E$5:E245,E245,F$5:F245,F245,K$5:K245,"Active"))</f>
        <v/>
      </c>
      <c r="O245" s="89" t="str">
        <f aca="false">IF(N245="","",E245&amp;"|"&amp;F245&amp;"|"&amp;N245)</f>
        <v/>
      </c>
      <c r="P245" s="85" t="str">
        <f aca="false">IF(N245="","",IF(N245&gt;Settings!$B$7,"Over limit",IF(N245=Settings!$B$7,"Class full","OK")))</f>
        <v/>
      </c>
    </row>
    <row r="246" customFormat="false" ht="19.5" hidden="false" customHeight="true" outlineLevel="0" collapsed="false">
      <c r="A246" s="85" t="str">
        <f aca="false">IF(B246="","","S"&amp;TEXT(ROW()-4,"0000"))</f>
        <v/>
      </c>
      <c r="B246" s="86"/>
      <c r="C246" s="52"/>
      <c r="D246" s="91"/>
      <c r="E246" s="52"/>
      <c r="F246" s="52"/>
      <c r="G246" s="86"/>
      <c r="H246" s="86"/>
      <c r="I246" s="86"/>
      <c r="J246" s="91"/>
      <c r="K246" s="52"/>
      <c r="L246" s="86"/>
      <c r="M246" s="89"/>
      <c r="N246" s="89" t="str">
        <f aca="false">IF(OR(E246="",F246="",K246&lt;&gt;"Active"),"",COUNTIFS(E$5:E246,E246,F$5:F246,F246,K$5:K246,"Active"))</f>
        <v/>
      </c>
      <c r="O246" s="89" t="str">
        <f aca="false">IF(N246="","",E246&amp;"|"&amp;F246&amp;"|"&amp;N246)</f>
        <v/>
      </c>
      <c r="P246" s="85" t="str">
        <f aca="false">IF(N246="","",IF(N246&gt;Settings!$B$7,"Over limit",IF(N246=Settings!$B$7,"Class full","OK")))</f>
        <v/>
      </c>
    </row>
    <row r="247" customFormat="false" ht="19.5" hidden="false" customHeight="true" outlineLevel="0" collapsed="false">
      <c r="A247" s="85" t="str">
        <f aca="false">IF(B247="","","S"&amp;TEXT(ROW()-4,"0000"))</f>
        <v/>
      </c>
      <c r="B247" s="86"/>
      <c r="C247" s="52"/>
      <c r="D247" s="91"/>
      <c r="E247" s="52"/>
      <c r="F247" s="52"/>
      <c r="G247" s="86"/>
      <c r="H247" s="86"/>
      <c r="I247" s="86"/>
      <c r="J247" s="91"/>
      <c r="K247" s="52"/>
      <c r="L247" s="86"/>
      <c r="M247" s="89"/>
      <c r="N247" s="89" t="str">
        <f aca="false">IF(OR(E247="",F247="",K247&lt;&gt;"Active"),"",COUNTIFS(E$5:E247,E247,F$5:F247,F247,K$5:K247,"Active"))</f>
        <v/>
      </c>
      <c r="O247" s="89" t="str">
        <f aca="false">IF(N247="","",E247&amp;"|"&amp;F247&amp;"|"&amp;N247)</f>
        <v/>
      </c>
      <c r="P247" s="85" t="str">
        <f aca="false">IF(N247="","",IF(N247&gt;Settings!$B$7,"Over limit",IF(N247=Settings!$B$7,"Class full","OK")))</f>
        <v/>
      </c>
    </row>
    <row r="248" customFormat="false" ht="19.5" hidden="false" customHeight="true" outlineLevel="0" collapsed="false">
      <c r="A248" s="85" t="str">
        <f aca="false">IF(B248="","","S"&amp;TEXT(ROW()-4,"0000"))</f>
        <v/>
      </c>
      <c r="B248" s="86"/>
      <c r="C248" s="52"/>
      <c r="D248" s="91"/>
      <c r="E248" s="52"/>
      <c r="F248" s="52"/>
      <c r="G248" s="86"/>
      <c r="H248" s="86"/>
      <c r="I248" s="86"/>
      <c r="J248" s="91"/>
      <c r="K248" s="52"/>
      <c r="L248" s="86"/>
      <c r="M248" s="89"/>
      <c r="N248" s="89" t="str">
        <f aca="false">IF(OR(E248="",F248="",K248&lt;&gt;"Active"),"",COUNTIFS(E$5:E248,E248,F$5:F248,F248,K$5:K248,"Active"))</f>
        <v/>
      </c>
      <c r="O248" s="89" t="str">
        <f aca="false">IF(N248="","",E248&amp;"|"&amp;F248&amp;"|"&amp;N248)</f>
        <v/>
      </c>
      <c r="P248" s="85" t="str">
        <f aca="false">IF(N248="","",IF(N248&gt;Settings!$B$7,"Over limit",IF(N248=Settings!$B$7,"Class full","OK")))</f>
        <v/>
      </c>
    </row>
    <row r="249" customFormat="false" ht="19.5" hidden="false" customHeight="true" outlineLevel="0" collapsed="false">
      <c r="A249" s="85" t="str">
        <f aca="false">IF(B249="","","S"&amp;TEXT(ROW()-4,"0000"))</f>
        <v/>
      </c>
      <c r="B249" s="86"/>
      <c r="C249" s="52"/>
      <c r="D249" s="91"/>
      <c r="E249" s="52"/>
      <c r="F249" s="52"/>
      <c r="G249" s="86"/>
      <c r="H249" s="86"/>
      <c r="I249" s="86"/>
      <c r="J249" s="91"/>
      <c r="K249" s="52"/>
      <c r="L249" s="86"/>
      <c r="M249" s="89"/>
      <c r="N249" s="89" t="str">
        <f aca="false">IF(OR(E249="",F249="",K249&lt;&gt;"Active"),"",COUNTIFS(E$5:E249,E249,F$5:F249,F249,K$5:K249,"Active"))</f>
        <v/>
      </c>
      <c r="O249" s="89" t="str">
        <f aca="false">IF(N249="","",E249&amp;"|"&amp;F249&amp;"|"&amp;N249)</f>
        <v/>
      </c>
      <c r="P249" s="85" t="str">
        <f aca="false">IF(N249="","",IF(N249&gt;Settings!$B$7,"Over limit",IF(N249=Settings!$B$7,"Class full","OK")))</f>
        <v/>
      </c>
    </row>
    <row r="250" customFormat="false" ht="19.5" hidden="false" customHeight="true" outlineLevel="0" collapsed="false">
      <c r="A250" s="85" t="str">
        <f aca="false">IF(B250="","","S"&amp;TEXT(ROW()-4,"0000"))</f>
        <v/>
      </c>
      <c r="B250" s="86"/>
      <c r="C250" s="52"/>
      <c r="D250" s="91"/>
      <c r="E250" s="52"/>
      <c r="F250" s="52"/>
      <c r="G250" s="86"/>
      <c r="H250" s="86"/>
      <c r="I250" s="86"/>
      <c r="J250" s="91"/>
      <c r="K250" s="52"/>
      <c r="L250" s="86"/>
      <c r="M250" s="89"/>
      <c r="N250" s="89" t="str">
        <f aca="false">IF(OR(E250="",F250="",K250&lt;&gt;"Active"),"",COUNTIFS(E$5:E250,E250,F$5:F250,F250,K$5:K250,"Active"))</f>
        <v/>
      </c>
      <c r="O250" s="89" t="str">
        <f aca="false">IF(N250="","",E250&amp;"|"&amp;F250&amp;"|"&amp;N250)</f>
        <v/>
      </c>
      <c r="P250" s="85" t="str">
        <f aca="false">IF(N250="","",IF(N250&gt;Settings!$B$7,"Over limit",IF(N250=Settings!$B$7,"Class full","OK")))</f>
        <v/>
      </c>
    </row>
    <row r="251" customFormat="false" ht="19.5" hidden="false" customHeight="true" outlineLevel="0" collapsed="false">
      <c r="A251" s="85" t="str">
        <f aca="false">IF(B251="","","S"&amp;TEXT(ROW()-4,"0000"))</f>
        <v/>
      </c>
      <c r="B251" s="86"/>
      <c r="C251" s="52"/>
      <c r="D251" s="91"/>
      <c r="E251" s="52"/>
      <c r="F251" s="52"/>
      <c r="G251" s="86"/>
      <c r="H251" s="86"/>
      <c r="I251" s="86"/>
      <c r="J251" s="91"/>
      <c r="K251" s="52"/>
      <c r="L251" s="86"/>
      <c r="M251" s="89"/>
      <c r="N251" s="89" t="str">
        <f aca="false">IF(OR(E251="",F251="",K251&lt;&gt;"Active"),"",COUNTIFS(E$5:E251,E251,F$5:F251,F251,K$5:K251,"Active"))</f>
        <v/>
      </c>
      <c r="O251" s="89" t="str">
        <f aca="false">IF(N251="","",E251&amp;"|"&amp;F251&amp;"|"&amp;N251)</f>
        <v/>
      </c>
      <c r="P251" s="85" t="str">
        <f aca="false">IF(N251="","",IF(N251&gt;Settings!$B$7,"Over limit",IF(N251=Settings!$B$7,"Class full","OK")))</f>
        <v/>
      </c>
    </row>
    <row r="252" customFormat="false" ht="19.5" hidden="false" customHeight="true" outlineLevel="0" collapsed="false">
      <c r="A252" s="85" t="str">
        <f aca="false">IF(B252="","","S"&amp;TEXT(ROW()-4,"0000"))</f>
        <v/>
      </c>
      <c r="B252" s="86"/>
      <c r="C252" s="52"/>
      <c r="D252" s="91"/>
      <c r="E252" s="52"/>
      <c r="F252" s="52"/>
      <c r="G252" s="86"/>
      <c r="H252" s="86"/>
      <c r="I252" s="86"/>
      <c r="J252" s="91"/>
      <c r="K252" s="52"/>
      <c r="L252" s="86"/>
      <c r="M252" s="89"/>
      <c r="N252" s="89" t="str">
        <f aca="false">IF(OR(E252="",F252="",K252&lt;&gt;"Active"),"",COUNTIFS(E$5:E252,E252,F$5:F252,F252,K$5:K252,"Active"))</f>
        <v/>
      </c>
      <c r="O252" s="89" t="str">
        <f aca="false">IF(N252="","",E252&amp;"|"&amp;F252&amp;"|"&amp;N252)</f>
        <v/>
      </c>
      <c r="P252" s="85" t="str">
        <f aca="false">IF(N252="","",IF(N252&gt;Settings!$B$7,"Over limit",IF(N252=Settings!$B$7,"Class full","OK")))</f>
        <v/>
      </c>
    </row>
    <row r="253" customFormat="false" ht="19.5" hidden="false" customHeight="true" outlineLevel="0" collapsed="false">
      <c r="A253" s="85" t="str">
        <f aca="false">IF(B253="","","S"&amp;TEXT(ROW()-4,"0000"))</f>
        <v/>
      </c>
      <c r="B253" s="86"/>
      <c r="C253" s="52"/>
      <c r="D253" s="91"/>
      <c r="E253" s="52"/>
      <c r="F253" s="52"/>
      <c r="G253" s="86"/>
      <c r="H253" s="86"/>
      <c r="I253" s="86"/>
      <c r="J253" s="91"/>
      <c r="K253" s="52"/>
      <c r="L253" s="86"/>
      <c r="M253" s="89"/>
      <c r="N253" s="89" t="str">
        <f aca="false">IF(OR(E253="",F253="",K253&lt;&gt;"Active"),"",COUNTIFS(E$5:E253,E253,F$5:F253,F253,K$5:K253,"Active"))</f>
        <v/>
      </c>
      <c r="O253" s="89" t="str">
        <f aca="false">IF(N253="","",E253&amp;"|"&amp;F253&amp;"|"&amp;N253)</f>
        <v/>
      </c>
      <c r="P253" s="85" t="str">
        <f aca="false">IF(N253="","",IF(N253&gt;Settings!$B$7,"Over limit",IF(N253=Settings!$B$7,"Class full","OK")))</f>
        <v/>
      </c>
    </row>
    <row r="254" customFormat="false" ht="19.5" hidden="false" customHeight="true" outlineLevel="0" collapsed="false">
      <c r="A254" s="85" t="str">
        <f aca="false">IF(B254="","","S"&amp;TEXT(ROW()-4,"0000"))</f>
        <v/>
      </c>
      <c r="B254" s="86"/>
      <c r="C254" s="52"/>
      <c r="D254" s="91"/>
      <c r="E254" s="52"/>
      <c r="F254" s="52"/>
      <c r="G254" s="86"/>
      <c r="H254" s="86"/>
      <c r="I254" s="86"/>
      <c r="J254" s="91"/>
      <c r="K254" s="52"/>
      <c r="L254" s="86"/>
      <c r="M254" s="89"/>
      <c r="N254" s="89" t="str">
        <f aca="false">IF(OR(E254="",F254="",K254&lt;&gt;"Active"),"",COUNTIFS(E$5:E254,E254,F$5:F254,F254,K$5:K254,"Active"))</f>
        <v/>
      </c>
      <c r="O254" s="89" t="str">
        <f aca="false">IF(N254="","",E254&amp;"|"&amp;F254&amp;"|"&amp;N254)</f>
        <v/>
      </c>
      <c r="P254" s="85" t="str">
        <f aca="false">IF(N254="","",IF(N254&gt;Settings!$B$7,"Over limit",IF(N254=Settings!$B$7,"Class full","OK")))</f>
        <v/>
      </c>
    </row>
    <row r="255" customFormat="false" ht="19.5" hidden="false" customHeight="true" outlineLevel="0" collapsed="false">
      <c r="A255" s="85" t="str">
        <f aca="false">IF(B255="","","S"&amp;TEXT(ROW()-4,"0000"))</f>
        <v/>
      </c>
      <c r="B255" s="86"/>
      <c r="C255" s="52"/>
      <c r="D255" s="91"/>
      <c r="E255" s="52"/>
      <c r="F255" s="52"/>
      <c r="G255" s="86"/>
      <c r="H255" s="86"/>
      <c r="I255" s="86"/>
      <c r="J255" s="91"/>
      <c r="K255" s="52"/>
      <c r="L255" s="86"/>
      <c r="M255" s="89"/>
      <c r="N255" s="89" t="str">
        <f aca="false">IF(OR(E255="",F255="",K255&lt;&gt;"Active"),"",COUNTIFS(E$5:E255,E255,F$5:F255,F255,K$5:K255,"Active"))</f>
        <v/>
      </c>
      <c r="O255" s="89" t="str">
        <f aca="false">IF(N255="","",E255&amp;"|"&amp;F255&amp;"|"&amp;N255)</f>
        <v/>
      </c>
      <c r="P255" s="85" t="str">
        <f aca="false">IF(N255="","",IF(N255&gt;Settings!$B$7,"Over limit",IF(N255=Settings!$B$7,"Class full","OK")))</f>
        <v/>
      </c>
    </row>
    <row r="256" customFormat="false" ht="19.5" hidden="false" customHeight="true" outlineLevel="0" collapsed="false">
      <c r="A256" s="85" t="str">
        <f aca="false">IF(B256="","","S"&amp;TEXT(ROW()-4,"0000"))</f>
        <v/>
      </c>
      <c r="B256" s="86"/>
      <c r="C256" s="52"/>
      <c r="D256" s="91"/>
      <c r="E256" s="52"/>
      <c r="F256" s="52"/>
      <c r="G256" s="86"/>
      <c r="H256" s="86"/>
      <c r="I256" s="86"/>
      <c r="J256" s="91"/>
      <c r="K256" s="52"/>
      <c r="L256" s="86"/>
      <c r="M256" s="89"/>
      <c r="N256" s="89" t="str">
        <f aca="false">IF(OR(E256="",F256="",K256&lt;&gt;"Active"),"",COUNTIFS(E$5:E256,E256,F$5:F256,F256,K$5:K256,"Active"))</f>
        <v/>
      </c>
      <c r="O256" s="89" t="str">
        <f aca="false">IF(N256="","",E256&amp;"|"&amp;F256&amp;"|"&amp;N256)</f>
        <v/>
      </c>
      <c r="P256" s="85" t="str">
        <f aca="false">IF(N256="","",IF(N256&gt;Settings!$B$7,"Over limit",IF(N256=Settings!$B$7,"Class full","OK")))</f>
        <v/>
      </c>
    </row>
    <row r="257" customFormat="false" ht="19.5" hidden="false" customHeight="true" outlineLevel="0" collapsed="false">
      <c r="A257" s="85" t="str">
        <f aca="false">IF(B257="","","S"&amp;TEXT(ROW()-4,"0000"))</f>
        <v/>
      </c>
      <c r="B257" s="86"/>
      <c r="C257" s="52"/>
      <c r="D257" s="91"/>
      <c r="E257" s="52"/>
      <c r="F257" s="52"/>
      <c r="G257" s="86"/>
      <c r="H257" s="86"/>
      <c r="I257" s="86"/>
      <c r="J257" s="91"/>
      <c r="K257" s="52"/>
      <c r="L257" s="86"/>
      <c r="M257" s="89"/>
      <c r="N257" s="89" t="str">
        <f aca="false">IF(OR(E257="",F257="",K257&lt;&gt;"Active"),"",COUNTIFS(E$5:E257,E257,F$5:F257,F257,K$5:K257,"Active"))</f>
        <v/>
      </c>
      <c r="O257" s="89" t="str">
        <f aca="false">IF(N257="","",E257&amp;"|"&amp;F257&amp;"|"&amp;N257)</f>
        <v/>
      </c>
      <c r="P257" s="85" t="str">
        <f aca="false">IF(N257="","",IF(N257&gt;Settings!$B$7,"Over limit",IF(N257=Settings!$B$7,"Class full","OK")))</f>
        <v/>
      </c>
    </row>
    <row r="258" customFormat="false" ht="19.5" hidden="false" customHeight="true" outlineLevel="0" collapsed="false">
      <c r="A258" s="85" t="str">
        <f aca="false">IF(B258="","","S"&amp;TEXT(ROW()-4,"0000"))</f>
        <v/>
      </c>
      <c r="B258" s="86"/>
      <c r="C258" s="52"/>
      <c r="D258" s="91"/>
      <c r="E258" s="52"/>
      <c r="F258" s="52"/>
      <c r="G258" s="86"/>
      <c r="H258" s="86"/>
      <c r="I258" s="86"/>
      <c r="J258" s="91"/>
      <c r="K258" s="52"/>
      <c r="L258" s="86"/>
      <c r="M258" s="89"/>
      <c r="N258" s="89" t="str">
        <f aca="false">IF(OR(E258="",F258="",K258&lt;&gt;"Active"),"",COUNTIFS(E$5:E258,E258,F$5:F258,F258,K$5:K258,"Active"))</f>
        <v/>
      </c>
      <c r="O258" s="89" t="str">
        <f aca="false">IF(N258="","",E258&amp;"|"&amp;F258&amp;"|"&amp;N258)</f>
        <v/>
      </c>
      <c r="P258" s="85" t="str">
        <f aca="false">IF(N258="","",IF(N258&gt;Settings!$B$7,"Over limit",IF(N258=Settings!$B$7,"Class full","OK")))</f>
        <v/>
      </c>
    </row>
    <row r="259" customFormat="false" ht="19.5" hidden="false" customHeight="true" outlineLevel="0" collapsed="false">
      <c r="A259" s="85" t="str">
        <f aca="false">IF(B259="","","S"&amp;TEXT(ROW()-4,"0000"))</f>
        <v/>
      </c>
      <c r="B259" s="86"/>
      <c r="C259" s="52"/>
      <c r="D259" s="91"/>
      <c r="E259" s="52"/>
      <c r="F259" s="52"/>
      <c r="G259" s="86"/>
      <c r="H259" s="86"/>
      <c r="I259" s="86"/>
      <c r="J259" s="91"/>
      <c r="K259" s="52"/>
      <c r="L259" s="86"/>
      <c r="M259" s="89"/>
      <c r="N259" s="89" t="str">
        <f aca="false">IF(OR(E259="",F259="",K259&lt;&gt;"Active"),"",COUNTIFS(E$5:E259,E259,F$5:F259,F259,K$5:K259,"Active"))</f>
        <v/>
      </c>
      <c r="O259" s="89" t="str">
        <f aca="false">IF(N259="","",E259&amp;"|"&amp;F259&amp;"|"&amp;N259)</f>
        <v/>
      </c>
      <c r="P259" s="85" t="str">
        <f aca="false">IF(N259="","",IF(N259&gt;Settings!$B$7,"Over limit",IF(N259=Settings!$B$7,"Class full","OK")))</f>
        <v/>
      </c>
    </row>
    <row r="260" customFormat="false" ht="19.5" hidden="false" customHeight="true" outlineLevel="0" collapsed="false">
      <c r="A260" s="85" t="str">
        <f aca="false">IF(B260="","","S"&amp;TEXT(ROW()-4,"0000"))</f>
        <v/>
      </c>
      <c r="B260" s="86"/>
      <c r="C260" s="52"/>
      <c r="D260" s="91"/>
      <c r="E260" s="52"/>
      <c r="F260" s="52"/>
      <c r="G260" s="86"/>
      <c r="H260" s="86"/>
      <c r="I260" s="86"/>
      <c r="J260" s="91"/>
      <c r="K260" s="52"/>
      <c r="L260" s="86"/>
      <c r="M260" s="89"/>
      <c r="N260" s="89" t="str">
        <f aca="false">IF(OR(E260="",F260="",K260&lt;&gt;"Active"),"",COUNTIFS(E$5:E260,E260,F$5:F260,F260,K$5:K260,"Active"))</f>
        <v/>
      </c>
      <c r="O260" s="89" t="str">
        <f aca="false">IF(N260="","",E260&amp;"|"&amp;F260&amp;"|"&amp;N260)</f>
        <v/>
      </c>
      <c r="P260" s="85" t="str">
        <f aca="false">IF(N260="","",IF(N260&gt;Settings!$B$7,"Over limit",IF(N260=Settings!$B$7,"Class full","OK")))</f>
        <v/>
      </c>
    </row>
    <row r="261" customFormat="false" ht="19.5" hidden="false" customHeight="true" outlineLevel="0" collapsed="false">
      <c r="A261" s="85" t="str">
        <f aca="false">IF(B261="","","S"&amp;TEXT(ROW()-4,"0000"))</f>
        <v/>
      </c>
      <c r="B261" s="86"/>
      <c r="C261" s="52"/>
      <c r="D261" s="91"/>
      <c r="E261" s="52"/>
      <c r="F261" s="52"/>
      <c r="G261" s="86"/>
      <c r="H261" s="86"/>
      <c r="I261" s="86"/>
      <c r="J261" s="91"/>
      <c r="K261" s="52"/>
      <c r="L261" s="86"/>
      <c r="M261" s="89"/>
      <c r="N261" s="89" t="str">
        <f aca="false">IF(OR(E261="",F261="",K261&lt;&gt;"Active"),"",COUNTIFS(E$5:E261,E261,F$5:F261,F261,K$5:K261,"Active"))</f>
        <v/>
      </c>
      <c r="O261" s="89" t="str">
        <f aca="false">IF(N261="","",E261&amp;"|"&amp;F261&amp;"|"&amp;N261)</f>
        <v/>
      </c>
      <c r="P261" s="85" t="str">
        <f aca="false">IF(N261="","",IF(N261&gt;Settings!$B$7,"Over limit",IF(N261=Settings!$B$7,"Class full","OK")))</f>
        <v/>
      </c>
    </row>
    <row r="262" customFormat="false" ht="19.5" hidden="false" customHeight="true" outlineLevel="0" collapsed="false">
      <c r="A262" s="85" t="str">
        <f aca="false">IF(B262="","","S"&amp;TEXT(ROW()-4,"0000"))</f>
        <v/>
      </c>
      <c r="B262" s="86"/>
      <c r="C262" s="52"/>
      <c r="D262" s="91"/>
      <c r="E262" s="52"/>
      <c r="F262" s="52"/>
      <c r="G262" s="86"/>
      <c r="H262" s="86"/>
      <c r="I262" s="86"/>
      <c r="J262" s="91"/>
      <c r="K262" s="52"/>
      <c r="L262" s="86"/>
      <c r="M262" s="89"/>
      <c r="N262" s="89" t="str">
        <f aca="false">IF(OR(E262="",F262="",K262&lt;&gt;"Active"),"",COUNTIFS(E$5:E262,E262,F$5:F262,F262,K$5:K262,"Active"))</f>
        <v/>
      </c>
      <c r="O262" s="89" t="str">
        <f aca="false">IF(N262="","",E262&amp;"|"&amp;F262&amp;"|"&amp;N262)</f>
        <v/>
      </c>
      <c r="P262" s="85" t="str">
        <f aca="false">IF(N262="","",IF(N262&gt;Settings!$B$7,"Over limit",IF(N262=Settings!$B$7,"Class full","OK")))</f>
        <v/>
      </c>
    </row>
    <row r="263" customFormat="false" ht="19.5" hidden="false" customHeight="true" outlineLevel="0" collapsed="false">
      <c r="A263" s="85" t="str">
        <f aca="false">IF(B263="","","S"&amp;TEXT(ROW()-4,"0000"))</f>
        <v/>
      </c>
      <c r="B263" s="86"/>
      <c r="C263" s="52"/>
      <c r="D263" s="91"/>
      <c r="E263" s="52"/>
      <c r="F263" s="52"/>
      <c r="G263" s="86"/>
      <c r="H263" s="86"/>
      <c r="I263" s="86"/>
      <c r="J263" s="91"/>
      <c r="K263" s="52"/>
      <c r="L263" s="86"/>
      <c r="M263" s="89"/>
      <c r="N263" s="89" t="str">
        <f aca="false">IF(OR(E263="",F263="",K263&lt;&gt;"Active"),"",COUNTIFS(E$5:E263,E263,F$5:F263,F263,K$5:K263,"Active"))</f>
        <v/>
      </c>
      <c r="O263" s="89" t="str">
        <f aca="false">IF(N263="","",E263&amp;"|"&amp;F263&amp;"|"&amp;N263)</f>
        <v/>
      </c>
      <c r="P263" s="85" t="str">
        <f aca="false">IF(N263="","",IF(N263&gt;Settings!$B$7,"Over limit",IF(N263=Settings!$B$7,"Class full","OK")))</f>
        <v/>
      </c>
    </row>
    <row r="264" customFormat="false" ht="19.5" hidden="false" customHeight="true" outlineLevel="0" collapsed="false">
      <c r="A264" s="85" t="str">
        <f aca="false">IF(B264="","","S"&amp;TEXT(ROW()-4,"0000"))</f>
        <v/>
      </c>
      <c r="B264" s="86"/>
      <c r="C264" s="52"/>
      <c r="D264" s="91"/>
      <c r="E264" s="52"/>
      <c r="F264" s="52"/>
      <c r="G264" s="86"/>
      <c r="H264" s="86"/>
      <c r="I264" s="86"/>
      <c r="J264" s="91"/>
      <c r="K264" s="52"/>
      <c r="L264" s="86"/>
      <c r="M264" s="89"/>
      <c r="N264" s="89" t="str">
        <f aca="false">IF(OR(E264="",F264="",K264&lt;&gt;"Active"),"",COUNTIFS(E$5:E264,E264,F$5:F264,F264,K$5:K264,"Active"))</f>
        <v/>
      </c>
      <c r="O264" s="89" t="str">
        <f aca="false">IF(N264="","",E264&amp;"|"&amp;F264&amp;"|"&amp;N264)</f>
        <v/>
      </c>
      <c r="P264" s="85" t="str">
        <f aca="false">IF(N264="","",IF(N264&gt;Settings!$B$7,"Over limit",IF(N264=Settings!$B$7,"Class full","OK")))</f>
        <v/>
      </c>
    </row>
    <row r="265" customFormat="false" ht="19.5" hidden="false" customHeight="true" outlineLevel="0" collapsed="false">
      <c r="A265" s="85" t="str">
        <f aca="false">IF(B265="","","S"&amp;TEXT(ROW()-4,"0000"))</f>
        <v/>
      </c>
      <c r="B265" s="86"/>
      <c r="C265" s="52"/>
      <c r="D265" s="91"/>
      <c r="E265" s="52"/>
      <c r="F265" s="52"/>
      <c r="G265" s="86"/>
      <c r="H265" s="86"/>
      <c r="I265" s="86"/>
      <c r="J265" s="91"/>
      <c r="K265" s="52"/>
      <c r="L265" s="86"/>
      <c r="M265" s="89"/>
      <c r="N265" s="89" t="str">
        <f aca="false">IF(OR(E265="",F265="",K265&lt;&gt;"Active"),"",COUNTIFS(E$5:E265,E265,F$5:F265,F265,K$5:K265,"Active"))</f>
        <v/>
      </c>
      <c r="O265" s="89" t="str">
        <f aca="false">IF(N265="","",E265&amp;"|"&amp;F265&amp;"|"&amp;N265)</f>
        <v/>
      </c>
      <c r="P265" s="85" t="str">
        <f aca="false">IF(N265="","",IF(N265&gt;Settings!$B$7,"Over limit",IF(N265=Settings!$B$7,"Class full","OK")))</f>
        <v/>
      </c>
    </row>
    <row r="266" customFormat="false" ht="19.5" hidden="false" customHeight="true" outlineLevel="0" collapsed="false">
      <c r="A266" s="85" t="str">
        <f aca="false">IF(B266="","","S"&amp;TEXT(ROW()-4,"0000"))</f>
        <v/>
      </c>
      <c r="B266" s="86"/>
      <c r="C266" s="52"/>
      <c r="D266" s="91"/>
      <c r="E266" s="52"/>
      <c r="F266" s="52"/>
      <c r="G266" s="86"/>
      <c r="H266" s="86"/>
      <c r="I266" s="86"/>
      <c r="J266" s="91"/>
      <c r="K266" s="52"/>
      <c r="L266" s="86"/>
      <c r="M266" s="89"/>
      <c r="N266" s="89" t="str">
        <f aca="false">IF(OR(E266="",F266="",K266&lt;&gt;"Active"),"",COUNTIFS(E$5:E266,E266,F$5:F266,F266,K$5:K266,"Active"))</f>
        <v/>
      </c>
      <c r="O266" s="89" t="str">
        <f aca="false">IF(N266="","",E266&amp;"|"&amp;F266&amp;"|"&amp;N266)</f>
        <v/>
      </c>
      <c r="P266" s="85" t="str">
        <f aca="false">IF(N266="","",IF(N266&gt;Settings!$B$7,"Over limit",IF(N266=Settings!$B$7,"Class full","OK")))</f>
        <v/>
      </c>
    </row>
    <row r="267" customFormat="false" ht="19.5" hidden="false" customHeight="true" outlineLevel="0" collapsed="false">
      <c r="A267" s="85" t="str">
        <f aca="false">IF(B267="","","S"&amp;TEXT(ROW()-4,"0000"))</f>
        <v/>
      </c>
      <c r="B267" s="86"/>
      <c r="C267" s="52"/>
      <c r="D267" s="91"/>
      <c r="E267" s="52"/>
      <c r="F267" s="52"/>
      <c r="G267" s="86"/>
      <c r="H267" s="86"/>
      <c r="I267" s="86"/>
      <c r="J267" s="91"/>
      <c r="K267" s="52"/>
      <c r="L267" s="86"/>
      <c r="M267" s="89"/>
      <c r="N267" s="89" t="str">
        <f aca="false">IF(OR(E267="",F267="",K267&lt;&gt;"Active"),"",COUNTIFS(E$5:E267,E267,F$5:F267,F267,K$5:K267,"Active"))</f>
        <v/>
      </c>
      <c r="O267" s="89" t="str">
        <f aca="false">IF(N267="","",E267&amp;"|"&amp;F267&amp;"|"&amp;N267)</f>
        <v/>
      </c>
      <c r="P267" s="85" t="str">
        <f aca="false">IF(N267="","",IF(N267&gt;Settings!$B$7,"Over limit",IF(N267=Settings!$B$7,"Class full","OK")))</f>
        <v/>
      </c>
    </row>
    <row r="268" customFormat="false" ht="19.5" hidden="false" customHeight="true" outlineLevel="0" collapsed="false">
      <c r="A268" s="85" t="str">
        <f aca="false">IF(B268="","","S"&amp;TEXT(ROW()-4,"0000"))</f>
        <v/>
      </c>
      <c r="B268" s="86"/>
      <c r="C268" s="52"/>
      <c r="D268" s="91"/>
      <c r="E268" s="52"/>
      <c r="F268" s="52"/>
      <c r="G268" s="86"/>
      <c r="H268" s="86"/>
      <c r="I268" s="86"/>
      <c r="J268" s="91"/>
      <c r="K268" s="52"/>
      <c r="L268" s="86"/>
      <c r="M268" s="89"/>
      <c r="N268" s="89" t="str">
        <f aca="false">IF(OR(E268="",F268="",K268&lt;&gt;"Active"),"",COUNTIFS(E$5:E268,E268,F$5:F268,F268,K$5:K268,"Active"))</f>
        <v/>
      </c>
      <c r="O268" s="89" t="str">
        <f aca="false">IF(N268="","",E268&amp;"|"&amp;F268&amp;"|"&amp;N268)</f>
        <v/>
      </c>
      <c r="P268" s="85" t="str">
        <f aca="false">IF(N268="","",IF(N268&gt;Settings!$B$7,"Over limit",IF(N268=Settings!$B$7,"Class full","OK")))</f>
        <v/>
      </c>
    </row>
    <row r="269" customFormat="false" ht="19.5" hidden="false" customHeight="true" outlineLevel="0" collapsed="false">
      <c r="A269" s="85" t="str">
        <f aca="false">IF(B269="","","S"&amp;TEXT(ROW()-4,"0000"))</f>
        <v/>
      </c>
      <c r="B269" s="86"/>
      <c r="C269" s="52"/>
      <c r="D269" s="91"/>
      <c r="E269" s="52"/>
      <c r="F269" s="52"/>
      <c r="G269" s="86"/>
      <c r="H269" s="86"/>
      <c r="I269" s="86"/>
      <c r="J269" s="91"/>
      <c r="K269" s="52"/>
      <c r="L269" s="86"/>
      <c r="M269" s="89"/>
      <c r="N269" s="89" t="str">
        <f aca="false">IF(OR(E269="",F269="",K269&lt;&gt;"Active"),"",COUNTIFS(E$5:E269,E269,F$5:F269,F269,K$5:K269,"Active"))</f>
        <v/>
      </c>
      <c r="O269" s="89" t="str">
        <f aca="false">IF(N269="","",E269&amp;"|"&amp;F269&amp;"|"&amp;N269)</f>
        <v/>
      </c>
      <c r="P269" s="85" t="str">
        <f aca="false">IF(N269="","",IF(N269&gt;Settings!$B$7,"Over limit",IF(N269=Settings!$B$7,"Class full","OK")))</f>
        <v/>
      </c>
    </row>
    <row r="270" customFormat="false" ht="19.5" hidden="false" customHeight="true" outlineLevel="0" collapsed="false">
      <c r="A270" s="85" t="str">
        <f aca="false">IF(B270="","","S"&amp;TEXT(ROW()-4,"0000"))</f>
        <v/>
      </c>
      <c r="B270" s="86"/>
      <c r="C270" s="52"/>
      <c r="D270" s="91"/>
      <c r="E270" s="52"/>
      <c r="F270" s="52"/>
      <c r="G270" s="86"/>
      <c r="H270" s="86"/>
      <c r="I270" s="86"/>
      <c r="J270" s="91"/>
      <c r="K270" s="52"/>
      <c r="L270" s="86"/>
      <c r="M270" s="89"/>
      <c r="N270" s="89" t="str">
        <f aca="false">IF(OR(E270="",F270="",K270&lt;&gt;"Active"),"",COUNTIFS(E$5:E270,E270,F$5:F270,F270,K$5:K270,"Active"))</f>
        <v/>
      </c>
      <c r="O270" s="89" t="str">
        <f aca="false">IF(N270="","",E270&amp;"|"&amp;F270&amp;"|"&amp;N270)</f>
        <v/>
      </c>
      <c r="P270" s="85" t="str">
        <f aca="false">IF(N270="","",IF(N270&gt;Settings!$B$7,"Over limit",IF(N270=Settings!$B$7,"Class full","OK")))</f>
        <v/>
      </c>
    </row>
    <row r="271" customFormat="false" ht="19.5" hidden="false" customHeight="true" outlineLevel="0" collapsed="false">
      <c r="A271" s="85" t="str">
        <f aca="false">IF(B271="","","S"&amp;TEXT(ROW()-4,"0000"))</f>
        <v/>
      </c>
      <c r="B271" s="86"/>
      <c r="C271" s="52"/>
      <c r="D271" s="91"/>
      <c r="E271" s="52"/>
      <c r="F271" s="52"/>
      <c r="G271" s="86"/>
      <c r="H271" s="86"/>
      <c r="I271" s="86"/>
      <c r="J271" s="91"/>
      <c r="K271" s="52"/>
      <c r="L271" s="86"/>
      <c r="M271" s="89"/>
      <c r="N271" s="89" t="str">
        <f aca="false">IF(OR(E271="",F271="",K271&lt;&gt;"Active"),"",COUNTIFS(E$5:E271,E271,F$5:F271,F271,K$5:K271,"Active"))</f>
        <v/>
      </c>
      <c r="O271" s="89" t="str">
        <f aca="false">IF(N271="","",E271&amp;"|"&amp;F271&amp;"|"&amp;N271)</f>
        <v/>
      </c>
      <c r="P271" s="85" t="str">
        <f aca="false">IF(N271="","",IF(N271&gt;Settings!$B$7,"Over limit",IF(N271=Settings!$B$7,"Class full","OK")))</f>
        <v/>
      </c>
    </row>
    <row r="272" customFormat="false" ht="19.5" hidden="false" customHeight="true" outlineLevel="0" collapsed="false">
      <c r="A272" s="85" t="str">
        <f aca="false">IF(B272="","","S"&amp;TEXT(ROW()-4,"0000"))</f>
        <v/>
      </c>
      <c r="B272" s="86"/>
      <c r="C272" s="52"/>
      <c r="D272" s="91"/>
      <c r="E272" s="52"/>
      <c r="F272" s="52"/>
      <c r="G272" s="86"/>
      <c r="H272" s="86"/>
      <c r="I272" s="86"/>
      <c r="J272" s="91"/>
      <c r="K272" s="52"/>
      <c r="L272" s="86"/>
      <c r="M272" s="89"/>
      <c r="N272" s="89" t="str">
        <f aca="false">IF(OR(E272="",F272="",K272&lt;&gt;"Active"),"",COUNTIFS(E$5:E272,E272,F$5:F272,F272,K$5:K272,"Active"))</f>
        <v/>
      </c>
      <c r="O272" s="89" t="str">
        <f aca="false">IF(N272="","",E272&amp;"|"&amp;F272&amp;"|"&amp;N272)</f>
        <v/>
      </c>
      <c r="P272" s="85" t="str">
        <f aca="false">IF(N272="","",IF(N272&gt;Settings!$B$7,"Over limit",IF(N272=Settings!$B$7,"Class full","OK")))</f>
        <v/>
      </c>
    </row>
    <row r="273" customFormat="false" ht="19.5" hidden="false" customHeight="true" outlineLevel="0" collapsed="false">
      <c r="A273" s="85" t="str">
        <f aca="false">IF(B273="","","S"&amp;TEXT(ROW()-4,"0000"))</f>
        <v/>
      </c>
      <c r="B273" s="86"/>
      <c r="C273" s="52"/>
      <c r="D273" s="91"/>
      <c r="E273" s="52"/>
      <c r="F273" s="52"/>
      <c r="G273" s="86"/>
      <c r="H273" s="86"/>
      <c r="I273" s="86"/>
      <c r="J273" s="91"/>
      <c r="K273" s="52"/>
      <c r="L273" s="86"/>
      <c r="M273" s="89"/>
      <c r="N273" s="89" t="str">
        <f aca="false">IF(OR(E273="",F273="",K273&lt;&gt;"Active"),"",COUNTIFS(E$5:E273,E273,F$5:F273,F273,K$5:K273,"Active"))</f>
        <v/>
      </c>
      <c r="O273" s="89" t="str">
        <f aca="false">IF(N273="","",E273&amp;"|"&amp;F273&amp;"|"&amp;N273)</f>
        <v/>
      </c>
      <c r="P273" s="85" t="str">
        <f aca="false">IF(N273="","",IF(N273&gt;Settings!$B$7,"Over limit",IF(N273=Settings!$B$7,"Class full","OK")))</f>
        <v/>
      </c>
    </row>
    <row r="274" customFormat="false" ht="19.5" hidden="false" customHeight="true" outlineLevel="0" collapsed="false">
      <c r="A274" s="85" t="str">
        <f aca="false">IF(B274="","","S"&amp;TEXT(ROW()-4,"0000"))</f>
        <v/>
      </c>
      <c r="B274" s="86"/>
      <c r="C274" s="52"/>
      <c r="D274" s="91"/>
      <c r="E274" s="52"/>
      <c r="F274" s="52"/>
      <c r="G274" s="86"/>
      <c r="H274" s="86"/>
      <c r="I274" s="86"/>
      <c r="J274" s="91"/>
      <c r="K274" s="52"/>
      <c r="L274" s="86"/>
      <c r="M274" s="89"/>
      <c r="N274" s="89" t="str">
        <f aca="false">IF(OR(E274="",F274="",K274&lt;&gt;"Active"),"",COUNTIFS(E$5:E274,E274,F$5:F274,F274,K$5:K274,"Active"))</f>
        <v/>
      </c>
      <c r="O274" s="89" t="str">
        <f aca="false">IF(N274="","",E274&amp;"|"&amp;F274&amp;"|"&amp;N274)</f>
        <v/>
      </c>
      <c r="P274" s="85" t="str">
        <f aca="false">IF(N274="","",IF(N274&gt;Settings!$B$7,"Over limit",IF(N274=Settings!$B$7,"Class full","OK")))</f>
        <v/>
      </c>
    </row>
    <row r="275" customFormat="false" ht="19.5" hidden="false" customHeight="true" outlineLevel="0" collapsed="false">
      <c r="A275" s="85" t="str">
        <f aca="false">IF(B275="","","S"&amp;TEXT(ROW()-4,"0000"))</f>
        <v/>
      </c>
      <c r="B275" s="86"/>
      <c r="C275" s="52"/>
      <c r="D275" s="91"/>
      <c r="E275" s="52"/>
      <c r="F275" s="52"/>
      <c r="G275" s="86"/>
      <c r="H275" s="86"/>
      <c r="I275" s="86"/>
      <c r="J275" s="91"/>
      <c r="K275" s="52"/>
      <c r="L275" s="86"/>
      <c r="M275" s="89"/>
      <c r="N275" s="89" t="str">
        <f aca="false">IF(OR(E275="",F275="",K275&lt;&gt;"Active"),"",COUNTIFS(E$5:E275,E275,F$5:F275,F275,K$5:K275,"Active"))</f>
        <v/>
      </c>
      <c r="O275" s="89" t="str">
        <f aca="false">IF(N275="","",E275&amp;"|"&amp;F275&amp;"|"&amp;N275)</f>
        <v/>
      </c>
      <c r="P275" s="85" t="str">
        <f aca="false">IF(N275="","",IF(N275&gt;Settings!$B$7,"Over limit",IF(N275=Settings!$B$7,"Class full","OK")))</f>
        <v/>
      </c>
    </row>
    <row r="276" customFormat="false" ht="19.5" hidden="false" customHeight="true" outlineLevel="0" collapsed="false">
      <c r="A276" s="85" t="str">
        <f aca="false">IF(B276="","","S"&amp;TEXT(ROW()-4,"0000"))</f>
        <v/>
      </c>
      <c r="B276" s="86"/>
      <c r="C276" s="52"/>
      <c r="D276" s="91"/>
      <c r="E276" s="52"/>
      <c r="F276" s="52"/>
      <c r="G276" s="86"/>
      <c r="H276" s="86"/>
      <c r="I276" s="86"/>
      <c r="J276" s="91"/>
      <c r="K276" s="52"/>
      <c r="L276" s="86"/>
      <c r="M276" s="89"/>
      <c r="N276" s="89" t="str">
        <f aca="false">IF(OR(E276="",F276="",K276&lt;&gt;"Active"),"",COUNTIFS(E$5:E276,E276,F$5:F276,F276,K$5:K276,"Active"))</f>
        <v/>
      </c>
      <c r="O276" s="89" t="str">
        <f aca="false">IF(N276="","",E276&amp;"|"&amp;F276&amp;"|"&amp;N276)</f>
        <v/>
      </c>
      <c r="P276" s="85" t="str">
        <f aca="false">IF(N276="","",IF(N276&gt;Settings!$B$7,"Over limit",IF(N276=Settings!$B$7,"Class full","OK")))</f>
        <v/>
      </c>
    </row>
    <row r="277" customFormat="false" ht="19.5" hidden="false" customHeight="true" outlineLevel="0" collapsed="false">
      <c r="A277" s="85" t="str">
        <f aca="false">IF(B277="","","S"&amp;TEXT(ROW()-4,"0000"))</f>
        <v/>
      </c>
      <c r="B277" s="86"/>
      <c r="C277" s="52"/>
      <c r="D277" s="91"/>
      <c r="E277" s="52"/>
      <c r="F277" s="52"/>
      <c r="G277" s="86"/>
      <c r="H277" s="86"/>
      <c r="I277" s="86"/>
      <c r="J277" s="91"/>
      <c r="K277" s="52"/>
      <c r="L277" s="86"/>
      <c r="M277" s="89"/>
      <c r="N277" s="89" t="str">
        <f aca="false">IF(OR(E277="",F277="",K277&lt;&gt;"Active"),"",COUNTIFS(E$5:E277,E277,F$5:F277,F277,K$5:K277,"Active"))</f>
        <v/>
      </c>
      <c r="O277" s="89" t="str">
        <f aca="false">IF(N277="","",E277&amp;"|"&amp;F277&amp;"|"&amp;N277)</f>
        <v/>
      </c>
      <c r="P277" s="85" t="str">
        <f aca="false">IF(N277="","",IF(N277&gt;Settings!$B$7,"Over limit",IF(N277=Settings!$B$7,"Class full","OK")))</f>
        <v/>
      </c>
    </row>
    <row r="278" customFormat="false" ht="19.5" hidden="false" customHeight="true" outlineLevel="0" collapsed="false">
      <c r="A278" s="85" t="str">
        <f aca="false">IF(B278="","","S"&amp;TEXT(ROW()-4,"0000"))</f>
        <v/>
      </c>
      <c r="B278" s="86"/>
      <c r="C278" s="52"/>
      <c r="D278" s="91"/>
      <c r="E278" s="52"/>
      <c r="F278" s="52"/>
      <c r="G278" s="86"/>
      <c r="H278" s="86"/>
      <c r="I278" s="86"/>
      <c r="J278" s="91"/>
      <c r="K278" s="52"/>
      <c r="L278" s="86"/>
      <c r="M278" s="89"/>
      <c r="N278" s="89" t="str">
        <f aca="false">IF(OR(E278="",F278="",K278&lt;&gt;"Active"),"",COUNTIFS(E$5:E278,E278,F$5:F278,F278,K$5:K278,"Active"))</f>
        <v/>
      </c>
      <c r="O278" s="89" t="str">
        <f aca="false">IF(N278="","",E278&amp;"|"&amp;F278&amp;"|"&amp;N278)</f>
        <v/>
      </c>
      <c r="P278" s="85" t="str">
        <f aca="false">IF(N278="","",IF(N278&gt;Settings!$B$7,"Over limit",IF(N278=Settings!$B$7,"Class full","OK")))</f>
        <v/>
      </c>
    </row>
    <row r="279" customFormat="false" ht="19.5" hidden="false" customHeight="true" outlineLevel="0" collapsed="false">
      <c r="A279" s="85" t="str">
        <f aca="false">IF(B279="","","S"&amp;TEXT(ROW()-4,"0000"))</f>
        <v/>
      </c>
      <c r="B279" s="86"/>
      <c r="C279" s="52"/>
      <c r="D279" s="91"/>
      <c r="E279" s="52"/>
      <c r="F279" s="52"/>
      <c r="G279" s="86"/>
      <c r="H279" s="86"/>
      <c r="I279" s="86"/>
      <c r="J279" s="91"/>
      <c r="K279" s="52"/>
      <c r="L279" s="86"/>
      <c r="M279" s="89"/>
      <c r="N279" s="89" t="str">
        <f aca="false">IF(OR(E279="",F279="",K279&lt;&gt;"Active"),"",COUNTIFS(E$5:E279,E279,F$5:F279,F279,K$5:K279,"Active"))</f>
        <v/>
      </c>
      <c r="O279" s="89" t="str">
        <f aca="false">IF(N279="","",E279&amp;"|"&amp;F279&amp;"|"&amp;N279)</f>
        <v/>
      </c>
      <c r="P279" s="85" t="str">
        <f aca="false">IF(N279="","",IF(N279&gt;Settings!$B$7,"Over limit",IF(N279=Settings!$B$7,"Class full","OK")))</f>
        <v/>
      </c>
    </row>
    <row r="280" customFormat="false" ht="19.5" hidden="false" customHeight="true" outlineLevel="0" collapsed="false">
      <c r="A280" s="85" t="str">
        <f aca="false">IF(B280="","","S"&amp;TEXT(ROW()-4,"0000"))</f>
        <v/>
      </c>
      <c r="B280" s="86"/>
      <c r="C280" s="52"/>
      <c r="D280" s="91"/>
      <c r="E280" s="52"/>
      <c r="F280" s="52"/>
      <c r="G280" s="86"/>
      <c r="H280" s="86"/>
      <c r="I280" s="86"/>
      <c r="J280" s="91"/>
      <c r="K280" s="52"/>
      <c r="L280" s="86"/>
      <c r="M280" s="89"/>
      <c r="N280" s="89" t="str">
        <f aca="false">IF(OR(E280="",F280="",K280&lt;&gt;"Active"),"",COUNTIFS(E$5:E280,E280,F$5:F280,F280,K$5:K280,"Active"))</f>
        <v/>
      </c>
      <c r="O280" s="89" t="str">
        <f aca="false">IF(N280="","",E280&amp;"|"&amp;F280&amp;"|"&amp;N280)</f>
        <v/>
      </c>
      <c r="P280" s="85" t="str">
        <f aca="false">IF(N280="","",IF(N280&gt;Settings!$B$7,"Over limit",IF(N280=Settings!$B$7,"Class full","OK")))</f>
        <v/>
      </c>
    </row>
    <row r="281" customFormat="false" ht="19.5" hidden="false" customHeight="true" outlineLevel="0" collapsed="false">
      <c r="A281" s="85" t="str">
        <f aca="false">IF(B281="","","S"&amp;TEXT(ROW()-4,"0000"))</f>
        <v/>
      </c>
      <c r="B281" s="86"/>
      <c r="C281" s="52"/>
      <c r="D281" s="91"/>
      <c r="E281" s="52"/>
      <c r="F281" s="52"/>
      <c r="G281" s="86"/>
      <c r="H281" s="86"/>
      <c r="I281" s="86"/>
      <c r="J281" s="91"/>
      <c r="K281" s="52"/>
      <c r="L281" s="86"/>
      <c r="M281" s="89"/>
      <c r="N281" s="89" t="str">
        <f aca="false">IF(OR(E281="",F281="",K281&lt;&gt;"Active"),"",COUNTIFS(E$5:E281,E281,F$5:F281,F281,K$5:K281,"Active"))</f>
        <v/>
      </c>
      <c r="O281" s="89" t="str">
        <f aca="false">IF(N281="","",E281&amp;"|"&amp;F281&amp;"|"&amp;N281)</f>
        <v/>
      </c>
      <c r="P281" s="85" t="str">
        <f aca="false">IF(N281="","",IF(N281&gt;Settings!$B$7,"Over limit",IF(N281=Settings!$B$7,"Class full","OK")))</f>
        <v/>
      </c>
    </row>
    <row r="282" customFormat="false" ht="19.5" hidden="false" customHeight="true" outlineLevel="0" collapsed="false">
      <c r="A282" s="85" t="str">
        <f aca="false">IF(B282="","","S"&amp;TEXT(ROW()-4,"0000"))</f>
        <v/>
      </c>
      <c r="B282" s="86"/>
      <c r="C282" s="52"/>
      <c r="D282" s="91"/>
      <c r="E282" s="52"/>
      <c r="F282" s="52"/>
      <c r="G282" s="86"/>
      <c r="H282" s="86"/>
      <c r="I282" s="86"/>
      <c r="J282" s="91"/>
      <c r="K282" s="52"/>
      <c r="L282" s="86"/>
      <c r="M282" s="89"/>
      <c r="N282" s="89" t="str">
        <f aca="false">IF(OR(E282="",F282="",K282&lt;&gt;"Active"),"",COUNTIFS(E$5:E282,E282,F$5:F282,F282,K$5:K282,"Active"))</f>
        <v/>
      </c>
      <c r="O282" s="89" t="str">
        <f aca="false">IF(N282="","",E282&amp;"|"&amp;F282&amp;"|"&amp;N282)</f>
        <v/>
      </c>
      <c r="P282" s="85" t="str">
        <f aca="false">IF(N282="","",IF(N282&gt;Settings!$B$7,"Over limit",IF(N282=Settings!$B$7,"Class full","OK")))</f>
        <v/>
      </c>
    </row>
    <row r="283" customFormat="false" ht="19.5" hidden="false" customHeight="true" outlineLevel="0" collapsed="false">
      <c r="A283" s="85" t="str">
        <f aca="false">IF(B283="","","S"&amp;TEXT(ROW()-4,"0000"))</f>
        <v/>
      </c>
      <c r="B283" s="86"/>
      <c r="C283" s="52"/>
      <c r="D283" s="91"/>
      <c r="E283" s="52"/>
      <c r="F283" s="52"/>
      <c r="G283" s="86"/>
      <c r="H283" s="86"/>
      <c r="I283" s="86"/>
      <c r="J283" s="91"/>
      <c r="K283" s="52"/>
      <c r="L283" s="86"/>
      <c r="M283" s="89"/>
      <c r="N283" s="89" t="str">
        <f aca="false">IF(OR(E283="",F283="",K283&lt;&gt;"Active"),"",COUNTIFS(E$5:E283,E283,F$5:F283,F283,K$5:K283,"Active"))</f>
        <v/>
      </c>
      <c r="O283" s="89" t="str">
        <f aca="false">IF(N283="","",E283&amp;"|"&amp;F283&amp;"|"&amp;N283)</f>
        <v/>
      </c>
      <c r="P283" s="85" t="str">
        <f aca="false">IF(N283="","",IF(N283&gt;Settings!$B$7,"Over limit",IF(N283=Settings!$B$7,"Class full","OK")))</f>
        <v/>
      </c>
    </row>
    <row r="284" customFormat="false" ht="19.5" hidden="false" customHeight="true" outlineLevel="0" collapsed="false">
      <c r="A284" s="85" t="str">
        <f aca="false">IF(B284="","","S"&amp;TEXT(ROW()-4,"0000"))</f>
        <v/>
      </c>
      <c r="B284" s="86"/>
      <c r="C284" s="52"/>
      <c r="D284" s="91"/>
      <c r="E284" s="52"/>
      <c r="F284" s="52"/>
      <c r="G284" s="86"/>
      <c r="H284" s="86"/>
      <c r="I284" s="86"/>
      <c r="J284" s="91"/>
      <c r="K284" s="52"/>
      <c r="L284" s="86"/>
      <c r="M284" s="89"/>
      <c r="N284" s="89" t="str">
        <f aca="false">IF(OR(E284="",F284="",K284&lt;&gt;"Active"),"",COUNTIFS(E$5:E284,E284,F$5:F284,F284,K$5:K284,"Active"))</f>
        <v/>
      </c>
      <c r="O284" s="89" t="str">
        <f aca="false">IF(N284="","",E284&amp;"|"&amp;F284&amp;"|"&amp;N284)</f>
        <v/>
      </c>
      <c r="P284" s="85" t="str">
        <f aca="false">IF(N284="","",IF(N284&gt;Settings!$B$7,"Over limit",IF(N284=Settings!$B$7,"Class full","OK")))</f>
        <v/>
      </c>
    </row>
    <row r="285" customFormat="false" ht="19.5" hidden="false" customHeight="true" outlineLevel="0" collapsed="false">
      <c r="A285" s="85" t="str">
        <f aca="false">IF(B285="","","S"&amp;TEXT(ROW()-4,"0000"))</f>
        <v/>
      </c>
      <c r="B285" s="86"/>
      <c r="C285" s="52"/>
      <c r="D285" s="91"/>
      <c r="E285" s="52"/>
      <c r="F285" s="52"/>
      <c r="G285" s="86"/>
      <c r="H285" s="86"/>
      <c r="I285" s="86"/>
      <c r="J285" s="91"/>
      <c r="K285" s="52"/>
      <c r="L285" s="86"/>
      <c r="M285" s="89"/>
      <c r="N285" s="89" t="str">
        <f aca="false">IF(OR(E285="",F285="",K285&lt;&gt;"Active"),"",COUNTIFS(E$5:E285,E285,F$5:F285,F285,K$5:K285,"Active"))</f>
        <v/>
      </c>
      <c r="O285" s="89" t="str">
        <f aca="false">IF(N285="","",E285&amp;"|"&amp;F285&amp;"|"&amp;N285)</f>
        <v/>
      </c>
      <c r="P285" s="85" t="str">
        <f aca="false">IF(N285="","",IF(N285&gt;Settings!$B$7,"Over limit",IF(N285=Settings!$B$7,"Class full","OK")))</f>
        <v/>
      </c>
    </row>
    <row r="286" customFormat="false" ht="19.5" hidden="false" customHeight="true" outlineLevel="0" collapsed="false">
      <c r="A286" s="85" t="str">
        <f aca="false">IF(B286="","","S"&amp;TEXT(ROW()-4,"0000"))</f>
        <v/>
      </c>
      <c r="B286" s="86"/>
      <c r="C286" s="52"/>
      <c r="D286" s="91"/>
      <c r="E286" s="52"/>
      <c r="F286" s="52"/>
      <c r="G286" s="86"/>
      <c r="H286" s="86"/>
      <c r="I286" s="86"/>
      <c r="J286" s="91"/>
      <c r="K286" s="52"/>
      <c r="L286" s="86"/>
      <c r="M286" s="89"/>
      <c r="N286" s="89" t="str">
        <f aca="false">IF(OR(E286="",F286="",K286&lt;&gt;"Active"),"",COUNTIFS(E$5:E286,E286,F$5:F286,F286,K$5:K286,"Active"))</f>
        <v/>
      </c>
      <c r="O286" s="89" t="str">
        <f aca="false">IF(N286="","",E286&amp;"|"&amp;F286&amp;"|"&amp;N286)</f>
        <v/>
      </c>
      <c r="P286" s="85" t="str">
        <f aca="false">IF(N286="","",IF(N286&gt;Settings!$B$7,"Over limit",IF(N286=Settings!$B$7,"Class full","OK")))</f>
        <v/>
      </c>
    </row>
    <row r="287" customFormat="false" ht="19.5" hidden="false" customHeight="true" outlineLevel="0" collapsed="false">
      <c r="A287" s="85" t="str">
        <f aca="false">IF(B287="","","S"&amp;TEXT(ROW()-4,"0000"))</f>
        <v/>
      </c>
      <c r="B287" s="86"/>
      <c r="C287" s="52"/>
      <c r="D287" s="91"/>
      <c r="E287" s="52"/>
      <c r="F287" s="52"/>
      <c r="G287" s="86"/>
      <c r="H287" s="86"/>
      <c r="I287" s="86"/>
      <c r="J287" s="91"/>
      <c r="K287" s="52"/>
      <c r="L287" s="86"/>
      <c r="M287" s="89"/>
      <c r="N287" s="89" t="str">
        <f aca="false">IF(OR(E287="",F287="",K287&lt;&gt;"Active"),"",COUNTIFS(E$5:E287,E287,F$5:F287,F287,K$5:K287,"Active"))</f>
        <v/>
      </c>
      <c r="O287" s="89" t="str">
        <f aca="false">IF(N287="","",E287&amp;"|"&amp;F287&amp;"|"&amp;N287)</f>
        <v/>
      </c>
      <c r="P287" s="85" t="str">
        <f aca="false">IF(N287="","",IF(N287&gt;Settings!$B$7,"Over limit",IF(N287=Settings!$B$7,"Class full","OK")))</f>
        <v/>
      </c>
    </row>
    <row r="288" customFormat="false" ht="19.5" hidden="false" customHeight="true" outlineLevel="0" collapsed="false">
      <c r="A288" s="85" t="str">
        <f aca="false">IF(B288="","","S"&amp;TEXT(ROW()-4,"0000"))</f>
        <v/>
      </c>
      <c r="B288" s="86"/>
      <c r="C288" s="52"/>
      <c r="D288" s="91"/>
      <c r="E288" s="52"/>
      <c r="F288" s="52"/>
      <c r="G288" s="86"/>
      <c r="H288" s="86"/>
      <c r="I288" s="86"/>
      <c r="J288" s="91"/>
      <c r="K288" s="52"/>
      <c r="L288" s="86"/>
      <c r="M288" s="89"/>
      <c r="N288" s="89" t="str">
        <f aca="false">IF(OR(E288="",F288="",K288&lt;&gt;"Active"),"",COUNTIFS(E$5:E288,E288,F$5:F288,F288,K$5:K288,"Active"))</f>
        <v/>
      </c>
      <c r="O288" s="89" t="str">
        <f aca="false">IF(N288="","",E288&amp;"|"&amp;F288&amp;"|"&amp;N288)</f>
        <v/>
      </c>
      <c r="P288" s="85" t="str">
        <f aca="false">IF(N288="","",IF(N288&gt;Settings!$B$7,"Over limit",IF(N288=Settings!$B$7,"Class full","OK")))</f>
        <v/>
      </c>
    </row>
    <row r="289" customFormat="false" ht="19.5" hidden="false" customHeight="true" outlineLevel="0" collapsed="false">
      <c r="A289" s="85" t="str">
        <f aca="false">IF(B289="","","S"&amp;TEXT(ROW()-4,"0000"))</f>
        <v/>
      </c>
      <c r="B289" s="86"/>
      <c r="C289" s="52"/>
      <c r="D289" s="91"/>
      <c r="E289" s="52"/>
      <c r="F289" s="52"/>
      <c r="G289" s="86"/>
      <c r="H289" s="86"/>
      <c r="I289" s="86"/>
      <c r="J289" s="91"/>
      <c r="K289" s="52"/>
      <c r="L289" s="86"/>
      <c r="M289" s="89"/>
      <c r="N289" s="89" t="str">
        <f aca="false">IF(OR(E289="",F289="",K289&lt;&gt;"Active"),"",COUNTIFS(E$5:E289,E289,F$5:F289,F289,K$5:K289,"Active"))</f>
        <v/>
      </c>
      <c r="O289" s="89" t="str">
        <f aca="false">IF(N289="","",E289&amp;"|"&amp;F289&amp;"|"&amp;N289)</f>
        <v/>
      </c>
      <c r="P289" s="85" t="str">
        <f aca="false">IF(N289="","",IF(N289&gt;Settings!$B$7,"Over limit",IF(N289=Settings!$B$7,"Class full","OK")))</f>
        <v/>
      </c>
    </row>
    <row r="290" customFormat="false" ht="19.5" hidden="false" customHeight="true" outlineLevel="0" collapsed="false">
      <c r="A290" s="85" t="str">
        <f aca="false">IF(B290="","","S"&amp;TEXT(ROW()-4,"0000"))</f>
        <v/>
      </c>
      <c r="B290" s="86"/>
      <c r="C290" s="52"/>
      <c r="D290" s="91"/>
      <c r="E290" s="52"/>
      <c r="F290" s="52"/>
      <c r="G290" s="86"/>
      <c r="H290" s="86"/>
      <c r="I290" s="86"/>
      <c r="J290" s="91"/>
      <c r="K290" s="52"/>
      <c r="L290" s="86"/>
      <c r="M290" s="89"/>
      <c r="N290" s="89" t="str">
        <f aca="false">IF(OR(E290="",F290="",K290&lt;&gt;"Active"),"",COUNTIFS(E$5:E290,E290,F$5:F290,F290,K$5:K290,"Active"))</f>
        <v/>
      </c>
      <c r="O290" s="89" t="str">
        <f aca="false">IF(N290="","",E290&amp;"|"&amp;F290&amp;"|"&amp;N290)</f>
        <v/>
      </c>
      <c r="P290" s="85" t="str">
        <f aca="false">IF(N290="","",IF(N290&gt;Settings!$B$7,"Over limit",IF(N290=Settings!$B$7,"Class full","OK")))</f>
        <v/>
      </c>
    </row>
    <row r="291" customFormat="false" ht="19.5" hidden="false" customHeight="true" outlineLevel="0" collapsed="false">
      <c r="A291" s="85" t="str">
        <f aca="false">IF(B291="","","S"&amp;TEXT(ROW()-4,"0000"))</f>
        <v/>
      </c>
      <c r="B291" s="86"/>
      <c r="C291" s="52"/>
      <c r="D291" s="91"/>
      <c r="E291" s="52"/>
      <c r="F291" s="52"/>
      <c r="G291" s="86"/>
      <c r="H291" s="86"/>
      <c r="I291" s="86"/>
      <c r="J291" s="91"/>
      <c r="K291" s="52"/>
      <c r="L291" s="86"/>
      <c r="M291" s="89"/>
      <c r="N291" s="89" t="str">
        <f aca="false">IF(OR(E291="",F291="",K291&lt;&gt;"Active"),"",COUNTIFS(E$5:E291,E291,F$5:F291,F291,K$5:K291,"Active"))</f>
        <v/>
      </c>
      <c r="O291" s="89" t="str">
        <f aca="false">IF(N291="","",E291&amp;"|"&amp;F291&amp;"|"&amp;N291)</f>
        <v/>
      </c>
      <c r="P291" s="85" t="str">
        <f aca="false">IF(N291="","",IF(N291&gt;Settings!$B$7,"Over limit",IF(N291=Settings!$B$7,"Class full","OK")))</f>
        <v/>
      </c>
    </row>
    <row r="292" customFormat="false" ht="19.5" hidden="false" customHeight="true" outlineLevel="0" collapsed="false">
      <c r="A292" s="85" t="str">
        <f aca="false">IF(B292="","","S"&amp;TEXT(ROW()-4,"0000"))</f>
        <v/>
      </c>
      <c r="B292" s="86"/>
      <c r="C292" s="52"/>
      <c r="D292" s="91"/>
      <c r="E292" s="52"/>
      <c r="F292" s="52"/>
      <c r="G292" s="86"/>
      <c r="H292" s="86"/>
      <c r="I292" s="86"/>
      <c r="J292" s="91"/>
      <c r="K292" s="52"/>
      <c r="L292" s="86"/>
      <c r="M292" s="89"/>
      <c r="N292" s="89" t="str">
        <f aca="false">IF(OR(E292="",F292="",K292&lt;&gt;"Active"),"",COUNTIFS(E$5:E292,E292,F$5:F292,F292,K$5:K292,"Active"))</f>
        <v/>
      </c>
      <c r="O292" s="89" t="str">
        <f aca="false">IF(N292="","",E292&amp;"|"&amp;F292&amp;"|"&amp;N292)</f>
        <v/>
      </c>
      <c r="P292" s="85" t="str">
        <f aca="false">IF(N292="","",IF(N292&gt;Settings!$B$7,"Over limit",IF(N292=Settings!$B$7,"Class full","OK")))</f>
        <v/>
      </c>
    </row>
    <row r="293" customFormat="false" ht="19.5" hidden="false" customHeight="true" outlineLevel="0" collapsed="false">
      <c r="A293" s="85" t="str">
        <f aca="false">IF(B293="","","S"&amp;TEXT(ROW()-4,"0000"))</f>
        <v/>
      </c>
      <c r="B293" s="86"/>
      <c r="C293" s="52"/>
      <c r="D293" s="91"/>
      <c r="E293" s="52"/>
      <c r="F293" s="52"/>
      <c r="G293" s="86"/>
      <c r="H293" s="86"/>
      <c r="I293" s="86"/>
      <c r="J293" s="91"/>
      <c r="K293" s="52"/>
      <c r="L293" s="86"/>
      <c r="M293" s="89"/>
      <c r="N293" s="89" t="str">
        <f aca="false">IF(OR(E293="",F293="",K293&lt;&gt;"Active"),"",COUNTIFS(E$5:E293,E293,F$5:F293,F293,K$5:K293,"Active"))</f>
        <v/>
      </c>
      <c r="O293" s="89" t="str">
        <f aca="false">IF(N293="","",E293&amp;"|"&amp;F293&amp;"|"&amp;N293)</f>
        <v/>
      </c>
      <c r="P293" s="85" t="str">
        <f aca="false">IF(N293="","",IF(N293&gt;Settings!$B$7,"Over limit",IF(N293=Settings!$B$7,"Class full","OK")))</f>
        <v/>
      </c>
    </row>
    <row r="294" customFormat="false" ht="19.5" hidden="false" customHeight="true" outlineLevel="0" collapsed="false">
      <c r="A294" s="85" t="str">
        <f aca="false">IF(B294="","","S"&amp;TEXT(ROW()-4,"0000"))</f>
        <v/>
      </c>
      <c r="B294" s="86"/>
      <c r="C294" s="52"/>
      <c r="D294" s="91"/>
      <c r="E294" s="52"/>
      <c r="F294" s="52"/>
      <c r="G294" s="86"/>
      <c r="H294" s="86"/>
      <c r="I294" s="86"/>
      <c r="J294" s="91"/>
      <c r="K294" s="52"/>
      <c r="L294" s="86"/>
      <c r="M294" s="89"/>
      <c r="N294" s="89" t="str">
        <f aca="false">IF(OR(E294="",F294="",K294&lt;&gt;"Active"),"",COUNTIFS(E$5:E294,E294,F$5:F294,F294,K$5:K294,"Active"))</f>
        <v/>
      </c>
      <c r="O294" s="89" t="str">
        <f aca="false">IF(N294="","",E294&amp;"|"&amp;F294&amp;"|"&amp;N294)</f>
        <v/>
      </c>
      <c r="P294" s="85" t="str">
        <f aca="false">IF(N294="","",IF(N294&gt;Settings!$B$7,"Over limit",IF(N294=Settings!$B$7,"Class full","OK")))</f>
        <v/>
      </c>
    </row>
    <row r="295" customFormat="false" ht="19.5" hidden="false" customHeight="true" outlineLevel="0" collapsed="false">
      <c r="A295" s="85" t="str">
        <f aca="false">IF(B295="","","S"&amp;TEXT(ROW()-4,"0000"))</f>
        <v/>
      </c>
      <c r="B295" s="86"/>
      <c r="C295" s="52"/>
      <c r="D295" s="91"/>
      <c r="E295" s="52"/>
      <c r="F295" s="52"/>
      <c r="G295" s="86"/>
      <c r="H295" s="86"/>
      <c r="I295" s="86"/>
      <c r="J295" s="91"/>
      <c r="K295" s="52"/>
      <c r="L295" s="86"/>
      <c r="M295" s="89"/>
      <c r="N295" s="89" t="str">
        <f aca="false">IF(OR(E295="",F295="",K295&lt;&gt;"Active"),"",COUNTIFS(E$5:E295,E295,F$5:F295,F295,K$5:K295,"Active"))</f>
        <v/>
      </c>
      <c r="O295" s="89" t="str">
        <f aca="false">IF(N295="","",E295&amp;"|"&amp;F295&amp;"|"&amp;N295)</f>
        <v/>
      </c>
      <c r="P295" s="85" t="str">
        <f aca="false">IF(N295="","",IF(N295&gt;Settings!$B$7,"Over limit",IF(N295=Settings!$B$7,"Class full","OK")))</f>
        <v/>
      </c>
    </row>
    <row r="296" customFormat="false" ht="19.5" hidden="false" customHeight="true" outlineLevel="0" collapsed="false">
      <c r="A296" s="85" t="str">
        <f aca="false">IF(B296="","","S"&amp;TEXT(ROW()-4,"0000"))</f>
        <v/>
      </c>
      <c r="B296" s="86"/>
      <c r="C296" s="52"/>
      <c r="D296" s="91"/>
      <c r="E296" s="52"/>
      <c r="F296" s="52"/>
      <c r="G296" s="86"/>
      <c r="H296" s="86"/>
      <c r="I296" s="86"/>
      <c r="J296" s="91"/>
      <c r="K296" s="52"/>
      <c r="L296" s="86"/>
      <c r="M296" s="89"/>
      <c r="N296" s="89" t="str">
        <f aca="false">IF(OR(E296="",F296="",K296&lt;&gt;"Active"),"",COUNTIFS(E$5:E296,E296,F$5:F296,F296,K$5:K296,"Active"))</f>
        <v/>
      </c>
      <c r="O296" s="89" t="str">
        <f aca="false">IF(N296="","",E296&amp;"|"&amp;F296&amp;"|"&amp;N296)</f>
        <v/>
      </c>
      <c r="P296" s="85" t="str">
        <f aca="false">IF(N296="","",IF(N296&gt;Settings!$B$7,"Over limit",IF(N296=Settings!$B$7,"Class full","OK")))</f>
        <v/>
      </c>
    </row>
    <row r="297" customFormat="false" ht="19.5" hidden="false" customHeight="true" outlineLevel="0" collapsed="false">
      <c r="A297" s="85" t="str">
        <f aca="false">IF(B297="","","S"&amp;TEXT(ROW()-4,"0000"))</f>
        <v/>
      </c>
      <c r="B297" s="86"/>
      <c r="C297" s="52"/>
      <c r="D297" s="91"/>
      <c r="E297" s="52"/>
      <c r="F297" s="52"/>
      <c r="G297" s="86"/>
      <c r="H297" s="86"/>
      <c r="I297" s="86"/>
      <c r="J297" s="91"/>
      <c r="K297" s="52"/>
      <c r="L297" s="86"/>
      <c r="M297" s="89"/>
      <c r="N297" s="89" t="str">
        <f aca="false">IF(OR(E297="",F297="",K297&lt;&gt;"Active"),"",COUNTIFS(E$5:E297,E297,F$5:F297,F297,K$5:K297,"Active"))</f>
        <v/>
      </c>
      <c r="O297" s="89" t="str">
        <f aca="false">IF(N297="","",E297&amp;"|"&amp;F297&amp;"|"&amp;N297)</f>
        <v/>
      </c>
      <c r="P297" s="85" t="str">
        <f aca="false">IF(N297="","",IF(N297&gt;Settings!$B$7,"Over limit",IF(N297=Settings!$B$7,"Class full","OK")))</f>
        <v/>
      </c>
    </row>
    <row r="298" customFormat="false" ht="19.5" hidden="false" customHeight="true" outlineLevel="0" collapsed="false">
      <c r="A298" s="85" t="str">
        <f aca="false">IF(B298="","","S"&amp;TEXT(ROW()-4,"0000"))</f>
        <v/>
      </c>
      <c r="B298" s="86"/>
      <c r="C298" s="52"/>
      <c r="D298" s="91"/>
      <c r="E298" s="52"/>
      <c r="F298" s="52"/>
      <c r="G298" s="86"/>
      <c r="H298" s="86"/>
      <c r="I298" s="86"/>
      <c r="J298" s="91"/>
      <c r="K298" s="52"/>
      <c r="L298" s="86"/>
      <c r="M298" s="89"/>
      <c r="N298" s="89" t="str">
        <f aca="false">IF(OR(E298="",F298="",K298&lt;&gt;"Active"),"",COUNTIFS(E$5:E298,E298,F$5:F298,F298,K$5:K298,"Active"))</f>
        <v/>
      </c>
      <c r="O298" s="89" t="str">
        <f aca="false">IF(N298="","",E298&amp;"|"&amp;F298&amp;"|"&amp;N298)</f>
        <v/>
      </c>
      <c r="P298" s="85" t="str">
        <f aca="false">IF(N298="","",IF(N298&gt;Settings!$B$7,"Over limit",IF(N298=Settings!$B$7,"Class full","OK")))</f>
        <v/>
      </c>
    </row>
    <row r="299" customFormat="false" ht="19.5" hidden="false" customHeight="true" outlineLevel="0" collapsed="false">
      <c r="A299" s="85" t="str">
        <f aca="false">IF(B299="","","S"&amp;TEXT(ROW()-4,"0000"))</f>
        <v/>
      </c>
      <c r="B299" s="86"/>
      <c r="C299" s="52"/>
      <c r="D299" s="91"/>
      <c r="E299" s="52"/>
      <c r="F299" s="52"/>
      <c r="G299" s="86"/>
      <c r="H299" s="86"/>
      <c r="I299" s="86"/>
      <c r="J299" s="91"/>
      <c r="K299" s="52"/>
      <c r="L299" s="86"/>
      <c r="M299" s="89"/>
      <c r="N299" s="89" t="str">
        <f aca="false">IF(OR(E299="",F299="",K299&lt;&gt;"Active"),"",COUNTIFS(E$5:E299,E299,F$5:F299,F299,K$5:K299,"Active"))</f>
        <v/>
      </c>
      <c r="O299" s="89" t="str">
        <f aca="false">IF(N299="","",E299&amp;"|"&amp;F299&amp;"|"&amp;N299)</f>
        <v/>
      </c>
      <c r="P299" s="85" t="str">
        <f aca="false">IF(N299="","",IF(N299&gt;Settings!$B$7,"Over limit",IF(N299=Settings!$B$7,"Class full","OK")))</f>
        <v/>
      </c>
    </row>
    <row r="300" customFormat="false" ht="19.5" hidden="false" customHeight="true" outlineLevel="0" collapsed="false">
      <c r="A300" s="85" t="str">
        <f aca="false">IF(B300="","","S"&amp;TEXT(ROW()-4,"0000"))</f>
        <v/>
      </c>
      <c r="B300" s="86"/>
      <c r="C300" s="52"/>
      <c r="D300" s="91"/>
      <c r="E300" s="52"/>
      <c r="F300" s="52"/>
      <c r="G300" s="86"/>
      <c r="H300" s="86"/>
      <c r="I300" s="86"/>
      <c r="J300" s="91"/>
      <c r="K300" s="52"/>
      <c r="L300" s="86"/>
      <c r="M300" s="89"/>
      <c r="N300" s="89" t="str">
        <f aca="false">IF(OR(E300="",F300="",K300&lt;&gt;"Active"),"",COUNTIFS(E$5:E300,E300,F$5:F300,F300,K$5:K300,"Active"))</f>
        <v/>
      </c>
      <c r="O300" s="89" t="str">
        <f aca="false">IF(N300="","",E300&amp;"|"&amp;F300&amp;"|"&amp;N300)</f>
        <v/>
      </c>
      <c r="P300" s="85" t="str">
        <f aca="false">IF(N300="","",IF(N300&gt;Settings!$B$7,"Over limit",IF(N300=Settings!$B$7,"Class full","OK")))</f>
        <v/>
      </c>
    </row>
    <row r="301" customFormat="false" ht="19.5" hidden="false" customHeight="true" outlineLevel="0" collapsed="false">
      <c r="A301" s="85" t="str">
        <f aca="false">IF(B301="","","S"&amp;TEXT(ROW()-4,"0000"))</f>
        <v/>
      </c>
      <c r="B301" s="86"/>
      <c r="C301" s="52"/>
      <c r="D301" s="91"/>
      <c r="E301" s="52"/>
      <c r="F301" s="52"/>
      <c r="G301" s="86"/>
      <c r="H301" s="86"/>
      <c r="I301" s="86"/>
      <c r="J301" s="91"/>
      <c r="K301" s="52"/>
      <c r="L301" s="86"/>
      <c r="M301" s="89"/>
      <c r="N301" s="89" t="str">
        <f aca="false">IF(OR(E301="",F301="",K301&lt;&gt;"Active"),"",COUNTIFS(E$5:E301,E301,F$5:F301,F301,K$5:K301,"Active"))</f>
        <v/>
      </c>
      <c r="O301" s="89" t="str">
        <f aca="false">IF(N301="","",E301&amp;"|"&amp;F301&amp;"|"&amp;N301)</f>
        <v/>
      </c>
      <c r="P301" s="85" t="str">
        <f aca="false">IF(N301="","",IF(N301&gt;Settings!$B$7,"Over limit",IF(N301=Settings!$B$7,"Class full","OK")))</f>
        <v/>
      </c>
    </row>
    <row r="302" customFormat="false" ht="19.5" hidden="false" customHeight="true" outlineLevel="0" collapsed="false">
      <c r="A302" s="85" t="str">
        <f aca="false">IF(B302="","","S"&amp;TEXT(ROW()-4,"0000"))</f>
        <v/>
      </c>
      <c r="B302" s="86"/>
      <c r="C302" s="52"/>
      <c r="D302" s="91"/>
      <c r="E302" s="52"/>
      <c r="F302" s="52"/>
      <c r="G302" s="86"/>
      <c r="H302" s="86"/>
      <c r="I302" s="86"/>
      <c r="J302" s="91"/>
      <c r="K302" s="52"/>
      <c r="L302" s="86"/>
      <c r="M302" s="89"/>
      <c r="N302" s="89" t="str">
        <f aca="false">IF(OR(E302="",F302="",K302&lt;&gt;"Active"),"",COUNTIFS(E$5:E302,E302,F$5:F302,F302,K$5:K302,"Active"))</f>
        <v/>
      </c>
      <c r="O302" s="89" t="str">
        <f aca="false">IF(N302="","",E302&amp;"|"&amp;F302&amp;"|"&amp;N302)</f>
        <v/>
      </c>
      <c r="P302" s="85" t="str">
        <f aca="false">IF(N302="","",IF(N302&gt;Settings!$B$7,"Over limit",IF(N302=Settings!$B$7,"Class full","OK")))</f>
        <v/>
      </c>
    </row>
    <row r="303" customFormat="false" ht="19.5" hidden="false" customHeight="true" outlineLevel="0" collapsed="false">
      <c r="A303" s="85" t="str">
        <f aca="false">IF(B303="","","S"&amp;TEXT(ROW()-4,"0000"))</f>
        <v/>
      </c>
      <c r="B303" s="86"/>
      <c r="C303" s="52"/>
      <c r="D303" s="91"/>
      <c r="E303" s="52"/>
      <c r="F303" s="52"/>
      <c r="G303" s="86"/>
      <c r="H303" s="86"/>
      <c r="I303" s="86"/>
      <c r="J303" s="91"/>
      <c r="K303" s="52"/>
      <c r="L303" s="86"/>
      <c r="M303" s="89"/>
      <c r="N303" s="89" t="str">
        <f aca="false">IF(OR(E303="",F303="",K303&lt;&gt;"Active"),"",COUNTIFS(E$5:E303,E303,F$5:F303,F303,K$5:K303,"Active"))</f>
        <v/>
      </c>
      <c r="O303" s="89" t="str">
        <f aca="false">IF(N303="","",E303&amp;"|"&amp;F303&amp;"|"&amp;N303)</f>
        <v/>
      </c>
      <c r="P303" s="85" t="str">
        <f aca="false">IF(N303="","",IF(N303&gt;Settings!$B$7,"Over limit",IF(N303=Settings!$B$7,"Class full","OK")))</f>
        <v/>
      </c>
    </row>
    <row r="304" customFormat="false" ht="19.5" hidden="false" customHeight="true" outlineLevel="0" collapsed="false">
      <c r="A304" s="85" t="str">
        <f aca="false">IF(B304="","","S"&amp;TEXT(ROW()-4,"0000"))</f>
        <v/>
      </c>
      <c r="B304" s="86"/>
      <c r="C304" s="52"/>
      <c r="D304" s="91"/>
      <c r="E304" s="52"/>
      <c r="F304" s="52"/>
      <c r="G304" s="86"/>
      <c r="H304" s="86"/>
      <c r="I304" s="86"/>
      <c r="J304" s="91"/>
      <c r="K304" s="52"/>
      <c r="L304" s="86"/>
      <c r="M304" s="89"/>
      <c r="N304" s="89" t="str">
        <f aca="false">IF(OR(E304="",F304="",K304&lt;&gt;"Active"),"",COUNTIFS(E$5:E304,E304,F$5:F304,F304,K$5:K304,"Active"))</f>
        <v/>
      </c>
      <c r="O304" s="89" t="str">
        <f aca="false">IF(N304="","",E304&amp;"|"&amp;F304&amp;"|"&amp;N304)</f>
        <v/>
      </c>
      <c r="P304" s="85" t="str">
        <f aca="false">IF(N304="","",IF(N304&gt;Settings!$B$7,"Over limit",IF(N304=Settings!$B$7,"Class full","OK")))</f>
        <v/>
      </c>
    </row>
  </sheetData>
  <mergeCells count="3">
    <mergeCell ref="A1:P1"/>
    <mergeCell ref="A2:P2"/>
    <mergeCell ref="A3:P3"/>
  </mergeCells>
  <conditionalFormatting sqref="A5:P304">
    <cfRule type="expression" priority="2" aboveAverage="0" equalAverage="0" bottom="0" percent="0" rank="0" text="" dxfId="0">
      <formula>AND(MOD(ROW(),2)=0,$A5&lt;&gt;"")</formula>
    </cfRule>
  </conditionalFormatting>
  <conditionalFormatting sqref="P5:P304">
    <cfRule type="expression" priority="3" aboveAverage="0" equalAverage="0" bottom="0" percent="0" rank="0" text="" dxfId="6">
      <formula>$P5="OK"</formula>
    </cfRule>
    <cfRule type="expression" priority="4" aboveAverage="0" equalAverage="0" bottom="0" percent="0" rank="0" text="" dxfId="5">
      <formula>$P5="Class full"</formula>
    </cfRule>
    <cfRule type="expression" priority="5" aboveAverage="0" equalAverage="0" bottom="0" percent="0" rank="0" text="" dxfId="7">
      <formula>$P5="Over limit"</formula>
    </cfRule>
  </conditionalFormatting>
  <conditionalFormatting sqref="K5:K304">
    <cfRule type="expression" priority="6" aboveAverage="0" equalAverage="0" bottom="0" percent="0" rank="0" text="" dxfId="6">
      <formula>$K5="Active"</formula>
    </cfRule>
    <cfRule type="expression" priority="7" aboveAverage="0" equalAverage="0" bottom="0" percent="0" rank="0" text="" dxfId="7">
      <formula>$K5="Left"</formula>
    </cfRule>
    <cfRule type="expression" priority="8" aboveAverage="0" equalAverage="0" bottom="0" percent="0" rank="0" text="" dxfId="5">
      <formula>$K5="Graduated"</formula>
    </cfRule>
  </conditionalFormatting>
  <dataValidations count="4">
    <dataValidation allowBlank="true" error="Choose from the list." errorStyle="stop" errorTitle="Invalid entry" operator="between" showDropDown="false" showErrorMessage="true" showInputMessage="false" sqref="C5:C304" type="list">
      <formula1>"M,F"</formula1>
      <formula2>0</formula2>
    </dataValidation>
    <dataValidation allowBlank="true" error="Pick a School ID from the Schools tab." errorStyle="stop" errorTitle="Invalid entry" operator="between" showDropDown="false" showErrorMessage="true" showInputMessage="false" sqref="E5:E304" type="list">
      <formula1>Schools!$A$5:$A$304</formula1>
      <formula2>0</formula2>
    </dataValidation>
    <dataValidation allowBlank="true" error="Choose from the list." errorStyle="stop" errorTitle="Invalid entry" operator="between" showDropDown="false" showErrorMessage="true" showInputMessage="false" sqref="F5:F304" type="list">
      <formula1>Settings!$B$11:$B$30</formula1>
      <formula2>0</formula2>
    </dataValidation>
    <dataValidation allowBlank="true" error="Choose from the list." errorStyle="stop" errorTitle="Invalid entry" operator="between" showDropDown="false" showErrorMessage="true" showInputMessage="false" sqref="K5:K304" type="list">
      <formula1>"Active,Left,Graduated"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9F3E"/>
    <pageSetUpPr fitToPage="true"/>
  </sheetPr>
  <dimension ref="A1:G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3" min="3" style="1" width="26"/>
    <col collapsed="false" customWidth="true" hidden="false" outlineLevel="0" max="5" min="4" style="1" width="12"/>
    <col collapsed="false" customWidth="true" hidden="false" outlineLevel="0" max="6" min="6" style="1" width="14"/>
    <col collapsed="false" customWidth="true" hidden="false" outlineLevel="0" max="7" min="7" style="1" width="20"/>
  </cols>
  <sheetData>
    <row r="1" customFormat="false" ht="42" hidden="false" customHeight="true" outlineLevel="0" collapsed="false">
      <c r="A1" s="2" t="s">
        <v>350</v>
      </c>
      <c r="B1" s="2"/>
      <c r="C1" s="2"/>
      <c r="D1" s="2"/>
      <c r="E1" s="2"/>
      <c r="F1" s="2"/>
      <c r="G1" s="2"/>
    </row>
    <row r="2" customFormat="false" ht="19.5" hidden="false" customHeight="true" outlineLevel="0" collapsed="false">
      <c r="A2" s="3" t="s">
        <v>351</v>
      </c>
      <c r="B2" s="3"/>
      <c r="C2" s="3"/>
      <c r="D2" s="3"/>
      <c r="E2" s="3"/>
      <c r="F2" s="3"/>
      <c r="G2" s="3"/>
    </row>
    <row r="3" customFormat="false" ht="3.75" hidden="false" customHeight="true" outlineLevel="0" collapsed="false">
      <c r="A3" s="4"/>
      <c r="B3" s="4"/>
      <c r="C3" s="4"/>
      <c r="D3" s="4"/>
      <c r="E3" s="4"/>
      <c r="F3" s="4"/>
      <c r="G3" s="4"/>
    </row>
    <row r="4" customFormat="false" ht="33.75" hidden="false" customHeight="true" outlineLevel="0" collapsed="false">
      <c r="A4" s="15" t="s">
        <v>352</v>
      </c>
      <c r="B4" s="15" t="s">
        <v>150</v>
      </c>
      <c r="C4" s="15" t="s">
        <v>151</v>
      </c>
      <c r="D4" s="15" t="s">
        <v>99</v>
      </c>
      <c r="E4" s="15" t="s">
        <v>340</v>
      </c>
      <c r="F4" s="15" t="s">
        <v>353</v>
      </c>
      <c r="G4" s="15" t="s">
        <v>354</v>
      </c>
    </row>
    <row r="5" customFormat="false" ht="19.5" hidden="false" customHeight="true" outlineLevel="0" collapsed="false">
      <c r="A5" s="90" t="n">
        <v>46296</v>
      </c>
      <c r="B5" s="87" t="s">
        <v>114</v>
      </c>
      <c r="C5" s="88" t="str">
        <f aca="false">IF(B5="","",IFERROR(INDEX(Students!$B$5:$B$304,MATCH(B5,Students!$A$5:$A$304,0)),"ID not found"))</f>
        <v>Aminata Conteh</v>
      </c>
      <c r="D5" s="83" t="str">
        <f aca="false">IF(B5="","",IFERROR(INDEX(Students!$E$5:$E$304,MATCH(B5,Students!$A$5:$A$304,0)),""))</f>
        <v>SCH01</v>
      </c>
      <c r="E5" s="83" t="str">
        <f aca="false">IF(B5="","",IFERROR(INDEX(Students!$F$5:$F$304,MATCH(B5,Students!$A$5:$A$304,0)),""))</f>
        <v>Class 4</v>
      </c>
      <c r="F5" s="87" t="s">
        <v>355</v>
      </c>
      <c r="G5" s="88" t="s">
        <v>314</v>
      </c>
    </row>
    <row r="6" customFormat="false" ht="19.5" hidden="false" customHeight="true" outlineLevel="0" collapsed="false">
      <c r="A6" s="91"/>
      <c r="B6" s="52"/>
      <c r="C6" s="89" t="str">
        <f aca="false">IF(B6="","",IFERROR(INDEX(Students!$B$5:$B$304,MATCH(B6,Students!$A$5:$A$304,0)),"ID not found"))</f>
        <v/>
      </c>
      <c r="D6" s="85" t="str">
        <f aca="false">IF(B6="","",IFERROR(INDEX(Students!$E$5:$E$304,MATCH(B6,Students!$A$5:$A$304,0)),""))</f>
        <v/>
      </c>
      <c r="E6" s="85" t="str">
        <f aca="false">IF(B6="","",IFERROR(INDEX(Students!$F$5:$F$304,MATCH(B6,Students!$A$5:$A$304,0)),""))</f>
        <v/>
      </c>
      <c r="F6" s="52"/>
      <c r="G6" s="89"/>
    </row>
    <row r="7" customFormat="false" ht="19.5" hidden="false" customHeight="true" outlineLevel="0" collapsed="false">
      <c r="A7" s="91"/>
      <c r="B7" s="52"/>
      <c r="C7" s="89" t="str">
        <f aca="false">IF(B7="","",IFERROR(INDEX(Students!$B$5:$B$304,MATCH(B7,Students!$A$5:$A$304,0)),"ID not found"))</f>
        <v/>
      </c>
      <c r="D7" s="85" t="str">
        <f aca="false">IF(B7="","",IFERROR(INDEX(Students!$E$5:$E$304,MATCH(B7,Students!$A$5:$A$304,0)),""))</f>
        <v/>
      </c>
      <c r="E7" s="85" t="str">
        <f aca="false">IF(B7="","",IFERROR(INDEX(Students!$F$5:$F$304,MATCH(B7,Students!$A$5:$A$304,0)),""))</f>
        <v/>
      </c>
      <c r="F7" s="52"/>
      <c r="G7" s="89"/>
    </row>
    <row r="8" customFormat="false" ht="19.5" hidden="false" customHeight="true" outlineLevel="0" collapsed="false">
      <c r="A8" s="91"/>
      <c r="B8" s="52"/>
      <c r="C8" s="89" t="str">
        <f aca="false">IF(B8="","",IFERROR(INDEX(Students!$B$5:$B$304,MATCH(B8,Students!$A$5:$A$304,0)),"ID not found"))</f>
        <v/>
      </c>
      <c r="D8" s="85" t="str">
        <f aca="false">IF(B8="","",IFERROR(INDEX(Students!$E$5:$E$304,MATCH(B8,Students!$A$5:$A$304,0)),""))</f>
        <v/>
      </c>
      <c r="E8" s="85" t="str">
        <f aca="false">IF(B8="","",IFERROR(INDEX(Students!$F$5:$F$304,MATCH(B8,Students!$A$5:$A$304,0)),""))</f>
        <v/>
      </c>
      <c r="F8" s="52"/>
      <c r="G8" s="89"/>
    </row>
    <row r="9" customFormat="false" ht="19.5" hidden="false" customHeight="true" outlineLevel="0" collapsed="false">
      <c r="A9" s="91"/>
      <c r="B9" s="52"/>
      <c r="C9" s="89" t="str">
        <f aca="false">IF(B9="","",IFERROR(INDEX(Students!$B$5:$B$304,MATCH(B9,Students!$A$5:$A$304,0)),"ID not found"))</f>
        <v/>
      </c>
      <c r="D9" s="85" t="str">
        <f aca="false">IF(B9="","",IFERROR(INDEX(Students!$E$5:$E$304,MATCH(B9,Students!$A$5:$A$304,0)),""))</f>
        <v/>
      </c>
      <c r="E9" s="85" t="str">
        <f aca="false">IF(B9="","",IFERROR(INDEX(Students!$F$5:$F$304,MATCH(B9,Students!$A$5:$A$304,0)),""))</f>
        <v/>
      </c>
      <c r="F9" s="52"/>
      <c r="G9" s="89"/>
    </row>
    <row r="10" customFormat="false" ht="19.5" hidden="false" customHeight="true" outlineLevel="0" collapsed="false">
      <c r="A10" s="91"/>
      <c r="B10" s="52"/>
      <c r="C10" s="89" t="str">
        <f aca="false">IF(B10="","",IFERROR(INDEX(Students!$B$5:$B$304,MATCH(B10,Students!$A$5:$A$304,0)),"ID not found"))</f>
        <v/>
      </c>
      <c r="D10" s="85" t="str">
        <f aca="false">IF(B10="","",IFERROR(INDEX(Students!$E$5:$E$304,MATCH(B10,Students!$A$5:$A$304,0)),""))</f>
        <v/>
      </c>
      <c r="E10" s="85" t="str">
        <f aca="false">IF(B10="","",IFERROR(INDEX(Students!$F$5:$F$304,MATCH(B10,Students!$A$5:$A$304,0)),""))</f>
        <v/>
      </c>
      <c r="F10" s="52"/>
      <c r="G10" s="89"/>
    </row>
    <row r="11" customFormat="false" ht="19.5" hidden="false" customHeight="true" outlineLevel="0" collapsed="false">
      <c r="A11" s="91"/>
      <c r="B11" s="52"/>
      <c r="C11" s="89" t="str">
        <f aca="false">IF(B11="","",IFERROR(INDEX(Students!$B$5:$B$304,MATCH(B11,Students!$A$5:$A$304,0)),"ID not found"))</f>
        <v/>
      </c>
      <c r="D11" s="85" t="str">
        <f aca="false">IF(B11="","",IFERROR(INDEX(Students!$E$5:$E$304,MATCH(B11,Students!$A$5:$A$304,0)),""))</f>
        <v/>
      </c>
      <c r="E11" s="85" t="str">
        <f aca="false">IF(B11="","",IFERROR(INDEX(Students!$F$5:$F$304,MATCH(B11,Students!$A$5:$A$304,0)),""))</f>
        <v/>
      </c>
      <c r="F11" s="52"/>
      <c r="G11" s="89"/>
    </row>
    <row r="12" customFormat="false" ht="19.5" hidden="false" customHeight="true" outlineLevel="0" collapsed="false">
      <c r="A12" s="91"/>
      <c r="B12" s="52"/>
      <c r="C12" s="89" t="str">
        <f aca="false">IF(B12="","",IFERROR(INDEX(Students!$B$5:$B$304,MATCH(B12,Students!$A$5:$A$304,0)),"ID not found"))</f>
        <v/>
      </c>
      <c r="D12" s="85" t="str">
        <f aca="false">IF(B12="","",IFERROR(INDEX(Students!$E$5:$E$304,MATCH(B12,Students!$A$5:$A$304,0)),""))</f>
        <v/>
      </c>
      <c r="E12" s="85" t="str">
        <f aca="false">IF(B12="","",IFERROR(INDEX(Students!$F$5:$F$304,MATCH(B12,Students!$A$5:$A$304,0)),""))</f>
        <v/>
      </c>
      <c r="F12" s="52"/>
      <c r="G12" s="89"/>
    </row>
    <row r="13" customFormat="false" ht="19.5" hidden="false" customHeight="true" outlineLevel="0" collapsed="false">
      <c r="A13" s="91"/>
      <c r="B13" s="52"/>
      <c r="C13" s="89" t="str">
        <f aca="false">IF(B13="","",IFERROR(INDEX(Students!$B$5:$B$304,MATCH(B13,Students!$A$5:$A$304,0)),"ID not found"))</f>
        <v/>
      </c>
      <c r="D13" s="85" t="str">
        <f aca="false">IF(B13="","",IFERROR(INDEX(Students!$E$5:$E$304,MATCH(B13,Students!$A$5:$A$304,0)),""))</f>
        <v/>
      </c>
      <c r="E13" s="85" t="str">
        <f aca="false">IF(B13="","",IFERROR(INDEX(Students!$F$5:$F$304,MATCH(B13,Students!$A$5:$A$304,0)),""))</f>
        <v/>
      </c>
      <c r="F13" s="52"/>
      <c r="G13" s="89"/>
    </row>
    <row r="14" customFormat="false" ht="19.5" hidden="false" customHeight="true" outlineLevel="0" collapsed="false">
      <c r="A14" s="91"/>
      <c r="B14" s="52"/>
      <c r="C14" s="89" t="str">
        <f aca="false">IF(B14="","",IFERROR(INDEX(Students!$B$5:$B$304,MATCH(B14,Students!$A$5:$A$304,0)),"ID not found"))</f>
        <v/>
      </c>
      <c r="D14" s="85" t="str">
        <f aca="false">IF(B14="","",IFERROR(INDEX(Students!$E$5:$E$304,MATCH(B14,Students!$A$5:$A$304,0)),""))</f>
        <v/>
      </c>
      <c r="E14" s="85" t="str">
        <f aca="false">IF(B14="","",IFERROR(INDEX(Students!$F$5:$F$304,MATCH(B14,Students!$A$5:$A$304,0)),""))</f>
        <v/>
      </c>
      <c r="F14" s="52"/>
      <c r="G14" s="89"/>
    </row>
    <row r="15" customFormat="false" ht="19.5" hidden="false" customHeight="true" outlineLevel="0" collapsed="false">
      <c r="A15" s="91"/>
      <c r="B15" s="52"/>
      <c r="C15" s="89" t="str">
        <f aca="false">IF(B15="","",IFERROR(INDEX(Students!$B$5:$B$304,MATCH(B15,Students!$A$5:$A$304,0)),"ID not found"))</f>
        <v/>
      </c>
      <c r="D15" s="85" t="str">
        <f aca="false">IF(B15="","",IFERROR(INDEX(Students!$E$5:$E$304,MATCH(B15,Students!$A$5:$A$304,0)),""))</f>
        <v/>
      </c>
      <c r="E15" s="85" t="str">
        <f aca="false">IF(B15="","",IFERROR(INDEX(Students!$F$5:$F$304,MATCH(B15,Students!$A$5:$A$304,0)),""))</f>
        <v/>
      </c>
      <c r="F15" s="52"/>
      <c r="G15" s="89"/>
    </row>
    <row r="16" customFormat="false" ht="19.5" hidden="false" customHeight="true" outlineLevel="0" collapsed="false">
      <c r="A16" s="91"/>
      <c r="B16" s="52"/>
      <c r="C16" s="89" t="str">
        <f aca="false">IF(B16="","",IFERROR(INDEX(Students!$B$5:$B$304,MATCH(B16,Students!$A$5:$A$304,0)),"ID not found"))</f>
        <v/>
      </c>
      <c r="D16" s="85" t="str">
        <f aca="false">IF(B16="","",IFERROR(INDEX(Students!$E$5:$E$304,MATCH(B16,Students!$A$5:$A$304,0)),""))</f>
        <v/>
      </c>
      <c r="E16" s="85" t="str">
        <f aca="false">IF(B16="","",IFERROR(INDEX(Students!$F$5:$F$304,MATCH(B16,Students!$A$5:$A$304,0)),""))</f>
        <v/>
      </c>
      <c r="F16" s="52"/>
      <c r="G16" s="89"/>
    </row>
    <row r="17" customFormat="false" ht="19.5" hidden="false" customHeight="true" outlineLevel="0" collapsed="false">
      <c r="A17" s="91"/>
      <c r="B17" s="52"/>
      <c r="C17" s="89" t="str">
        <f aca="false">IF(B17="","",IFERROR(INDEX(Students!$B$5:$B$304,MATCH(B17,Students!$A$5:$A$304,0)),"ID not found"))</f>
        <v/>
      </c>
      <c r="D17" s="85" t="str">
        <f aca="false">IF(B17="","",IFERROR(INDEX(Students!$E$5:$E$304,MATCH(B17,Students!$A$5:$A$304,0)),""))</f>
        <v/>
      </c>
      <c r="E17" s="85" t="str">
        <f aca="false">IF(B17="","",IFERROR(INDEX(Students!$F$5:$F$304,MATCH(B17,Students!$A$5:$A$304,0)),""))</f>
        <v/>
      </c>
      <c r="F17" s="52"/>
      <c r="G17" s="89"/>
    </row>
    <row r="18" customFormat="false" ht="19.5" hidden="false" customHeight="true" outlineLevel="0" collapsed="false">
      <c r="A18" s="91"/>
      <c r="B18" s="52"/>
      <c r="C18" s="89" t="str">
        <f aca="false">IF(B18="","",IFERROR(INDEX(Students!$B$5:$B$304,MATCH(B18,Students!$A$5:$A$304,0)),"ID not found"))</f>
        <v/>
      </c>
      <c r="D18" s="85" t="str">
        <f aca="false">IF(B18="","",IFERROR(INDEX(Students!$E$5:$E$304,MATCH(B18,Students!$A$5:$A$304,0)),""))</f>
        <v/>
      </c>
      <c r="E18" s="85" t="str">
        <f aca="false">IF(B18="","",IFERROR(INDEX(Students!$F$5:$F$304,MATCH(B18,Students!$A$5:$A$304,0)),""))</f>
        <v/>
      </c>
      <c r="F18" s="52"/>
      <c r="G18" s="89"/>
    </row>
    <row r="19" customFormat="false" ht="19.5" hidden="false" customHeight="true" outlineLevel="0" collapsed="false">
      <c r="A19" s="91"/>
      <c r="B19" s="52"/>
      <c r="C19" s="89" t="str">
        <f aca="false">IF(B19="","",IFERROR(INDEX(Students!$B$5:$B$304,MATCH(B19,Students!$A$5:$A$304,0)),"ID not found"))</f>
        <v/>
      </c>
      <c r="D19" s="85" t="str">
        <f aca="false">IF(B19="","",IFERROR(INDEX(Students!$E$5:$E$304,MATCH(B19,Students!$A$5:$A$304,0)),""))</f>
        <v/>
      </c>
      <c r="E19" s="85" t="str">
        <f aca="false">IF(B19="","",IFERROR(INDEX(Students!$F$5:$F$304,MATCH(B19,Students!$A$5:$A$304,0)),""))</f>
        <v/>
      </c>
      <c r="F19" s="52"/>
      <c r="G19" s="89"/>
    </row>
    <row r="20" customFormat="false" ht="19.5" hidden="false" customHeight="true" outlineLevel="0" collapsed="false">
      <c r="A20" s="91"/>
      <c r="B20" s="52"/>
      <c r="C20" s="89" t="str">
        <f aca="false">IF(B20="","",IFERROR(INDEX(Students!$B$5:$B$304,MATCH(B20,Students!$A$5:$A$304,0)),"ID not found"))</f>
        <v/>
      </c>
      <c r="D20" s="85" t="str">
        <f aca="false">IF(B20="","",IFERROR(INDEX(Students!$E$5:$E$304,MATCH(B20,Students!$A$5:$A$304,0)),""))</f>
        <v/>
      </c>
      <c r="E20" s="85" t="str">
        <f aca="false">IF(B20="","",IFERROR(INDEX(Students!$F$5:$F$304,MATCH(B20,Students!$A$5:$A$304,0)),""))</f>
        <v/>
      </c>
      <c r="F20" s="52"/>
      <c r="G20" s="89"/>
    </row>
    <row r="21" customFormat="false" ht="19.5" hidden="false" customHeight="true" outlineLevel="0" collapsed="false">
      <c r="A21" s="91"/>
      <c r="B21" s="52"/>
      <c r="C21" s="89" t="str">
        <f aca="false">IF(B21="","",IFERROR(INDEX(Students!$B$5:$B$304,MATCH(B21,Students!$A$5:$A$304,0)),"ID not found"))</f>
        <v/>
      </c>
      <c r="D21" s="85" t="str">
        <f aca="false">IF(B21="","",IFERROR(INDEX(Students!$E$5:$E$304,MATCH(B21,Students!$A$5:$A$304,0)),""))</f>
        <v/>
      </c>
      <c r="E21" s="85" t="str">
        <f aca="false">IF(B21="","",IFERROR(INDEX(Students!$F$5:$F$304,MATCH(B21,Students!$A$5:$A$304,0)),""))</f>
        <v/>
      </c>
      <c r="F21" s="52"/>
      <c r="G21" s="89"/>
    </row>
    <row r="22" customFormat="false" ht="19.5" hidden="false" customHeight="true" outlineLevel="0" collapsed="false">
      <c r="A22" s="91"/>
      <c r="B22" s="52"/>
      <c r="C22" s="89" t="str">
        <f aca="false">IF(B22="","",IFERROR(INDEX(Students!$B$5:$B$304,MATCH(B22,Students!$A$5:$A$304,0)),"ID not found"))</f>
        <v/>
      </c>
      <c r="D22" s="85" t="str">
        <f aca="false">IF(B22="","",IFERROR(INDEX(Students!$E$5:$E$304,MATCH(B22,Students!$A$5:$A$304,0)),""))</f>
        <v/>
      </c>
      <c r="E22" s="85" t="str">
        <f aca="false">IF(B22="","",IFERROR(INDEX(Students!$F$5:$F$304,MATCH(B22,Students!$A$5:$A$304,0)),""))</f>
        <v/>
      </c>
      <c r="F22" s="52"/>
      <c r="G22" s="89"/>
    </row>
    <row r="23" customFormat="false" ht="19.5" hidden="false" customHeight="true" outlineLevel="0" collapsed="false">
      <c r="A23" s="91"/>
      <c r="B23" s="52"/>
      <c r="C23" s="89" t="str">
        <f aca="false">IF(B23="","",IFERROR(INDEX(Students!$B$5:$B$304,MATCH(B23,Students!$A$5:$A$304,0)),"ID not found"))</f>
        <v/>
      </c>
      <c r="D23" s="85" t="str">
        <f aca="false">IF(B23="","",IFERROR(INDEX(Students!$E$5:$E$304,MATCH(B23,Students!$A$5:$A$304,0)),""))</f>
        <v/>
      </c>
      <c r="E23" s="85" t="str">
        <f aca="false">IF(B23="","",IFERROR(INDEX(Students!$F$5:$F$304,MATCH(B23,Students!$A$5:$A$304,0)),""))</f>
        <v/>
      </c>
      <c r="F23" s="52"/>
      <c r="G23" s="89"/>
    </row>
    <row r="24" customFormat="false" ht="19.5" hidden="false" customHeight="true" outlineLevel="0" collapsed="false">
      <c r="A24" s="91"/>
      <c r="B24" s="52"/>
      <c r="C24" s="89" t="str">
        <f aca="false">IF(B24="","",IFERROR(INDEX(Students!$B$5:$B$304,MATCH(B24,Students!$A$5:$A$304,0)),"ID not found"))</f>
        <v/>
      </c>
      <c r="D24" s="85" t="str">
        <f aca="false">IF(B24="","",IFERROR(INDEX(Students!$E$5:$E$304,MATCH(B24,Students!$A$5:$A$304,0)),""))</f>
        <v/>
      </c>
      <c r="E24" s="85" t="str">
        <f aca="false">IF(B24="","",IFERROR(INDEX(Students!$F$5:$F$304,MATCH(B24,Students!$A$5:$A$304,0)),""))</f>
        <v/>
      </c>
      <c r="F24" s="52"/>
      <c r="G24" s="89"/>
    </row>
    <row r="25" customFormat="false" ht="19.5" hidden="false" customHeight="true" outlineLevel="0" collapsed="false">
      <c r="A25" s="91"/>
      <c r="B25" s="52"/>
      <c r="C25" s="89" t="str">
        <f aca="false">IF(B25="","",IFERROR(INDEX(Students!$B$5:$B$304,MATCH(B25,Students!$A$5:$A$304,0)),"ID not found"))</f>
        <v/>
      </c>
      <c r="D25" s="85" t="str">
        <f aca="false">IF(B25="","",IFERROR(INDEX(Students!$E$5:$E$304,MATCH(B25,Students!$A$5:$A$304,0)),""))</f>
        <v/>
      </c>
      <c r="E25" s="85" t="str">
        <f aca="false">IF(B25="","",IFERROR(INDEX(Students!$F$5:$F$304,MATCH(B25,Students!$A$5:$A$304,0)),""))</f>
        <v/>
      </c>
      <c r="F25" s="52"/>
      <c r="G25" s="89"/>
    </row>
    <row r="26" customFormat="false" ht="19.5" hidden="false" customHeight="true" outlineLevel="0" collapsed="false">
      <c r="A26" s="91"/>
      <c r="B26" s="52"/>
      <c r="C26" s="89" t="str">
        <f aca="false">IF(B26="","",IFERROR(INDEX(Students!$B$5:$B$304,MATCH(B26,Students!$A$5:$A$304,0)),"ID not found"))</f>
        <v/>
      </c>
      <c r="D26" s="85" t="str">
        <f aca="false">IF(B26="","",IFERROR(INDEX(Students!$E$5:$E$304,MATCH(B26,Students!$A$5:$A$304,0)),""))</f>
        <v/>
      </c>
      <c r="E26" s="85" t="str">
        <f aca="false">IF(B26="","",IFERROR(INDEX(Students!$F$5:$F$304,MATCH(B26,Students!$A$5:$A$304,0)),""))</f>
        <v/>
      </c>
      <c r="F26" s="52"/>
      <c r="G26" s="89"/>
    </row>
    <row r="27" customFormat="false" ht="19.5" hidden="false" customHeight="true" outlineLevel="0" collapsed="false">
      <c r="A27" s="91"/>
      <c r="B27" s="52"/>
      <c r="C27" s="89" t="str">
        <f aca="false">IF(B27="","",IFERROR(INDEX(Students!$B$5:$B$304,MATCH(B27,Students!$A$5:$A$304,0)),"ID not found"))</f>
        <v/>
      </c>
      <c r="D27" s="85" t="str">
        <f aca="false">IF(B27="","",IFERROR(INDEX(Students!$E$5:$E$304,MATCH(B27,Students!$A$5:$A$304,0)),""))</f>
        <v/>
      </c>
      <c r="E27" s="85" t="str">
        <f aca="false">IF(B27="","",IFERROR(INDEX(Students!$F$5:$F$304,MATCH(B27,Students!$A$5:$A$304,0)),""))</f>
        <v/>
      </c>
      <c r="F27" s="52"/>
      <c r="G27" s="89"/>
    </row>
    <row r="28" customFormat="false" ht="19.5" hidden="false" customHeight="true" outlineLevel="0" collapsed="false">
      <c r="A28" s="91"/>
      <c r="B28" s="52"/>
      <c r="C28" s="89" t="str">
        <f aca="false">IF(B28="","",IFERROR(INDEX(Students!$B$5:$B$304,MATCH(B28,Students!$A$5:$A$304,0)),"ID not found"))</f>
        <v/>
      </c>
      <c r="D28" s="85" t="str">
        <f aca="false">IF(B28="","",IFERROR(INDEX(Students!$E$5:$E$304,MATCH(B28,Students!$A$5:$A$304,0)),""))</f>
        <v/>
      </c>
      <c r="E28" s="85" t="str">
        <f aca="false">IF(B28="","",IFERROR(INDEX(Students!$F$5:$F$304,MATCH(B28,Students!$A$5:$A$304,0)),""))</f>
        <v/>
      </c>
      <c r="F28" s="52"/>
      <c r="G28" s="89"/>
    </row>
    <row r="29" customFormat="false" ht="19.5" hidden="false" customHeight="true" outlineLevel="0" collapsed="false">
      <c r="A29" s="91"/>
      <c r="B29" s="52"/>
      <c r="C29" s="89" t="str">
        <f aca="false">IF(B29="","",IFERROR(INDEX(Students!$B$5:$B$304,MATCH(B29,Students!$A$5:$A$304,0)),"ID not found"))</f>
        <v/>
      </c>
      <c r="D29" s="85" t="str">
        <f aca="false">IF(B29="","",IFERROR(INDEX(Students!$E$5:$E$304,MATCH(B29,Students!$A$5:$A$304,0)),""))</f>
        <v/>
      </c>
      <c r="E29" s="85" t="str">
        <f aca="false">IF(B29="","",IFERROR(INDEX(Students!$F$5:$F$304,MATCH(B29,Students!$A$5:$A$304,0)),""))</f>
        <v/>
      </c>
      <c r="F29" s="52"/>
      <c r="G29" s="89"/>
    </row>
    <row r="30" customFormat="false" ht="19.5" hidden="false" customHeight="true" outlineLevel="0" collapsed="false">
      <c r="A30" s="91"/>
      <c r="B30" s="52"/>
      <c r="C30" s="89" t="str">
        <f aca="false">IF(B30="","",IFERROR(INDEX(Students!$B$5:$B$304,MATCH(B30,Students!$A$5:$A$304,0)),"ID not found"))</f>
        <v/>
      </c>
      <c r="D30" s="85" t="str">
        <f aca="false">IF(B30="","",IFERROR(INDEX(Students!$E$5:$E$304,MATCH(B30,Students!$A$5:$A$304,0)),""))</f>
        <v/>
      </c>
      <c r="E30" s="85" t="str">
        <f aca="false">IF(B30="","",IFERROR(INDEX(Students!$F$5:$F$304,MATCH(B30,Students!$A$5:$A$304,0)),""))</f>
        <v/>
      </c>
      <c r="F30" s="52"/>
      <c r="G30" s="89"/>
    </row>
    <row r="31" customFormat="false" ht="19.5" hidden="false" customHeight="true" outlineLevel="0" collapsed="false">
      <c r="A31" s="91"/>
      <c r="B31" s="52"/>
      <c r="C31" s="89" t="str">
        <f aca="false">IF(B31="","",IFERROR(INDEX(Students!$B$5:$B$304,MATCH(B31,Students!$A$5:$A$304,0)),"ID not found"))</f>
        <v/>
      </c>
      <c r="D31" s="85" t="str">
        <f aca="false">IF(B31="","",IFERROR(INDEX(Students!$E$5:$E$304,MATCH(B31,Students!$A$5:$A$304,0)),""))</f>
        <v/>
      </c>
      <c r="E31" s="85" t="str">
        <f aca="false">IF(B31="","",IFERROR(INDEX(Students!$F$5:$F$304,MATCH(B31,Students!$A$5:$A$304,0)),""))</f>
        <v/>
      </c>
      <c r="F31" s="52"/>
      <c r="G31" s="89"/>
    </row>
    <row r="32" customFormat="false" ht="19.5" hidden="false" customHeight="true" outlineLevel="0" collapsed="false">
      <c r="A32" s="91"/>
      <c r="B32" s="52"/>
      <c r="C32" s="89" t="str">
        <f aca="false">IF(B32="","",IFERROR(INDEX(Students!$B$5:$B$304,MATCH(B32,Students!$A$5:$A$304,0)),"ID not found"))</f>
        <v/>
      </c>
      <c r="D32" s="85" t="str">
        <f aca="false">IF(B32="","",IFERROR(INDEX(Students!$E$5:$E$304,MATCH(B32,Students!$A$5:$A$304,0)),""))</f>
        <v/>
      </c>
      <c r="E32" s="85" t="str">
        <f aca="false">IF(B32="","",IFERROR(INDEX(Students!$F$5:$F$304,MATCH(B32,Students!$A$5:$A$304,0)),""))</f>
        <v/>
      </c>
      <c r="F32" s="52"/>
      <c r="G32" s="89"/>
    </row>
    <row r="33" customFormat="false" ht="19.5" hidden="false" customHeight="true" outlineLevel="0" collapsed="false">
      <c r="A33" s="91"/>
      <c r="B33" s="52"/>
      <c r="C33" s="89" t="str">
        <f aca="false">IF(B33="","",IFERROR(INDEX(Students!$B$5:$B$304,MATCH(B33,Students!$A$5:$A$304,0)),"ID not found"))</f>
        <v/>
      </c>
      <c r="D33" s="85" t="str">
        <f aca="false">IF(B33="","",IFERROR(INDEX(Students!$E$5:$E$304,MATCH(B33,Students!$A$5:$A$304,0)),""))</f>
        <v/>
      </c>
      <c r="E33" s="85" t="str">
        <f aca="false">IF(B33="","",IFERROR(INDEX(Students!$F$5:$F$304,MATCH(B33,Students!$A$5:$A$304,0)),""))</f>
        <v/>
      </c>
      <c r="F33" s="52"/>
      <c r="G33" s="89"/>
    </row>
    <row r="34" customFormat="false" ht="19.5" hidden="false" customHeight="true" outlineLevel="0" collapsed="false">
      <c r="A34" s="91"/>
      <c r="B34" s="52"/>
      <c r="C34" s="89" t="str">
        <f aca="false">IF(B34="","",IFERROR(INDEX(Students!$B$5:$B$304,MATCH(B34,Students!$A$5:$A$304,0)),"ID not found"))</f>
        <v/>
      </c>
      <c r="D34" s="85" t="str">
        <f aca="false">IF(B34="","",IFERROR(INDEX(Students!$E$5:$E$304,MATCH(B34,Students!$A$5:$A$304,0)),""))</f>
        <v/>
      </c>
      <c r="E34" s="85" t="str">
        <f aca="false">IF(B34="","",IFERROR(INDEX(Students!$F$5:$F$304,MATCH(B34,Students!$A$5:$A$304,0)),""))</f>
        <v/>
      </c>
      <c r="F34" s="52"/>
      <c r="G34" s="89"/>
    </row>
    <row r="35" customFormat="false" ht="19.5" hidden="false" customHeight="true" outlineLevel="0" collapsed="false">
      <c r="A35" s="91"/>
      <c r="B35" s="52"/>
      <c r="C35" s="89" t="str">
        <f aca="false">IF(B35="","",IFERROR(INDEX(Students!$B$5:$B$304,MATCH(B35,Students!$A$5:$A$304,0)),"ID not found"))</f>
        <v/>
      </c>
      <c r="D35" s="85" t="str">
        <f aca="false">IF(B35="","",IFERROR(INDEX(Students!$E$5:$E$304,MATCH(B35,Students!$A$5:$A$304,0)),""))</f>
        <v/>
      </c>
      <c r="E35" s="85" t="str">
        <f aca="false">IF(B35="","",IFERROR(INDEX(Students!$F$5:$F$304,MATCH(B35,Students!$A$5:$A$304,0)),""))</f>
        <v/>
      </c>
      <c r="F35" s="52"/>
      <c r="G35" s="89"/>
    </row>
    <row r="36" customFormat="false" ht="19.5" hidden="false" customHeight="true" outlineLevel="0" collapsed="false">
      <c r="A36" s="91"/>
      <c r="B36" s="52"/>
      <c r="C36" s="89" t="str">
        <f aca="false">IF(B36="","",IFERROR(INDEX(Students!$B$5:$B$304,MATCH(B36,Students!$A$5:$A$304,0)),"ID not found"))</f>
        <v/>
      </c>
      <c r="D36" s="85" t="str">
        <f aca="false">IF(B36="","",IFERROR(INDEX(Students!$E$5:$E$304,MATCH(B36,Students!$A$5:$A$304,0)),""))</f>
        <v/>
      </c>
      <c r="E36" s="85" t="str">
        <f aca="false">IF(B36="","",IFERROR(INDEX(Students!$F$5:$F$304,MATCH(B36,Students!$A$5:$A$304,0)),""))</f>
        <v/>
      </c>
      <c r="F36" s="52"/>
      <c r="G36" s="89"/>
    </row>
    <row r="37" customFormat="false" ht="19.5" hidden="false" customHeight="true" outlineLevel="0" collapsed="false">
      <c r="A37" s="91"/>
      <c r="B37" s="52"/>
      <c r="C37" s="89" t="str">
        <f aca="false">IF(B37="","",IFERROR(INDEX(Students!$B$5:$B$304,MATCH(B37,Students!$A$5:$A$304,0)),"ID not found"))</f>
        <v/>
      </c>
      <c r="D37" s="85" t="str">
        <f aca="false">IF(B37="","",IFERROR(INDEX(Students!$E$5:$E$304,MATCH(B37,Students!$A$5:$A$304,0)),""))</f>
        <v/>
      </c>
      <c r="E37" s="85" t="str">
        <f aca="false">IF(B37="","",IFERROR(INDEX(Students!$F$5:$F$304,MATCH(B37,Students!$A$5:$A$304,0)),""))</f>
        <v/>
      </c>
      <c r="F37" s="52"/>
      <c r="G37" s="89"/>
    </row>
    <row r="38" customFormat="false" ht="19.5" hidden="false" customHeight="true" outlineLevel="0" collapsed="false">
      <c r="A38" s="91"/>
      <c r="B38" s="52"/>
      <c r="C38" s="89" t="str">
        <f aca="false">IF(B38="","",IFERROR(INDEX(Students!$B$5:$B$304,MATCH(B38,Students!$A$5:$A$304,0)),"ID not found"))</f>
        <v/>
      </c>
      <c r="D38" s="85" t="str">
        <f aca="false">IF(B38="","",IFERROR(INDEX(Students!$E$5:$E$304,MATCH(B38,Students!$A$5:$A$304,0)),""))</f>
        <v/>
      </c>
      <c r="E38" s="85" t="str">
        <f aca="false">IF(B38="","",IFERROR(INDEX(Students!$F$5:$F$304,MATCH(B38,Students!$A$5:$A$304,0)),""))</f>
        <v/>
      </c>
      <c r="F38" s="52"/>
      <c r="G38" s="89"/>
    </row>
    <row r="39" customFormat="false" ht="19.5" hidden="false" customHeight="true" outlineLevel="0" collapsed="false">
      <c r="A39" s="91"/>
      <c r="B39" s="52"/>
      <c r="C39" s="89" t="str">
        <f aca="false">IF(B39="","",IFERROR(INDEX(Students!$B$5:$B$304,MATCH(B39,Students!$A$5:$A$304,0)),"ID not found"))</f>
        <v/>
      </c>
      <c r="D39" s="85" t="str">
        <f aca="false">IF(B39="","",IFERROR(INDEX(Students!$E$5:$E$304,MATCH(B39,Students!$A$5:$A$304,0)),""))</f>
        <v/>
      </c>
      <c r="E39" s="85" t="str">
        <f aca="false">IF(B39="","",IFERROR(INDEX(Students!$F$5:$F$304,MATCH(B39,Students!$A$5:$A$304,0)),""))</f>
        <v/>
      </c>
      <c r="F39" s="52"/>
      <c r="G39" s="89"/>
    </row>
    <row r="40" customFormat="false" ht="19.5" hidden="false" customHeight="true" outlineLevel="0" collapsed="false">
      <c r="A40" s="91"/>
      <c r="B40" s="52"/>
      <c r="C40" s="89" t="str">
        <f aca="false">IF(B40="","",IFERROR(INDEX(Students!$B$5:$B$304,MATCH(B40,Students!$A$5:$A$304,0)),"ID not found"))</f>
        <v/>
      </c>
      <c r="D40" s="85" t="str">
        <f aca="false">IF(B40="","",IFERROR(INDEX(Students!$E$5:$E$304,MATCH(B40,Students!$A$5:$A$304,0)),""))</f>
        <v/>
      </c>
      <c r="E40" s="85" t="str">
        <f aca="false">IF(B40="","",IFERROR(INDEX(Students!$F$5:$F$304,MATCH(B40,Students!$A$5:$A$304,0)),""))</f>
        <v/>
      </c>
      <c r="F40" s="52"/>
      <c r="G40" s="89"/>
    </row>
    <row r="41" customFormat="false" ht="19.5" hidden="false" customHeight="true" outlineLevel="0" collapsed="false">
      <c r="A41" s="91"/>
      <c r="B41" s="52"/>
      <c r="C41" s="89" t="str">
        <f aca="false">IF(B41="","",IFERROR(INDEX(Students!$B$5:$B$304,MATCH(B41,Students!$A$5:$A$304,0)),"ID not found"))</f>
        <v/>
      </c>
      <c r="D41" s="85" t="str">
        <f aca="false">IF(B41="","",IFERROR(INDEX(Students!$E$5:$E$304,MATCH(B41,Students!$A$5:$A$304,0)),""))</f>
        <v/>
      </c>
      <c r="E41" s="85" t="str">
        <f aca="false">IF(B41="","",IFERROR(INDEX(Students!$F$5:$F$304,MATCH(B41,Students!$A$5:$A$304,0)),""))</f>
        <v/>
      </c>
      <c r="F41" s="52"/>
      <c r="G41" s="89"/>
    </row>
    <row r="42" customFormat="false" ht="19.5" hidden="false" customHeight="true" outlineLevel="0" collapsed="false">
      <c r="A42" s="91"/>
      <c r="B42" s="52"/>
      <c r="C42" s="89" t="str">
        <f aca="false">IF(B42="","",IFERROR(INDEX(Students!$B$5:$B$304,MATCH(B42,Students!$A$5:$A$304,0)),"ID not found"))</f>
        <v/>
      </c>
      <c r="D42" s="85" t="str">
        <f aca="false">IF(B42="","",IFERROR(INDEX(Students!$E$5:$E$304,MATCH(B42,Students!$A$5:$A$304,0)),""))</f>
        <v/>
      </c>
      <c r="E42" s="85" t="str">
        <f aca="false">IF(B42="","",IFERROR(INDEX(Students!$F$5:$F$304,MATCH(B42,Students!$A$5:$A$304,0)),""))</f>
        <v/>
      </c>
      <c r="F42" s="52"/>
      <c r="G42" s="89"/>
    </row>
    <row r="43" customFormat="false" ht="19.5" hidden="false" customHeight="true" outlineLevel="0" collapsed="false">
      <c r="A43" s="91"/>
      <c r="B43" s="52"/>
      <c r="C43" s="89" t="str">
        <f aca="false">IF(B43="","",IFERROR(INDEX(Students!$B$5:$B$304,MATCH(B43,Students!$A$5:$A$304,0)),"ID not found"))</f>
        <v/>
      </c>
      <c r="D43" s="85" t="str">
        <f aca="false">IF(B43="","",IFERROR(INDEX(Students!$E$5:$E$304,MATCH(B43,Students!$A$5:$A$304,0)),""))</f>
        <v/>
      </c>
      <c r="E43" s="85" t="str">
        <f aca="false">IF(B43="","",IFERROR(INDEX(Students!$F$5:$F$304,MATCH(B43,Students!$A$5:$A$304,0)),""))</f>
        <v/>
      </c>
      <c r="F43" s="52"/>
      <c r="G43" s="89"/>
    </row>
    <row r="44" customFormat="false" ht="19.5" hidden="false" customHeight="true" outlineLevel="0" collapsed="false">
      <c r="A44" s="91"/>
      <c r="B44" s="52"/>
      <c r="C44" s="89" t="str">
        <f aca="false">IF(B44="","",IFERROR(INDEX(Students!$B$5:$B$304,MATCH(B44,Students!$A$5:$A$304,0)),"ID not found"))</f>
        <v/>
      </c>
      <c r="D44" s="85" t="str">
        <f aca="false">IF(B44="","",IFERROR(INDEX(Students!$E$5:$E$304,MATCH(B44,Students!$A$5:$A$304,0)),""))</f>
        <v/>
      </c>
      <c r="E44" s="85" t="str">
        <f aca="false">IF(B44="","",IFERROR(INDEX(Students!$F$5:$F$304,MATCH(B44,Students!$A$5:$A$304,0)),""))</f>
        <v/>
      </c>
      <c r="F44" s="52"/>
      <c r="G44" s="89"/>
    </row>
    <row r="45" customFormat="false" ht="19.5" hidden="false" customHeight="true" outlineLevel="0" collapsed="false">
      <c r="A45" s="91"/>
      <c r="B45" s="52"/>
      <c r="C45" s="89" t="str">
        <f aca="false">IF(B45="","",IFERROR(INDEX(Students!$B$5:$B$304,MATCH(B45,Students!$A$5:$A$304,0)),"ID not found"))</f>
        <v/>
      </c>
      <c r="D45" s="85" t="str">
        <f aca="false">IF(B45="","",IFERROR(INDEX(Students!$E$5:$E$304,MATCH(B45,Students!$A$5:$A$304,0)),""))</f>
        <v/>
      </c>
      <c r="E45" s="85" t="str">
        <f aca="false">IF(B45="","",IFERROR(INDEX(Students!$F$5:$F$304,MATCH(B45,Students!$A$5:$A$304,0)),""))</f>
        <v/>
      </c>
      <c r="F45" s="52"/>
      <c r="G45" s="89"/>
    </row>
    <row r="46" customFormat="false" ht="19.5" hidden="false" customHeight="true" outlineLevel="0" collapsed="false">
      <c r="A46" s="91"/>
      <c r="B46" s="52"/>
      <c r="C46" s="89" t="str">
        <f aca="false">IF(B46="","",IFERROR(INDEX(Students!$B$5:$B$304,MATCH(B46,Students!$A$5:$A$304,0)),"ID not found"))</f>
        <v/>
      </c>
      <c r="D46" s="85" t="str">
        <f aca="false">IF(B46="","",IFERROR(INDEX(Students!$E$5:$E$304,MATCH(B46,Students!$A$5:$A$304,0)),""))</f>
        <v/>
      </c>
      <c r="E46" s="85" t="str">
        <f aca="false">IF(B46="","",IFERROR(INDEX(Students!$F$5:$F$304,MATCH(B46,Students!$A$5:$A$304,0)),""))</f>
        <v/>
      </c>
      <c r="F46" s="52"/>
      <c r="G46" s="89"/>
    </row>
    <row r="47" customFormat="false" ht="19.5" hidden="false" customHeight="true" outlineLevel="0" collapsed="false">
      <c r="A47" s="91"/>
      <c r="B47" s="52"/>
      <c r="C47" s="89" t="str">
        <f aca="false">IF(B47="","",IFERROR(INDEX(Students!$B$5:$B$304,MATCH(B47,Students!$A$5:$A$304,0)),"ID not found"))</f>
        <v/>
      </c>
      <c r="D47" s="85" t="str">
        <f aca="false">IF(B47="","",IFERROR(INDEX(Students!$E$5:$E$304,MATCH(B47,Students!$A$5:$A$304,0)),""))</f>
        <v/>
      </c>
      <c r="E47" s="85" t="str">
        <f aca="false">IF(B47="","",IFERROR(INDEX(Students!$F$5:$F$304,MATCH(B47,Students!$A$5:$A$304,0)),""))</f>
        <v/>
      </c>
      <c r="F47" s="52"/>
      <c r="G47" s="89"/>
    </row>
    <row r="48" customFormat="false" ht="19.5" hidden="false" customHeight="true" outlineLevel="0" collapsed="false">
      <c r="A48" s="91"/>
      <c r="B48" s="52"/>
      <c r="C48" s="89" t="str">
        <f aca="false">IF(B48="","",IFERROR(INDEX(Students!$B$5:$B$304,MATCH(B48,Students!$A$5:$A$304,0)),"ID not found"))</f>
        <v/>
      </c>
      <c r="D48" s="85" t="str">
        <f aca="false">IF(B48="","",IFERROR(INDEX(Students!$E$5:$E$304,MATCH(B48,Students!$A$5:$A$304,0)),""))</f>
        <v/>
      </c>
      <c r="E48" s="85" t="str">
        <f aca="false">IF(B48="","",IFERROR(INDEX(Students!$F$5:$F$304,MATCH(B48,Students!$A$5:$A$304,0)),""))</f>
        <v/>
      </c>
      <c r="F48" s="52"/>
      <c r="G48" s="89"/>
    </row>
    <row r="49" customFormat="false" ht="19.5" hidden="false" customHeight="true" outlineLevel="0" collapsed="false">
      <c r="A49" s="91"/>
      <c r="B49" s="52"/>
      <c r="C49" s="89" t="str">
        <f aca="false">IF(B49="","",IFERROR(INDEX(Students!$B$5:$B$304,MATCH(B49,Students!$A$5:$A$304,0)),"ID not found"))</f>
        <v/>
      </c>
      <c r="D49" s="85" t="str">
        <f aca="false">IF(B49="","",IFERROR(INDEX(Students!$E$5:$E$304,MATCH(B49,Students!$A$5:$A$304,0)),""))</f>
        <v/>
      </c>
      <c r="E49" s="85" t="str">
        <f aca="false">IF(B49="","",IFERROR(INDEX(Students!$F$5:$F$304,MATCH(B49,Students!$A$5:$A$304,0)),""))</f>
        <v/>
      </c>
      <c r="F49" s="52"/>
      <c r="G49" s="89"/>
    </row>
    <row r="50" customFormat="false" ht="19.5" hidden="false" customHeight="true" outlineLevel="0" collapsed="false">
      <c r="A50" s="91"/>
      <c r="B50" s="52"/>
      <c r="C50" s="89" t="str">
        <f aca="false">IF(B50="","",IFERROR(INDEX(Students!$B$5:$B$304,MATCH(B50,Students!$A$5:$A$304,0)),"ID not found"))</f>
        <v/>
      </c>
      <c r="D50" s="85" t="str">
        <f aca="false">IF(B50="","",IFERROR(INDEX(Students!$E$5:$E$304,MATCH(B50,Students!$A$5:$A$304,0)),""))</f>
        <v/>
      </c>
      <c r="E50" s="85" t="str">
        <f aca="false">IF(B50="","",IFERROR(INDEX(Students!$F$5:$F$304,MATCH(B50,Students!$A$5:$A$304,0)),""))</f>
        <v/>
      </c>
      <c r="F50" s="52"/>
      <c r="G50" s="89"/>
    </row>
    <row r="51" customFormat="false" ht="19.5" hidden="false" customHeight="true" outlineLevel="0" collapsed="false">
      <c r="A51" s="91"/>
      <c r="B51" s="52"/>
      <c r="C51" s="89" t="str">
        <f aca="false">IF(B51="","",IFERROR(INDEX(Students!$B$5:$B$304,MATCH(B51,Students!$A$5:$A$304,0)),"ID not found"))</f>
        <v/>
      </c>
      <c r="D51" s="85" t="str">
        <f aca="false">IF(B51="","",IFERROR(INDEX(Students!$E$5:$E$304,MATCH(B51,Students!$A$5:$A$304,0)),""))</f>
        <v/>
      </c>
      <c r="E51" s="85" t="str">
        <f aca="false">IF(B51="","",IFERROR(INDEX(Students!$F$5:$F$304,MATCH(B51,Students!$A$5:$A$304,0)),""))</f>
        <v/>
      </c>
      <c r="F51" s="52"/>
      <c r="G51" s="89"/>
    </row>
    <row r="52" customFormat="false" ht="19.5" hidden="false" customHeight="true" outlineLevel="0" collapsed="false">
      <c r="A52" s="91"/>
      <c r="B52" s="52"/>
      <c r="C52" s="89" t="str">
        <f aca="false">IF(B52="","",IFERROR(INDEX(Students!$B$5:$B$304,MATCH(B52,Students!$A$5:$A$304,0)),"ID not found"))</f>
        <v/>
      </c>
      <c r="D52" s="85" t="str">
        <f aca="false">IF(B52="","",IFERROR(INDEX(Students!$E$5:$E$304,MATCH(B52,Students!$A$5:$A$304,0)),""))</f>
        <v/>
      </c>
      <c r="E52" s="85" t="str">
        <f aca="false">IF(B52="","",IFERROR(INDEX(Students!$F$5:$F$304,MATCH(B52,Students!$A$5:$A$304,0)),""))</f>
        <v/>
      </c>
      <c r="F52" s="52"/>
      <c r="G52" s="89"/>
    </row>
    <row r="53" customFormat="false" ht="19.5" hidden="false" customHeight="true" outlineLevel="0" collapsed="false">
      <c r="A53" s="91"/>
      <c r="B53" s="52"/>
      <c r="C53" s="89" t="str">
        <f aca="false">IF(B53="","",IFERROR(INDEX(Students!$B$5:$B$304,MATCH(B53,Students!$A$5:$A$304,0)),"ID not found"))</f>
        <v/>
      </c>
      <c r="D53" s="85" t="str">
        <f aca="false">IF(B53="","",IFERROR(INDEX(Students!$E$5:$E$304,MATCH(B53,Students!$A$5:$A$304,0)),""))</f>
        <v/>
      </c>
      <c r="E53" s="85" t="str">
        <f aca="false">IF(B53="","",IFERROR(INDEX(Students!$F$5:$F$304,MATCH(B53,Students!$A$5:$A$304,0)),""))</f>
        <v/>
      </c>
      <c r="F53" s="52"/>
      <c r="G53" s="89"/>
    </row>
    <row r="54" customFormat="false" ht="19.5" hidden="false" customHeight="true" outlineLevel="0" collapsed="false">
      <c r="A54" s="91"/>
      <c r="B54" s="52"/>
      <c r="C54" s="89" t="str">
        <f aca="false">IF(B54="","",IFERROR(INDEX(Students!$B$5:$B$304,MATCH(B54,Students!$A$5:$A$304,0)),"ID not found"))</f>
        <v/>
      </c>
      <c r="D54" s="85" t="str">
        <f aca="false">IF(B54="","",IFERROR(INDEX(Students!$E$5:$E$304,MATCH(B54,Students!$A$5:$A$304,0)),""))</f>
        <v/>
      </c>
      <c r="E54" s="85" t="str">
        <f aca="false">IF(B54="","",IFERROR(INDEX(Students!$F$5:$F$304,MATCH(B54,Students!$A$5:$A$304,0)),""))</f>
        <v/>
      </c>
      <c r="F54" s="52"/>
      <c r="G54" s="89"/>
    </row>
    <row r="55" customFormat="false" ht="19.5" hidden="false" customHeight="true" outlineLevel="0" collapsed="false">
      <c r="A55" s="91"/>
      <c r="B55" s="52"/>
      <c r="C55" s="89" t="str">
        <f aca="false">IF(B55="","",IFERROR(INDEX(Students!$B$5:$B$304,MATCH(B55,Students!$A$5:$A$304,0)),"ID not found"))</f>
        <v/>
      </c>
      <c r="D55" s="85" t="str">
        <f aca="false">IF(B55="","",IFERROR(INDEX(Students!$E$5:$E$304,MATCH(B55,Students!$A$5:$A$304,0)),""))</f>
        <v/>
      </c>
      <c r="E55" s="85" t="str">
        <f aca="false">IF(B55="","",IFERROR(INDEX(Students!$F$5:$F$304,MATCH(B55,Students!$A$5:$A$304,0)),""))</f>
        <v/>
      </c>
      <c r="F55" s="52"/>
      <c r="G55" s="89"/>
    </row>
    <row r="56" customFormat="false" ht="19.5" hidden="false" customHeight="true" outlineLevel="0" collapsed="false">
      <c r="A56" s="91"/>
      <c r="B56" s="52"/>
      <c r="C56" s="89" t="str">
        <f aca="false">IF(B56="","",IFERROR(INDEX(Students!$B$5:$B$304,MATCH(B56,Students!$A$5:$A$304,0)),"ID not found"))</f>
        <v/>
      </c>
      <c r="D56" s="85" t="str">
        <f aca="false">IF(B56="","",IFERROR(INDEX(Students!$E$5:$E$304,MATCH(B56,Students!$A$5:$A$304,0)),""))</f>
        <v/>
      </c>
      <c r="E56" s="85" t="str">
        <f aca="false">IF(B56="","",IFERROR(INDEX(Students!$F$5:$F$304,MATCH(B56,Students!$A$5:$A$304,0)),""))</f>
        <v/>
      </c>
      <c r="F56" s="52"/>
      <c r="G56" s="89"/>
    </row>
    <row r="57" customFormat="false" ht="19.5" hidden="false" customHeight="true" outlineLevel="0" collapsed="false">
      <c r="A57" s="91"/>
      <c r="B57" s="52"/>
      <c r="C57" s="89" t="str">
        <f aca="false">IF(B57="","",IFERROR(INDEX(Students!$B$5:$B$304,MATCH(B57,Students!$A$5:$A$304,0)),"ID not found"))</f>
        <v/>
      </c>
      <c r="D57" s="85" t="str">
        <f aca="false">IF(B57="","",IFERROR(INDEX(Students!$E$5:$E$304,MATCH(B57,Students!$A$5:$A$304,0)),""))</f>
        <v/>
      </c>
      <c r="E57" s="85" t="str">
        <f aca="false">IF(B57="","",IFERROR(INDEX(Students!$F$5:$F$304,MATCH(B57,Students!$A$5:$A$304,0)),""))</f>
        <v/>
      </c>
      <c r="F57" s="52"/>
      <c r="G57" s="89"/>
    </row>
    <row r="58" customFormat="false" ht="19.5" hidden="false" customHeight="true" outlineLevel="0" collapsed="false">
      <c r="A58" s="91"/>
      <c r="B58" s="52"/>
      <c r="C58" s="89" t="str">
        <f aca="false">IF(B58="","",IFERROR(INDEX(Students!$B$5:$B$304,MATCH(B58,Students!$A$5:$A$304,0)),"ID not found"))</f>
        <v/>
      </c>
      <c r="D58" s="85" t="str">
        <f aca="false">IF(B58="","",IFERROR(INDEX(Students!$E$5:$E$304,MATCH(B58,Students!$A$5:$A$304,0)),""))</f>
        <v/>
      </c>
      <c r="E58" s="85" t="str">
        <f aca="false">IF(B58="","",IFERROR(INDEX(Students!$F$5:$F$304,MATCH(B58,Students!$A$5:$A$304,0)),""))</f>
        <v/>
      </c>
      <c r="F58" s="52"/>
      <c r="G58" s="89"/>
    </row>
    <row r="59" customFormat="false" ht="19.5" hidden="false" customHeight="true" outlineLevel="0" collapsed="false">
      <c r="A59" s="91"/>
      <c r="B59" s="52"/>
      <c r="C59" s="89" t="str">
        <f aca="false">IF(B59="","",IFERROR(INDEX(Students!$B$5:$B$304,MATCH(B59,Students!$A$5:$A$304,0)),"ID not found"))</f>
        <v/>
      </c>
      <c r="D59" s="85" t="str">
        <f aca="false">IF(B59="","",IFERROR(INDEX(Students!$E$5:$E$304,MATCH(B59,Students!$A$5:$A$304,0)),""))</f>
        <v/>
      </c>
      <c r="E59" s="85" t="str">
        <f aca="false">IF(B59="","",IFERROR(INDEX(Students!$F$5:$F$304,MATCH(B59,Students!$A$5:$A$304,0)),""))</f>
        <v/>
      </c>
      <c r="F59" s="52"/>
      <c r="G59" s="89"/>
    </row>
    <row r="60" customFormat="false" ht="19.5" hidden="false" customHeight="true" outlineLevel="0" collapsed="false">
      <c r="A60" s="91"/>
      <c r="B60" s="52"/>
      <c r="C60" s="89" t="str">
        <f aca="false">IF(B60="","",IFERROR(INDEX(Students!$B$5:$B$304,MATCH(B60,Students!$A$5:$A$304,0)),"ID not found"))</f>
        <v/>
      </c>
      <c r="D60" s="85" t="str">
        <f aca="false">IF(B60="","",IFERROR(INDEX(Students!$E$5:$E$304,MATCH(B60,Students!$A$5:$A$304,0)),""))</f>
        <v/>
      </c>
      <c r="E60" s="85" t="str">
        <f aca="false">IF(B60="","",IFERROR(INDEX(Students!$F$5:$F$304,MATCH(B60,Students!$A$5:$A$304,0)),""))</f>
        <v/>
      </c>
      <c r="F60" s="52"/>
      <c r="G60" s="89"/>
    </row>
    <row r="61" customFormat="false" ht="19.5" hidden="false" customHeight="true" outlineLevel="0" collapsed="false">
      <c r="A61" s="91"/>
      <c r="B61" s="52"/>
      <c r="C61" s="89" t="str">
        <f aca="false">IF(B61="","",IFERROR(INDEX(Students!$B$5:$B$304,MATCH(B61,Students!$A$5:$A$304,0)),"ID not found"))</f>
        <v/>
      </c>
      <c r="D61" s="85" t="str">
        <f aca="false">IF(B61="","",IFERROR(INDEX(Students!$E$5:$E$304,MATCH(B61,Students!$A$5:$A$304,0)),""))</f>
        <v/>
      </c>
      <c r="E61" s="85" t="str">
        <f aca="false">IF(B61="","",IFERROR(INDEX(Students!$F$5:$F$304,MATCH(B61,Students!$A$5:$A$304,0)),""))</f>
        <v/>
      </c>
      <c r="F61" s="52"/>
      <c r="G61" s="89"/>
    </row>
    <row r="62" customFormat="false" ht="19.5" hidden="false" customHeight="true" outlineLevel="0" collapsed="false">
      <c r="A62" s="91"/>
      <c r="B62" s="52"/>
      <c r="C62" s="89" t="str">
        <f aca="false">IF(B62="","",IFERROR(INDEX(Students!$B$5:$B$304,MATCH(B62,Students!$A$5:$A$304,0)),"ID not found"))</f>
        <v/>
      </c>
      <c r="D62" s="85" t="str">
        <f aca="false">IF(B62="","",IFERROR(INDEX(Students!$E$5:$E$304,MATCH(B62,Students!$A$5:$A$304,0)),""))</f>
        <v/>
      </c>
      <c r="E62" s="85" t="str">
        <f aca="false">IF(B62="","",IFERROR(INDEX(Students!$F$5:$F$304,MATCH(B62,Students!$A$5:$A$304,0)),""))</f>
        <v/>
      </c>
      <c r="F62" s="52"/>
      <c r="G62" s="89"/>
    </row>
    <row r="63" customFormat="false" ht="19.5" hidden="false" customHeight="true" outlineLevel="0" collapsed="false">
      <c r="A63" s="91"/>
      <c r="B63" s="52"/>
      <c r="C63" s="89" t="str">
        <f aca="false">IF(B63="","",IFERROR(INDEX(Students!$B$5:$B$304,MATCH(B63,Students!$A$5:$A$304,0)),"ID not found"))</f>
        <v/>
      </c>
      <c r="D63" s="85" t="str">
        <f aca="false">IF(B63="","",IFERROR(INDEX(Students!$E$5:$E$304,MATCH(B63,Students!$A$5:$A$304,0)),""))</f>
        <v/>
      </c>
      <c r="E63" s="85" t="str">
        <f aca="false">IF(B63="","",IFERROR(INDEX(Students!$F$5:$F$304,MATCH(B63,Students!$A$5:$A$304,0)),""))</f>
        <v/>
      </c>
      <c r="F63" s="52"/>
      <c r="G63" s="89"/>
    </row>
    <row r="64" customFormat="false" ht="19.5" hidden="false" customHeight="true" outlineLevel="0" collapsed="false">
      <c r="A64" s="91"/>
      <c r="B64" s="52"/>
      <c r="C64" s="89" t="str">
        <f aca="false">IF(B64="","",IFERROR(INDEX(Students!$B$5:$B$304,MATCH(B64,Students!$A$5:$A$304,0)),"ID not found"))</f>
        <v/>
      </c>
      <c r="D64" s="85" t="str">
        <f aca="false">IF(B64="","",IFERROR(INDEX(Students!$E$5:$E$304,MATCH(B64,Students!$A$5:$A$304,0)),""))</f>
        <v/>
      </c>
      <c r="E64" s="85" t="str">
        <f aca="false">IF(B64="","",IFERROR(INDEX(Students!$F$5:$F$304,MATCH(B64,Students!$A$5:$A$304,0)),""))</f>
        <v/>
      </c>
      <c r="F64" s="52"/>
      <c r="G64" s="89"/>
    </row>
    <row r="65" customFormat="false" ht="19.5" hidden="false" customHeight="true" outlineLevel="0" collapsed="false">
      <c r="A65" s="91"/>
      <c r="B65" s="52"/>
      <c r="C65" s="89" t="str">
        <f aca="false">IF(B65="","",IFERROR(INDEX(Students!$B$5:$B$304,MATCH(B65,Students!$A$5:$A$304,0)),"ID not found"))</f>
        <v/>
      </c>
      <c r="D65" s="85" t="str">
        <f aca="false">IF(B65="","",IFERROR(INDEX(Students!$E$5:$E$304,MATCH(B65,Students!$A$5:$A$304,0)),""))</f>
        <v/>
      </c>
      <c r="E65" s="85" t="str">
        <f aca="false">IF(B65="","",IFERROR(INDEX(Students!$F$5:$F$304,MATCH(B65,Students!$A$5:$A$304,0)),""))</f>
        <v/>
      </c>
      <c r="F65" s="52"/>
      <c r="G65" s="89"/>
    </row>
    <row r="66" customFormat="false" ht="19.5" hidden="false" customHeight="true" outlineLevel="0" collapsed="false">
      <c r="A66" s="91"/>
      <c r="B66" s="52"/>
      <c r="C66" s="89" t="str">
        <f aca="false">IF(B66="","",IFERROR(INDEX(Students!$B$5:$B$304,MATCH(B66,Students!$A$5:$A$304,0)),"ID not found"))</f>
        <v/>
      </c>
      <c r="D66" s="85" t="str">
        <f aca="false">IF(B66="","",IFERROR(INDEX(Students!$E$5:$E$304,MATCH(B66,Students!$A$5:$A$304,0)),""))</f>
        <v/>
      </c>
      <c r="E66" s="85" t="str">
        <f aca="false">IF(B66="","",IFERROR(INDEX(Students!$F$5:$F$304,MATCH(B66,Students!$A$5:$A$304,0)),""))</f>
        <v/>
      </c>
      <c r="F66" s="52"/>
      <c r="G66" s="89"/>
    </row>
    <row r="67" customFormat="false" ht="19.5" hidden="false" customHeight="true" outlineLevel="0" collapsed="false">
      <c r="A67" s="91"/>
      <c r="B67" s="52"/>
      <c r="C67" s="89" t="str">
        <f aca="false">IF(B67="","",IFERROR(INDEX(Students!$B$5:$B$304,MATCH(B67,Students!$A$5:$A$304,0)),"ID not found"))</f>
        <v/>
      </c>
      <c r="D67" s="85" t="str">
        <f aca="false">IF(B67="","",IFERROR(INDEX(Students!$E$5:$E$304,MATCH(B67,Students!$A$5:$A$304,0)),""))</f>
        <v/>
      </c>
      <c r="E67" s="85" t="str">
        <f aca="false">IF(B67="","",IFERROR(INDEX(Students!$F$5:$F$304,MATCH(B67,Students!$A$5:$A$304,0)),""))</f>
        <v/>
      </c>
      <c r="F67" s="52"/>
      <c r="G67" s="89"/>
    </row>
    <row r="68" customFormat="false" ht="19.5" hidden="false" customHeight="true" outlineLevel="0" collapsed="false">
      <c r="A68" s="91"/>
      <c r="B68" s="52"/>
      <c r="C68" s="89" t="str">
        <f aca="false">IF(B68="","",IFERROR(INDEX(Students!$B$5:$B$304,MATCH(B68,Students!$A$5:$A$304,0)),"ID not found"))</f>
        <v/>
      </c>
      <c r="D68" s="85" t="str">
        <f aca="false">IF(B68="","",IFERROR(INDEX(Students!$E$5:$E$304,MATCH(B68,Students!$A$5:$A$304,0)),""))</f>
        <v/>
      </c>
      <c r="E68" s="85" t="str">
        <f aca="false">IF(B68="","",IFERROR(INDEX(Students!$F$5:$F$304,MATCH(B68,Students!$A$5:$A$304,0)),""))</f>
        <v/>
      </c>
      <c r="F68" s="52"/>
      <c r="G68" s="89"/>
    </row>
    <row r="69" customFormat="false" ht="19.5" hidden="false" customHeight="true" outlineLevel="0" collapsed="false">
      <c r="A69" s="91"/>
      <c r="B69" s="52"/>
      <c r="C69" s="89" t="str">
        <f aca="false">IF(B69="","",IFERROR(INDEX(Students!$B$5:$B$304,MATCH(B69,Students!$A$5:$A$304,0)),"ID not found"))</f>
        <v/>
      </c>
      <c r="D69" s="85" t="str">
        <f aca="false">IF(B69="","",IFERROR(INDEX(Students!$E$5:$E$304,MATCH(B69,Students!$A$5:$A$304,0)),""))</f>
        <v/>
      </c>
      <c r="E69" s="85" t="str">
        <f aca="false">IF(B69="","",IFERROR(INDEX(Students!$F$5:$F$304,MATCH(B69,Students!$A$5:$A$304,0)),""))</f>
        <v/>
      </c>
      <c r="F69" s="52"/>
      <c r="G69" s="89"/>
    </row>
    <row r="70" customFormat="false" ht="19.5" hidden="false" customHeight="true" outlineLevel="0" collapsed="false">
      <c r="A70" s="91"/>
      <c r="B70" s="52"/>
      <c r="C70" s="89" t="str">
        <f aca="false">IF(B70="","",IFERROR(INDEX(Students!$B$5:$B$304,MATCH(B70,Students!$A$5:$A$304,0)),"ID not found"))</f>
        <v/>
      </c>
      <c r="D70" s="85" t="str">
        <f aca="false">IF(B70="","",IFERROR(INDEX(Students!$E$5:$E$304,MATCH(B70,Students!$A$5:$A$304,0)),""))</f>
        <v/>
      </c>
      <c r="E70" s="85" t="str">
        <f aca="false">IF(B70="","",IFERROR(INDEX(Students!$F$5:$F$304,MATCH(B70,Students!$A$5:$A$304,0)),""))</f>
        <v/>
      </c>
      <c r="F70" s="52"/>
      <c r="G70" s="89"/>
    </row>
    <row r="71" customFormat="false" ht="19.5" hidden="false" customHeight="true" outlineLevel="0" collapsed="false">
      <c r="A71" s="91"/>
      <c r="B71" s="52"/>
      <c r="C71" s="89" t="str">
        <f aca="false">IF(B71="","",IFERROR(INDEX(Students!$B$5:$B$304,MATCH(B71,Students!$A$5:$A$304,0)),"ID not found"))</f>
        <v/>
      </c>
      <c r="D71" s="85" t="str">
        <f aca="false">IF(B71="","",IFERROR(INDEX(Students!$E$5:$E$304,MATCH(B71,Students!$A$5:$A$304,0)),""))</f>
        <v/>
      </c>
      <c r="E71" s="85" t="str">
        <f aca="false">IF(B71="","",IFERROR(INDEX(Students!$F$5:$F$304,MATCH(B71,Students!$A$5:$A$304,0)),""))</f>
        <v/>
      </c>
      <c r="F71" s="52"/>
      <c r="G71" s="89"/>
    </row>
    <row r="72" customFormat="false" ht="19.5" hidden="false" customHeight="true" outlineLevel="0" collapsed="false">
      <c r="A72" s="91"/>
      <c r="B72" s="52"/>
      <c r="C72" s="89" t="str">
        <f aca="false">IF(B72="","",IFERROR(INDEX(Students!$B$5:$B$304,MATCH(B72,Students!$A$5:$A$304,0)),"ID not found"))</f>
        <v/>
      </c>
      <c r="D72" s="85" t="str">
        <f aca="false">IF(B72="","",IFERROR(INDEX(Students!$E$5:$E$304,MATCH(B72,Students!$A$5:$A$304,0)),""))</f>
        <v/>
      </c>
      <c r="E72" s="85" t="str">
        <f aca="false">IF(B72="","",IFERROR(INDEX(Students!$F$5:$F$304,MATCH(B72,Students!$A$5:$A$304,0)),""))</f>
        <v/>
      </c>
      <c r="F72" s="52"/>
      <c r="G72" s="89"/>
    </row>
    <row r="73" customFormat="false" ht="19.5" hidden="false" customHeight="true" outlineLevel="0" collapsed="false">
      <c r="A73" s="91"/>
      <c r="B73" s="52"/>
      <c r="C73" s="89" t="str">
        <f aca="false">IF(B73="","",IFERROR(INDEX(Students!$B$5:$B$304,MATCH(B73,Students!$A$5:$A$304,0)),"ID not found"))</f>
        <v/>
      </c>
      <c r="D73" s="85" t="str">
        <f aca="false">IF(B73="","",IFERROR(INDEX(Students!$E$5:$E$304,MATCH(B73,Students!$A$5:$A$304,0)),""))</f>
        <v/>
      </c>
      <c r="E73" s="85" t="str">
        <f aca="false">IF(B73="","",IFERROR(INDEX(Students!$F$5:$F$304,MATCH(B73,Students!$A$5:$A$304,0)),""))</f>
        <v/>
      </c>
      <c r="F73" s="52"/>
      <c r="G73" s="89"/>
    </row>
    <row r="74" customFormat="false" ht="19.5" hidden="false" customHeight="true" outlineLevel="0" collapsed="false">
      <c r="A74" s="91"/>
      <c r="B74" s="52"/>
      <c r="C74" s="89" t="str">
        <f aca="false">IF(B74="","",IFERROR(INDEX(Students!$B$5:$B$304,MATCH(B74,Students!$A$5:$A$304,0)),"ID not found"))</f>
        <v/>
      </c>
      <c r="D74" s="85" t="str">
        <f aca="false">IF(B74="","",IFERROR(INDEX(Students!$E$5:$E$304,MATCH(B74,Students!$A$5:$A$304,0)),""))</f>
        <v/>
      </c>
      <c r="E74" s="85" t="str">
        <f aca="false">IF(B74="","",IFERROR(INDEX(Students!$F$5:$F$304,MATCH(B74,Students!$A$5:$A$304,0)),""))</f>
        <v/>
      </c>
      <c r="F74" s="52"/>
      <c r="G74" s="89"/>
    </row>
    <row r="75" customFormat="false" ht="19.5" hidden="false" customHeight="true" outlineLevel="0" collapsed="false">
      <c r="A75" s="91"/>
      <c r="B75" s="52"/>
      <c r="C75" s="89" t="str">
        <f aca="false">IF(B75="","",IFERROR(INDEX(Students!$B$5:$B$304,MATCH(B75,Students!$A$5:$A$304,0)),"ID not found"))</f>
        <v/>
      </c>
      <c r="D75" s="85" t="str">
        <f aca="false">IF(B75="","",IFERROR(INDEX(Students!$E$5:$E$304,MATCH(B75,Students!$A$5:$A$304,0)),""))</f>
        <v/>
      </c>
      <c r="E75" s="85" t="str">
        <f aca="false">IF(B75="","",IFERROR(INDEX(Students!$F$5:$F$304,MATCH(B75,Students!$A$5:$A$304,0)),""))</f>
        <v/>
      </c>
      <c r="F75" s="52"/>
      <c r="G75" s="89"/>
    </row>
    <row r="76" customFormat="false" ht="19.5" hidden="false" customHeight="true" outlineLevel="0" collapsed="false">
      <c r="A76" s="91"/>
      <c r="B76" s="52"/>
      <c r="C76" s="89" t="str">
        <f aca="false">IF(B76="","",IFERROR(INDEX(Students!$B$5:$B$304,MATCH(B76,Students!$A$5:$A$304,0)),"ID not found"))</f>
        <v/>
      </c>
      <c r="D76" s="85" t="str">
        <f aca="false">IF(B76="","",IFERROR(INDEX(Students!$E$5:$E$304,MATCH(B76,Students!$A$5:$A$304,0)),""))</f>
        <v/>
      </c>
      <c r="E76" s="85" t="str">
        <f aca="false">IF(B76="","",IFERROR(INDEX(Students!$F$5:$F$304,MATCH(B76,Students!$A$5:$A$304,0)),""))</f>
        <v/>
      </c>
      <c r="F76" s="52"/>
      <c r="G76" s="89"/>
    </row>
    <row r="77" customFormat="false" ht="19.5" hidden="false" customHeight="true" outlineLevel="0" collapsed="false">
      <c r="A77" s="91"/>
      <c r="B77" s="52"/>
      <c r="C77" s="89" t="str">
        <f aca="false">IF(B77="","",IFERROR(INDEX(Students!$B$5:$B$304,MATCH(B77,Students!$A$5:$A$304,0)),"ID not found"))</f>
        <v/>
      </c>
      <c r="D77" s="85" t="str">
        <f aca="false">IF(B77="","",IFERROR(INDEX(Students!$E$5:$E$304,MATCH(B77,Students!$A$5:$A$304,0)),""))</f>
        <v/>
      </c>
      <c r="E77" s="85" t="str">
        <f aca="false">IF(B77="","",IFERROR(INDEX(Students!$F$5:$F$304,MATCH(B77,Students!$A$5:$A$304,0)),""))</f>
        <v/>
      </c>
      <c r="F77" s="52"/>
      <c r="G77" s="89"/>
    </row>
    <row r="78" customFormat="false" ht="19.5" hidden="false" customHeight="true" outlineLevel="0" collapsed="false">
      <c r="A78" s="91"/>
      <c r="B78" s="52"/>
      <c r="C78" s="89" t="str">
        <f aca="false">IF(B78="","",IFERROR(INDEX(Students!$B$5:$B$304,MATCH(B78,Students!$A$5:$A$304,0)),"ID not found"))</f>
        <v/>
      </c>
      <c r="D78" s="85" t="str">
        <f aca="false">IF(B78="","",IFERROR(INDEX(Students!$E$5:$E$304,MATCH(B78,Students!$A$5:$A$304,0)),""))</f>
        <v/>
      </c>
      <c r="E78" s="85" t="str">
        <f aca="false">IF(B78="","",IFERROR(INDEX(Students!$F$5:$F$304,MATCH(B78,Students!$A$5:$A$304,0)),""))</f>
        <v/>
      </c>
      <c r="F78" s="52"/>
      <c r="G78" s="89"/>
    </row>
    <row r="79" customFormat="false" ht="19.5" hidden="false" customHeight="true" outlineLevel="0" collapsed="false">
      <c r="A79" s="91"/>
      <c r="B79" s="52"/>
      <c r="C79" s="89" t="str">
        <f aca="false">IF(B79="","",IFERROR(INDEX(Students!$B$5:$B$304,MATCH(B79,Students!$A$5:$A$304,0)),"ID not found"))</f>
        <v/>
      </c>
      <c r="D79" s="85" t="str">
        <f aca="false">IF(B79="","",IFERROR(INDEX(Students!$E$5:$E$304,MATCH(B79,Students!$A$5:$A$304,0)),""))</f>
        <v/>
      </c>
      <c r="E79" s="85" t="str">
        <f aca="false">IF(B79="","",IFERROR(INDEX(Students!$F$5:$F$304,MATCH(B79,Students!$A$5:$A$304,0)),""))</f>
        <v/>
      </c>
      <c r="F79" s="52"/>
      <c r="G79" s="89"/>
    </row>
    <row r="80" customFormat="false" ht="19.5" hidden="false" customHeight="true" outlineLevel="0" collapsed="false">
      <c r="A80" s="91"/>
      <c r="B80" s="52"/>
      <c r="C80" s="89" t="str">
        <f aca="false">IF(B80="","",IFERROR(INDEX(Students!$B$5:$B$304,MATCH(B80,Students!$A$5:$A$304,0)),"ID not found"))</f>
        <v/>
      </c>
      <c r="D80" s="85" t="str">
        <f aca="false">IF(B80="","",IFERROR(INDEX(Students!$E$5:$E$304,MATCH(B80,Students!$A$5:$A$304,0)),""))</f>
        <v/>
      </c>
      <c r="E80" s="85" t="str">
        <f aca="false">IF(B80="","",IFERROR(INDEX(Students!$F$5:$F$304,MATCH(B80,Students!$A$5:$A$304,0)),""))</f>
        <v/>
      </c>
      <c r="F80" s="52"/>
      <c r="G80" s="89"/>
    </row>
    <row r="81" customFormat="false" ht="19.5" hidden="false" customHeight="true" outlineLevel="0" collapsed="false">
      <c r="A81" s="91"/>
      <c r="B81" s="52"/>
      <c r="C81" s="89" t="str">
        <f aca="false">IF(B81="","",IFERROR(INDEX(Students!$B$5:$B$304,MATCH(B81,Students!$A$5:$A$304,0)),"ID not found"))</f>
        <v/>
      </c>
      <c r="D81" s="85" t="str">
        <f aca="false">IF(B81="","",IFERROR(INDEX(Students!$E$5:$E$304,MATCH(B81,Students!$A$5:$A$304,0)),""))</f>
        <v/>
      </c>
      <c r="E81" s="85" t="str">
        <f aca="false">IF(B81="","",IFERROR(INDEX(Students!$F$5:$F$304,MATCH(B81,Students!$A$5:$A$304,0)),""))</f>
        <v/>
      </c>
      <c r="F81" s="52"/>
      <c r="G81" s="89"/>
    </row>
    <row r="82" customFormat="false" ht="19.5" hidden="false" customHeight="true" outlineLevel="0" collapsed="false">
      <c r="A82" s="91"/>
      <c r="B82" s="52"/>
      <c r="C82" s="89" t="str">
        <f aca="false">IF(B82="","",IFERROR(INDEX(Students!$B$5:$B$304,MATCH(B82,Students!$A$5:$A$304,0)),"ID not found"))</f>
        <v/>
      </c>
      <c r="D82" s="85" t="str">
        <f aca="false">IF(B82="","",IFERROR(INDEX(Students!$E$5:$E$304,MATCH(B82,Students!$A$5:$A$304,0)),""))</f>
        <v/>
      </c>
      <c r="E82" s="85" t="str">
        <f aca="false">IF(B82="","",IFERROR(INDEX(Students!$F$5:$F$304,MATCH(B82,Students!$A$5:$A$304,0)),""))</f>
        <v/>
      </c>
      <c r="F82" s="52"/>
      <c r="G82" s="89"/>
    </row>
    <row r="83" customFormat="false" ht="19.5" hidden="false" customHeight="true" outlineLevel="0" collapsed="false">
      <c r="A83" s="91"/>
      <c r="B83" s="52"/>
      <c r="C83" s="89" t="str">
        <f aca="false">IF(B83="","",IFERROR(INDEX(Students!$B$5:$B$304,MATCH(B83,Students!$A$5:$A$304,0)),"ID not found"))</f>
        <v/>
      </c>
      <c r="D83" s="85" t="str">
        <f aca="false">IF(B83="","",IFERROR(INDEX(Students!$E$5:$E$304,MATCH(B83,Students!$A$5:$A$304,0)),""))</f>
        <v/>
      </c>
      <c r="E83" s="85" t="str">
        <f aca="false">IF(B83="","",IFERROR(INDEX(Students!$F$5:$F$304,MATCH(B83,Students!$A$5:$A$304,0)),""))</f>
        <v/>
      </c>
      <c r="F83" s="52"/>
      <c r="G83" s="89"/>
    </row>
    <row r="84" customFormat="false" ht="19.5" hidden="false" customHeight="true" outlineLevel="0" collapsed="false">
      <c r="A84" s="91"/>
      <c r="B84" s="52"/>
      <c r="C84" s="89" t="str">
        <f aca="false">IF(B84="","",IFERROR(INDEX(Students!$B$5:$B$304,MATCH(B84,Students!$A$5:$A$304,0)),"ID not found"))</f>
        <v/>
      </c>
      <c r="D84" s="85" t="str">
        <f aca="false">IF(B84="","",IFERROR(INDEX(Students!$E$5:$E$304,MATCH(B84,Students!$A$5:$A$304,0)),""))</f>
        <v/>
      </c>
      <c r="E84" s="85" t="str">
        <f aca="false">IF(B84="","",IFERROR(INDEX(Students!$F$5:$F$304,MATCH(B84,Students!$A$5:$A$304,0)),""))</f>
        <v/>
      </c>
      <c r="F84" s="52"/>
      <c r="G84" s="89"/>
    </row>
    <row r="85" customFormat="false" ht="19.5" hidden="false" customHeight="true" outlineLevel="0" collapsed="false">
      <c r="A85" s="91"/>
      <c r="B85" s="52"/>
      <c r="C85" s="89" t="str">
        <f aca="false">IF(B85="","",IFERROR(INDEX(Students!$B$5:$B$304,MATCH(B85,Students!$A$5:$A$304,0)),"ID not found"))</f>
        <v/>
      </c>
      <c r="D85" s="85" t="str">
        <f aca="false">IF(B85="","",IFERROR(INDEX(Students!$E$5:$E$304,MATCH(B85,Students!$A$5:$A$304,0)),""))</f>
        <v/>
      </c>
      <c r="E85" s="85" t="str">
        <f aca="false">IF(B85="","",IFERROR(INDEX(Students!$F$5:$F$304,MATCH(B85,Students!$A$5:$A$304,0)),""))</f>
        <v/>
      </c>
      <c r="F85" s="52"/>
      <c r="G85" s="89"/>
    </row>
    <row r="86" customFormat="false" ht="19.5" hidden="false" customHeight="true" outlineLevel="0" collapsed="false">
      <c r="A86" s="91"/>
      <c r="B86" s="52"/>
      <c r="C86" s="89" t="str">
        <f aca="false">IF(B86="","",IFERROR(INDEX(Students!$B$5:$B$304,MATCH(B86,Students!$A$5:$A$304,0)),"ID not found"))</f>
        <v/>
      </c>
      <c r="D86" s="85" t="str">
        <f aca="false">IF(B86="","",IFERROR(INDEX(Students!$E$5:$E$304,MATCH(B86,Students!$A$5:$A$304,0)),""))</f>
        <v/>
      </c>
      <c r="E86" s="85" t="str">
        <f aca="false">IF(B86="","",IFERROR(INDEX(Students!$F$5:$F$304,MATCH(B86,Students!$A$5:$A$304,0)),""))</f>
        <v/>
      </c>
      <c r="F86" s="52"/>
      <c r="G86" s="89"/>
    </row>
    <row r="87" customFormat="false" ht="19.5" hidden="false" customHeight="true" outlineLevel="0" collapsed="false">
      <c r="A87" s="91"/>
      <c r="B87" s="52"/>
      <c r="C87" s="89" t="str">
        <f aca="false">IF(B87="","",IFERROR(INDEX(Students!$B$5:$B$304,MATCH(B87,Students!$A$5:$A$304,0)),"ID not found"))</f>
        <v/>
      </c>
      <c r="D87" s="85" t="str">
        <f aca="false">IF(B87="","",IFERROR(INDEX(Students!$E$5:$E$304,MATCH(B87,Students!$A$5:$A$304,0)),""))</f>
        <v/>
      </c>
      <c r="E87" s="85" t="str">
        <f aca="false">IF(B87="","",IFERROR(INDEX(Students!$F$5:$F$304,MATCH(B87,Students!$A$5:$A$304,0)),""))</f>
        <v/>
      </c>
      <c r="F87" s="52"/>
      <c r="G87" s="89"/>
    </row>
    <row r="88" customFormat="false" ht="19.5" hidden="false" customHeight="true" outlineLevel="0" collapsed="false">
      <c r="A88" s="91"/>
      <c r="B88" s="52"/>
      <c r="C88" s="89" t="str">
        <f aca="false">IF(B88="","",IFERROR(INDEX(Students!$B$5:$B$304,MATCH(B88,Students!$A$5:$A$304,0)),"ID not found"))</f>
        <v/>
      </c>
      <c r="D88" s="85" t="str">
        <f aca="false">IF(B88="","",IFERROR(INDEX(Students!$E$5:$E$304,MATCH(B88,Students!$A$5:$A$304,0)),""))</f>
        <v/>
      </c>
      <c r="E88" s="85" t="str">
        <f aca="false">IF(B88="","",IFERROR(INDEX(Students!$F$5:$F$304,MATCH(B88,Students!$A$5:$A$304,0)),""))</f>
        <v/>
      </c>
      <c r="F88" s="52"/>
      <c r="G88" s="89"/>
    </row>
    <row r="89" customFormat="false" ht="19.5" hidden="false" customHeight="true" outlineLevel="0" collapsed="false">
      <c r="A89" s="91"/>
      <c r="B89" s="52"/>
      <c r="C89" s="89" t="str">
        <f aca="false">IF(B89="","",IFERROR(INDEX(Students!$B$5:$B$304,MATCH(B89,Students!$A$5:$A$304,0)),"ID not found"))</f>
        <v/>
      </c>
      <c r="D89" s="85" t="str">
        <f aca="false">IF(B89="","",IFERROR(INDEX(Students!$E$5:$E$304,MATCH(B89,Students!$A$5:$A$304,0)),""))</f>
        <v/>
      </c>
      <c r="E89" s="85" t="str">
        <f aca="false">IF(B89="","",IFERROR(INDEX(Students!$F$5:$F$304,MATCH(B89,Students!$A$5:$A$304,0)),""))</f>
        <v/>
      </c>
      <c r="F89" s="52"/>
      <c r="G89" s="89"/>
    </row>
    <row r="90" customFormat="false" ht="19.5" hidden="false" customHeight="true" outlineLevel="0" collapsed="false">
      <c r="A90" s="91"/>
      <c r="B90" s="52"/>
      <c r="C90" s="89" t="str">
        <f aca="false">IF(B90="","",IFERROR(INDEX(Students!$B$5:$B$304,MATCH(B90,Students!$A$5:$A$304,0)),"ID not found"))</f>
        <v/>
      </c>
      <c r="D90" s="85" t="str">
        <f aca="false">IF(B90="","",IFERROR(INDEX(Students!$E$5:$E$304,MATCH(B90,Students!$A$5:$A$304,0)),""))</f>
        <v/>
      </c>
      <c r="E90" s="85" t="str">
        <f aca="false">IF(B90="","",IFERROR(INDEX(Students!$F$5:$F$304,MATCH(B90,Students!$A$5:$A$304,0)),""))</f>
        <v/>
      </c>
      <c r="F90" s="52"/>
      <c r="G90" s="89"/>
    </row>
    <row r="91" customFormat="false" ht="19.5" hidden="false" customHeight="true" outlineLevel="0" collapsed="false">
      <c r="A91" s="91"/>
      <c r="B91" s="52"/>
      <c r="C91" s="89" t="str">
        <f aca="false">IF(B91="","",IFERROR(INDEX(Students!$B$5:$B$304,MATCH(B91,Students!$A$5:$A$304,0)),"ID not found"))</f>
        <v/>
      </c>
      <c r="D91" s="85" t="str">
        <f aca="false">IF(B91="","",IFERROR(INDEX(Students!$E$5:$E$304,MATCH(B91,Students!$A$5:$A$304,0)),""))</f>
        <v/>
      </c>
      <c r="E91" s="85" t="str">
        <f aca="false">IF(B91="","",IFERROR(INDEX(Students!$F$5:$F$304,MATCH(B91,Students!$A$5:$A$304,0)),""))</f>
        <v/>
      </c>
      <c r="F91" s="52"/>
      <c r="G91" s="89"/>
    </row>
    <row r="92" customFormat="false" ht="19.5" hidden="false" customHeight="true" outlineLevel="0" collapsed="false">
      <c r="A92" s="91"/>
      <c r="B92" s="52"/>
      <c r="C92" s="89" t="str">
        <f aca="false">IF(B92="","",IFERROR(INDEX(Students!$B$5:$B$304,MATCH(B92,Students!$A$5:$A$304,0)),"ID not found"))</f>
        <v/>
      </c>
      <c r="D92" s="85" t="str">
        <f aca="false">IF(B92="","",IFERROR(INDEX(Students!$E$5:$E$304,MATCH(B92,Students!$A$5:$A$304,0)),""))</f>
        <v/>
      </c>
      <c r="E92" s="85" t="str">
        <f aca="false">IF(B92="","",IFERROR(INDEX(Students!$F$5:$F$304,MATCH(B92,Students!$A$5:$A$304,0)),""))</f>
        <v/>
      </c>
      <c r="F92" s="52"/>
      <c r="G92" s="89"/>
    </row>
    <row r="93" customFormat="false" ht="19.5" hidden="false" customHeight="true" outlineLevel="0" collapsed="false">
      <c r="A93" s="91"/>
      <c r="B93" s="52"/>
      <c r="C93" s="89" t="str">
        <f aca="false">IF(B93="","",IFERROR(INDEX(Students!$B$5:$B$304,MATCH(B93,Students!$A$5:$A$304,0)),"ID not found"))</f>
        <v/>
      </c>
      <c r="D93" s="85" t="str">
        <f aca="false">IF(B93="","",IFERROR(INDEX(Students!$E$5:$E$304,MATCH(B93,Students!$A$5:$A$304,0)),""))</f>
        <v/>
      </c>
      <c r="E93" s="85" t="str">
        <f aca="false">IF(B93="","",IFERROR(INDEX(Students!$F$5:$F$304,MATCH(B93,Students!$A$5:$A$304,0)),""))</f>
        <v/>
      </c>
      <c r="F93" s="52"/>
      <c r="G93" s="89"/>
    </row>
    <row r="94" customFormat="false" ht="19.5" hidden="false" customHeight="true" outlineLevel="0" collapsed="false">
      <c r="A94" s="91"/>
      <c r="B94" s="52"/>
      <c r="C94" s="89" t="str">
        <f aca="false">IF(B94="","",IFERROR(INDEX(Students!$B$5:$B$304,MATCH(B94,Students!$A$5:$A$304,0)),"ID not found"))</f>
        <v/>
      </c>
      <c r="D94" s="85" t="str">
        <f aca="false">IF(B94="","",IFERROR(INDEX(Students!$E$5:$E$304,MATCH(B94,Students!$A$5:$A$304,0)),""))</f>
        <v/>
      </c>
      <c r="E94" s="85" t="str">
        <f aca="false">IF(B94="","",IFERROR(INDEX(Students!$F$5:$F$304,MATCH(B94,Students!$A$5:$A$304,0)),""))</f>
        <v/>
      </c>
      <c r="F94" s="52"/>
      <c r="G94" s="89"/>
    </row>
    <row r="95" customFormat="false" ht="19.5" hidden="false" customHeight="true" outlineLevel="0" collapsed="false">
      <c r="A95" s="91"/>
      <c r="B95" s="52"/>
      <c r="C95" s="89" t="str">
        <f aca="false">IF(B95="","",IFERROR(INDEX(Students!$B$5:$B$304,MATCH(B95,Students!$A$5:$A$304,0)),"ID not found"))</f>
        <v/>
      </c>
      <c r="D95" s="85" t="str">
        <f aca="false">IF(B95="","",IFERROR(INDEX(Students!$E$5:$E$304,MATCH(B95,Students!$A$5:$A$304,0)),""))</f>
        <v/>
      </c>
      <c r="E95" s="85" t="str">
        <f aca="false">IF(B95="","",IFERROR(INDEX(Students!$F$5:$F$304,MATCH(B95,Students!$A$5:$A$304,0)),""))</f>
        <v/>
      </c>
      <c r="F95" s="52"/>
      <c r="G95" s="89"/>
    </row>
    <row r="96" customFormat="false" ht="19.5" hidden="false" customHeight="true" outlineLevel="0" collapsed="false">
      <c r="A96" s="91"/>
      <c r="B96" s="52"/>
      <c r="C96" s="89" t="str">
        <f aca="false">IF(B96="","",IFERROR(INDEX(Students!$B$5:$B$304,MATCH(B96,Students!$A$5:$A$304,0)),"ID not found"))</f>
        <v/>
      </c>
      <c r="D96" s="85" t="str">
        <f aca="false">IF(B96="","",IFERROR(INDEX(Students!$E$5:$E$304,MATCH(B96,Students!$A$5:$A$304,0)),""))</f>
        <v/>
      </c>
      <c r="E96" s="85" t="str">
        <f aca="false">IF(B96="","",IFERROR(INDEX(Students!$F$5:$F$304,MATCH(B96,Students!$A$5:$A$304,0)),""))</f>
        <v/>
      </c>
      <c r="F96" s="52"/>
      <c r="G96" s="89"/>
    </row>
    <row r="97" customFormat="false" ht="19.5" hidden="false" customHeight="true" outlineLevel="0" collapsed="false">
      <c r="A97" s="91"/>
      <c r="B97" s="52"/>
      <c r="C97" s="89" t="str">
        <f aca="false">IF(B97="","",IFERROR(INDEX(Students!$B$5:$B$304,MATCH(B97,Students!$A$5:$A$304,0)),"ID not found"))</f>
        <v/>
      </c>
      <c r="D97" s="85" t="str">
        <f aca="false">IF(B97="","",IFERROR(INDEX(Students!$E$5:$E$304,MATCH(B97,Students!$A$5:$A$304,0)),""))</f>
        <v/>
      </c>
      <c r="E97" s="85" t="str">
        <f aca="false">IF(B97="","",IFERROR(INDEX(Students!$F$5:$F$304,MATCH(B97,Students!$A$5:$A$304,0)),""))</f>
        <v/>
      </c>
      <c r="F97" s="52"/>
      <c r="G97" s="89"/>
    </row>
    <row r="98" customFormat="false" ht="19.5" hidden="false" customHeight="true" outlineLevel="0" collapsed="false">
      <c r="A98" s="91"/>
      <c r="B98" s="52"/>
      <c r="C98" s="89" t="str">
        <f aca="false">IF(B98="","",IFERROR(INDEX(Students!$B$5:$B$304,MATCH(B98,Students!$A$5:$A$304,0)),"ID not found"))</f>
        <v/>
      </c>
      <c r="D98" s="85" t="str">
        <f aca="false">IF(B98="","",IFERROR(INDEX(Students!$E$5:$E$304,MATCH(B98,Students!$A$5:$A$304,0)),""))</f>
        <v/>
      </c>
      <c r="E98" s="85" t="str">
        <f aca="false">IF(B98="","",IFERROR(INDEX(Students!$F$5:$F$304,MATCH(B98,Students!$A$5:$A$304,0)),""))</f>
        <v/>
      </c>
      <c r="F98" s="52"/>
      <c r="G98" s="89"/>
    </row>
    <row r="99" customFormat="false" ht="19.5" hidden="false" customHeight="true" outlineLevel="0" collapsed="false">
      <c r="A99" s="91"/>
      <c r="B99" s="52"/>
      <c r="C99" s="89" t="str">
        <f aca="false">IF(B99="","",IFERROR(INDEX(Students!$B$5:$B$304,MATCH(B99,Students!$A$5:$A$304,0)),"ID not found"))</f>
        <v/>
      </c>
      <c r="D99" s="85" t="str">
        <f aca="false">IF(B99="","",IFERROR(INDEX(Students!$E$5:$E$304,MATCH(B99,Students!$A$5:$A$304,0)),""))</f>
        <v/>
      </c>
      <c r="E99" s="85" t="str">
        <f aca="false">IF(B99="","",IFERROR(INDEX(Students!$F$5:$F$304,MATCH(B99,Students!$A$5:$A$304,0)),""))</f>
        <v/>
      </c>
      <c r="F99" s="52"/>
      <c r="G99" s="89"/>
    </row>
    <row r="100" customFormat="false" ht="19.5" hidden="false" customHeight="true" outlineLevel="0" collapsed="false">
      <c r="A100" s="91"/>
      <c r="B100" s="52"/>
      <c r="C100" s="89" t="str">
        <f aca="false">IF(B100="","",IFERROR(INDEX(Students!$B$5:$B$304,MATCH(B100,Students!$A$5:$A$304,0)),"ID not found"))</f>
        <v/>
      </c>
      <c r="D100" s="85" t="str">
        <f aca="false">IF(B100="","",IFERROR(INDEX(Students!$E$5:$E$304,MATCH(B100,Students!$A$5:$A$304,0)),""))</f>
        <v/>
      </c>
      <c r="E100" s="85" t="str">
        <f aca="false">IF(B100="","",IFERROR(INDEX(Students!$F$5:$F$304,MATCH(B100,Students!$A$5:$A$304,0)),""))</f>
        <v/>
      </c>
      <c r="F100" s="52"/>
      <c r="G100" s="89"/>
    </row>
    <row r="101" customFormat="false" ht="19.5" hidden="false" customHeight="true" outlineLevel="0" collapsed="false">
      <c r="A101" s="91"/>
      <c r="B101" s="52"/>
      <c r="C101" s="89" t="str">
        <f aca="false">IF(B101="","",IFERROR(INDEX(Students!$B$5:$B$304,MATCH(B101,Students!$A$5:$A$304,0)),"ID not found"))</f>
        <v/>
      </c>
      <c r="D101" s="85" t="str">
        <f aca="false">IF(B101="","",IFERROR(INDEX(Students!$E$5:$E$304,MATCH(B101,Students!$A$5:$A$304,0)),""))</f>
        <v/>
      </c>
      <c r="E101" s="85" t="str">
        <f aca="false">IF(B101="","",IFERROR(INDEX(Students!$F$5:$F$304,MATCH(B101,Students!$A$5:$A$304,0)),""))</f>
        <v/>
      </c>
      <c r="F101" s="52"/>
      <c r="G101" s="89"/>
    </row>
    <row r="102" customFormat="false" ht="19.5" hidden="false" customHeight="true" outlineLevel="0" collapsed="false">
      <c r="A102" s="91"/>
      <c r="B102" s="52"/>
      <c r="C102" s="89" t="str">
        <f aca="false">IF(B102="","",IFERROR(INDEX(Students!$B$5:$B$304,MATCH(B102,Students!$A$5:$A$304,0)),"ID not found"))</f>
        <v/>
      </c>
      <c r="D102" s="85" t="str">
        <f aca="false">IF(B102="","",IFERROR(INDEX(Students!$E$5:$E$304,MATCH(B102,Students!$A$5:$A$304,0)),""))</f>
        <v/>
      </c>
      <c r="E102" s="85" t="str">
        <f aca="false">IF(B102="","",IFERROR(INDEX(Students!$F$5:$F$304,MATCH(B102,Students!$A$5:$A$304,0)),""))</f>
        <v/>
      </c>
      <c r="F102" s="52"/>
      <c r="G102" s="89"/>
    </row>
    <row r="103" customFormat="false" ht="19.5" hidden="false" customHeight="true" outlineLevel="0" collapsed="false">
      <c r="A103" s="91"/>
      <c r="B103" s="52"/>
      <c r="C103" s="89" t="str">
        <f aca="false">IF(B103="","",IFERROR(INDEX(Students!$B$5:$B$304,MATCH(B103,Students!$A$5:$A$304,0)),"ID not found"))</f>
        <v/>
      </c>
      <c r="D103" s="85" t="str">
        <f aca="false">IF(B103="","",IFERROR(INDEX(Students!$E$5:$E$304,MATCH(B103,Students!$A$5:$A$304,0)),""))</f>
        <v/>
      </c>
      <c r="E103" s="85" t="str">
        <f aca="false">IF(B103="","",IFERROR(INDEX(Students!$F$5:$F$304,MATCH(B103,Students!$A$5:$A$304,0)),""))</f>
        <v/>
      </c>
      <c r="F103" s="52"/>
      <c r="G103" s="89"/>
    </row>
    <row r="104" customFormat="false" ht="19.5" hidden="false" customHeight="true" outlineLevel="0" collapsed="false">
      <c r="A104" s="91"/>
      <c r="B104" s="52"/>
      <c r="C104" s="89" t="str">
        <f aca="false">IF(B104="","",IFERROR(INDEX(Students!$B$5:$B$304,MATCH(B104,Students!$A$5:$A$304,0)),"ID not found"))</f>
        <v/>
      </c>
      <c r="D104" s="85" t="str">
        <f aca="false">IF(B104="","",IFERROR(INDEX(Students!$E$5:$E$304,MATCH(B104,Students!$A$5:$A$304,0)),""))</f>
        <v/>
      </c>
      <c r="E104" s="85" t="str">
        <f aca="false">IF(B104="","",IFERROR(INDEX(Students!$F$5:$F$304,MATCH(B104,Students!$A$5:$A$304,0)),""))</f>
        <v/>
      </c>
      <c r="F104" s="52"/>
      <c r="G104" s="89"/>
    </row>
    <row r="105" customFormat="false" ht="19.5" hidden="false" customHeight="true" outlineLevel="0" collapsed="false">
      <c r="A105" s="91"/>
      <c r="B105" s="52"/>
      <c r="C105" s="89" t="str">
        <f aca="false">IF(B105="","",IFERROR(INDEX(Students!$B$5:$B$304,MATCH(B105,Students!$A$5:$A$304,0)),"ID not found"))</f>
        <v/>
      </c>
      <c r="D105" s="85" t="str">
        <f aca="false">IF(B105="","",IFERROR(INDEX(Students!$E$5:$E$304,MATCH(B105,Students!$A$5:$A$304,0)),""))</f>
        <v/>
      </c>
      <c r="E105" s="85" t="str">
        <f aca="false">IF(B105="","",IFERROR(INDEX(Students!$F$5:$F$304,MATCH(B105,Students!$A$5:$A$304,0)),""))</f>
        <v/>
      </c>
      <c r="F105" s="52"/>
      <c r="G105" s="89"/>
    </row>
    <row r="106" customFormat="false" ht="19.5" hidden="false" customHeight="true" outlineLevel="0" collapsed="false">
      <c r="A106" s="91"/>
      <c r="B106" s="52"/>
      <c r="C106" s="89" t="str">
        <f aca="false">IF(B106="","",IFERROR(INDEX(Students!$B$5:$B$304,MATCH(B106,Students!$A$5:$A$304,0)),"ID not found"))</f>
        <v/>
      </c>
      <c r="D106" s="85" t="str">
        <f aca="false">IF(B106="","",IFERROR(INDEX(Students!$E$5:$E$304,MATCH(B106,Students!$A$5:$A$304,0)),""))</f>
        <v/>
      </c>
      <c r="E106" s="85" t="str">
        <f aca="false">IF(B106="","",IFERROR(INDEX(Students!$F$5:$F$304,MATCH(B106,Students!$A$5:$A$304,0)),""))</f>
        <v/>
      </c>
      <c r="F106" s="52"/>
      <c r="G106" s="89"/>
    </row>
    <row r="107" customFormat="false" ht="19.5" hidden="false" customHeight="true" outlineLevel="0" collapsed="false">
      <c r="A107" s="91"/>
      <c r="B107" s="52"/>
      <c r="C107" s="89" t="str">
        <f aca="false">IF(B107="","",IFERROR(INDEX(Students!$B$5:$B$304,MATCH(B107,Students!$A$5:$A$304,0)),"ID not found"))</f>
        <v/>
      </c>
      <c r="D107" s="85" t="str">
        <f aca="false">IF(B107="","",IFERROR(INDEX(Students!$E$5:$E$304,MATCH(B107,Students!$A$5:$A$304,0)),""))</f>
        <v/>
      </c>
      <c r="E107" s="85" t="str">
        <f aca="false">IF(B107="","",IFERROR(INDEX(Students!$F$5:$F$304,MATCH(B107,Students!$A$5:$A$304,0)),""))</f>
        <v/>
      </c>
      <c r="F107" s="52"/>
      <c r="G107" s="89"/>
    </row>
    <row r="108" customFormat="false" ht="19.5" hidden="false" customHeight="true" outlineLevel="0" collapsed="false">
      <c r="A108" s="91"/>
      <c r="B108" s="52"/>
      <c r="C108" s="89" t="str">
        <f aca="false">IF(B108="","",IFERROR(INDEX(Students!$B$5:$B$304,MATCH(B108,Students!$A$5:$A$304,0)),"ID not found"))</f>
        <v/>
      </c>
      <c r="D108" s="85" t="str">
        <f aca="false">IF(B108="","",IFERROR(INDEX(Students!$E$5:$E$304,MATCH(B108,Students!$A$5:$A$304,0)),""))</f>
        <v/>
      </c>
      <c r="E108" s="85" t="str">
        <f aca="false">IF(B108="","",IFERROR(INDEX(Students!$F$5:$F$304,MATCH(B108,Students!$A$5:$A$304,0)),""))</f>
        <v/>
      </c>
      <c r="F108" s="52"/>
      <c r="G108" s="89"/>
    </row>
    <row r="109" customFormat="false" ht="19.5" hidden="false" customHeight="true" outlineLevel="0" collapsed="false">
      <c r="A109" s="91"/>
      <c r="B109" s="52"/>
      <c r="C109" s="89" t="str">
        <f aca="false">IF(B109="","",IFERROR(INDEX(Students!$B$5:$B$304,MATCH(B109,Students!$A$5:$A$304,0)),"ID not found"))</f>
        <v/>
      </c>
      <c r="D109" s="85" t="str">
        <f aca="false">IF(B109="","",IFERROR(INDEX(Students!$E$5:$E$304,MATCH(B109,Students!$A$5:$A$304,0)),""))</f>
        <v/>
      </c>
      <c r="E109" s="85" t="str">
        <f aca="false">IF(B109="","",IFERROR(INDEX(Students!$F$5:$F$304,MATCH(B109,Students!$A$5:$A$304,0)),""))</f>
        <v/>
      </c>
      <c r="F109" s="52"/>
      <c r="G109" s="89"/>
    </row>
    <row r="110" customFormat="false" ht="19.5" hidden="false" customHeight="true" outlineLevel="0" collapsed="false">
      <c r="A110" s="91"/>
      <c r="B110" s="52"/>
      <c r="C110" s="89" t="str">
        <f aca="false">IF(B110="","",IFERROR(INDEX(Students!$B$5:$B$304,MATCH(B110,Students!$A$5:$A$304,0)),"ID not found"))</f>
        <v/>
      </c>
      <c r="D110" s="85" t="str">
        <f aca="false">IF(B110="","",IFERROR(INDEX(Students!$E$5:$E$304,MATCH(B110,Students!$A$5:$A$304,0)),""))</f>
        <v/>
      </c>
      <c r="E110" s="85" t="str">
        <f aca="false">IF(B110="","",IFERROR(INDEX(Students!$F$5:$F$304,MATCH(B110,Students!$A$5:$A$304,0)),""))</f>
        <v/>
      </c>
      <c r="F110" s="52"/>
      <c r="G110" s="89"/>
    </row>
    <row r="111" customFormat="false" ht="19.5" hidden="false" customHeight="true" outlineLevel="0" collapsed="false">
      <c r="A111" s="91"/>
      <c r="B111" s="52"/>
      <c r="C111" s="89" t="str">
        <f aca="false">IF(B111="","",IFERROR(INDEX(Students!$B$5:$B$304,MATCH(B111,Students!$A$5:$A$304,0)),"ID not found"))</f>
        <v/>
      </c>
      <c r="D111" s="85" t="str">
        <f aca="false">IF(B111="","",IFERROR(INDEX(Students!$E$5:$E$304,MATCH(B111,Students!$A$5:$A$304,0)),""))</f>
        <v/>
      </c>
      <c r="E111" s="85" t="str">
        <f aca="false">IF(B111="","",IFERROR(INDEX(Students!$F$5:$F$304,MATCH(B111,Students!$A$5:$A$304,0)),""))</f>
        <v/>
      </c>
      <c r="F111" s="52"/>
      <c r="G111" s="89"/>
    </row>
    <row r="112" customFormat="false" ht="19.5" hidden="false" customHeight="true" outlineLevel="0" collapsed="false">
      <c r="A112" s="91"/>
      <c r="B112" s="52"/>
      <c r="C112" s="89" t="str">
        <f aca="false">IF(B112="","",IFERROR(INDEX(Students!$B$5:$B$304,MATCH(B112,Students!$A$5:$A$304,0)),"ID not found"))</f>
        <v/>
      </c>
      <c r="D112" s="85" t="str">
        <f aca="false">IF(B112="","",IFERROR(INDEX(Students!$E$5:$E$304,MATCH(B112,Students!$A$5:$A$304,0)),""))</f>
        <v/>
      </c>
      <c r="E112" s="85" t="str">
        <f aca="false">IF(B112="","",IFERROR(INDEX(Students!$F$5:$F$304,MATCH(B112,Students!$A$5:$A$304,0)),""))</f>
        <v/>
      </c>
      <c r="F112" s="52"/>
      <c r="G112" s="89"/>
    </row>
    <row r="113" customFormat="false" ht="19.5" hidden="false" customHeight="true" outlineLevel="0" collapsed="false">
      <c r="A113" s="91"/>
      <c r="B113" s="52"/>
      <c r="C113" s="89" t="str">
        <f aca="false">IF(B113="","",IFERROR(INDEX(Students!$B$5:$B$304,MATCH(B113,Students!$A$5:$A$304,0)),"ID not found"))</f>
        <v/>
      </c>
      <c r="D113" s="85" t="str">
        <f aca="false">IF(B113="","",IFERROR(INDEX(Students!$E$5:$E$304,MATCH(B113,Students!$A$5:$A$304,0)),""))</f>
        <v/>
      </c>
      <c r="E113" s="85" t="str">
        <f aca="false">IF(B113="","",IFERROR(INDEX(Students!$F$5:$F$304,MATCH(B113,Students!$A$5:$A$304,0)),""))</f>
        <v/>
      </c>
      <c r="F113" s="52"/>
      <c r="G113" s="89"/>
    </row>
    <row r="114" customFormat="false" ht="19.5" hidden="false" customHeight="true" outlineLevel="0" collapsed="false">
      <c r="A114" s="91"/>
      <c r="B114" s="52"/>
      <c r="C114" s="89" t="str">
        <f aca="false">IF(B114="","",IFERROR(INDEX(Students!$B$5:$B$304,MATCH(B114,Students!$A$5:$A$304,0)),"ID not found"))</f>
        <v/>
      </c>
      <c r="D114" s="85" t="str">
        <f aca="false">IF(B114="","",IFERROR(INDEX(Students!$E$5:$E$304,MATCH(B114,Students!$A$5:$A$304,0)),""))</f>
        <v/>
      </c>
      <c r="E114" s="85" t="str">
        <f aca="false">IF(B114="","",IFERROR(INDEX(Students!$F$5:$F$304,MATCH(B114,Students!$A$5:$A$304,0)),""))</f>
        <v/>
      </c>
      <c r="F114" s="52"/>
      <c r="G114" s="89"/>
    </row>
    <row r="115" customFormat="false" ht="19.5" hidden="false" customHeight="true" outlineLevel="0" collapsed="false">
      <c r="A115" s="91"/>
      <c r="B115" s="52"/>
      <c r="C115" s="89" t="str">
        <f aca="false">IF(B115="","",IFERROR(INDEX(Students!$B$5:$B$304,MATCH(B115,Students!$A$5:$A$304,0)),"ID not found"))</f>
        <v/>
      </c>
      <c r="D115" s="85" t="str">
        <f aca="false">IF(B115="","",IFERROR(INDEX(Students!$E$5:$E$304,MATCH(B115,Students!$A$5:$A$304,0)),""))</f>
        <v/>
      </c>
      <c r="E115" s="85" t="str">
        <f aca="false">IF(B115="","",IFERROR(INDEX(Students!$F$5:$F$304,MATCH(B115,Students!$A$5:$A$304,0)),""))</f>
        <v/>
      </c>
      <c r="F115" s="52"/>
      <c r="G115" s="89"/>
    </row>
    <row r="116" customFormat="false" ht="19.5" hidden="false" customHeight="true" outlineLevel="0" collapsed="false">
      <c r="A116" s="91"/>
      <c r="B116" s="52"/>
      <c r="C116" s="89" t="str">
        <f aca="false">IF(B116="","",IFERROR(INDEX(Students!$B$5:$B$304,MATCH(B116,Students!$A$5:$A$304,0)),"ID not found"))</f>
        <v/>
      </c>
      <c r="D116" s="85" t="str">
        <f aca="false">IF(B116="","",IFERROR(INDEX(Students!$E$5:$E$304,MATCH(B116,Students!$A$5:$A$304,0)),""))</f>
        <v/>
      </c>
      <c r="E116" s="85" t="str">
        <f aca="false">IF(B116="","",IFERROR(INDEX(Students!$F$5:$F$304,MATCH(B116,Students!$A$5:$A$304,0)),""))</f>
        <v/>
      </c>
      <c r="F116" s="52"/>
      <c r="G116" s="89"/>
    </row>
    <row r="117" customFormat="false" ht="19.5" hidden="false" customHeight="true" outlineLevel="0" collapsed="false">
      <c r="A117" s="91"/>
      <c r="B117" s="52"/>
      <c r="C117" s="89" t="str">
        <f aca="false">IF(B117="","",IFERROR(INDEX(Students!$B$5:$B$304,MATCH(B117,Students!$A$5:$A$304,0)),"ID not found"))</f>
        <v/>
      </c>
      <c r="D117" s="85" t="str">
        <f aca="false">IF(B117="","",IFERROR(INDEX(Students!$E$5:$E$304,MATCH(B117,Students!$A$5:$A$304,0)),""))</f>
        <v/>
      </c>
      <c r="E117" s="85" t="str">
        <f aca="false">IF(B117="","",IFERROR(INDEX(Students!$F$5:$F$304,MATCH(B117,Students!$A$5:$A$304,0)),""))</f>
        <v/>
      </c>
      <c r="F117" s="52"/>
      <c r="G117" s="89"/>
    </row>
    <row r="118" customFormat="false" ht="19.5" hidden="false" customHeight="true" outlineLevel="0" collapsed="false">
      <c r="A118" s="91"/>
      <c r="B118" s="52"/>
      <c r="C118" s="89" t="str">
        <f aca="false">IF(B118="","",IFERROR(INDEX(Students!$B$5:$B$304,MATCH(B118,Students!$A$5:$A$304,0)),"ID not found"))</f>
        <v/>
      </c>
      <c r="D118" s="85" t="str">
        <f aca="false">IF(B118="","",IFERROR(INDEX(Students!$E$5:$E$304,MATCH(B118,Students!$A$5:$A$304,0)),""))</f>
        <v/>
      </c>
      <c r="E118" s="85" t="str">
        <f aca="false">IF(B118="","",IFERROR(INDEX(Students!$F$5:$F$304,MATCH(B118,Students!$A$5:$A$304,0)),""))</f>
        <v/>
      </c>
      <c r="F118" s="52"/>
      <c r="G118" s="89"/>
    </row>
    <row r="119" customFormat="false" ht="19.5" hidden="false" customHeight="true" outlineLevel="0" collapsed="false">
      <c r="A119" s="91"/>
      <c r="B119" s="52"/>
      <c r="C119" s="89" t="str">
        <f aca="false">IF(B119="","",IFERROR(INDEX(Students!$B$5:$B$304,MATCH(B119,Students!$A$5:$A$304,0)),"ID not found"))</f>
        <v/>
      </c>
      <c r="D119" s="85" t="str">
        <f aca="false">IF(B119="","",IFERROR(INDEX(Students!$E$5:$E$304,MATCH(B119,Students!$A$5:$A$304,0)),""))</f>
        <v/>
      </c>
      <c r="E119" s="85" t="str">
        <f aca="false">IF(B119="","",IFERROR(INDEX(Students!$F$5:$F$304,MATCH(B119,Students!$A$5:$A$304,0)),""))</f>
        <v/>
      </c>
      <c r="F119" s="52"/>
      <c r="G119" s="89"/>
    </row>
    <row r="120" customFormat="false" ht="19.5" hidden="false" customHeight="true" outlineLevel="0" collapsed="false">
      <c r="A120" s="91"/>
      <c r="B120" s="52"/>
      <c r="C120" s="89" t="str">
        <f aca="false">IF(B120="","",IFERROR(INDEX(Students!$B$5:$B$304,MATCH(B120,Students!$A$5:$A$304,0)),"ID not found"))</f>
        <v/>
      </c>
      <c r="D120" s="85" t="str">
        <f aca="false">IF(B120="","",IFERROR(INDEX(Students!$E$5:$E$304,MATCH(B120,Students!$A$5:$A$304,0)),""))</f>
        <v/>
      </c>
      <c r="E120" s="85" t="str">
        <f aca="false">IF(B120="","",IFERROR(INDEX(Students!$F$5:$F$304,MATCH(B120,Students!$A$5:$A$304,0)),""))</f>
        <v/>
      </c>
      <c r="F120" s="52"/>
      <c r="G120" s="89"/>
    </row>
    <row r="121" customFormat="false" ht="19.5" hidden="false" customHeight="true" outlineLevel="0" collapsed="false">
      <c r="A121" s="91"/>
      <c r="B121" s="52"/>
      <c r="C121" s="89" t="str">
        <f aca="false">IF(B121="","",IFERROR(INDEX(Students!$B$5:$B$304,MATCH(B121,Students!$A$5:$A$304,0)),"ID not found"))</f>
        <v/>
      </c>
      <c r="D121" s="85" t="str">
        <f aca="false">IF(B121="","",IFERROR(INDEX(Students!$E$5:$E$304,MATCH(B121,Students!$A$5:$A$304,0)),""))</f>
        <v/>
      </c>
      <c r="E121" s="85" t="str">
        <f aca="false">IF(B121="","",IFERROR(INDEX(Students!$F$5:$F$304,MATCH(B121,Students!$A$5:$A$304,0)),""))</f>
        <v/>
      </c>
      <c r="F121" s="52"/>
      <c r="G121" s="89"/>
    </row>
    <row r="122" customFormat="false" ht="19.5" hidden="false" customHeight="true" outlineLevel="0" collapsed="false">
      <c r="A122" s="91"/>
      <c r="B122" s="52"/>
      <c r="C122" s="89" t="str">
        <f aca="false">IF(B122="","",IFERROR(INDEX(Students!$B$5:$B$304,MATCH(B122,Students!$A$5:$A$304,0)),"ID not found"))</f>
        <v/>
      </c>
      <c r="D122" s="85" t="str">
        <f aca="false">IF(B122="","",IFERROR(INDEX(Students!$E$5:$E$304,MATCH(B122,Students!$A$5:$A$304,0)),""))</f>
        <v/>
      </c>
      <c r="E122" s="85" t="str">
        <f aca="false">IF(B122="","",IFERROR(INDEX(Students!$F$5:$F$304,MATCH(B122,Students!$A$5:$A$304,0)),""))</f>
        <v/>
      </c>
      <c r="F122" s="52"/>
      <c r="G122" s="89"/>
    </row>
    <row r="123" customFormat="false" ht="19.5" hidden="false" customHeight="true" outlineLevel="0" collapsed="false">
      <c r="A123" s="91"/>
      <c r="B123" s="52"/>
      <c r="C123" s="89" t="str">
        <f aca="false">IF(B123="","",IFERROR(INDEX(Students!$B$5:$B$304,MATCH(B123,Students!$A$5:$A$304,0)),"ID not found"))</f>
        <v/>
      </c>
      <c r="D123" s="85" t="str">
        <f aca="false">IF(B123="","",IFERROR(INDEX(Students!$E$5:$E$304,MATCH(B123,Students!$A$5:$A$304,0)),""))</f>
        <v/>
      </c>
      <c r="E123" s="85" t="str">
        <f aca="false">IF(B123="","",IFERROR(INDEX(Students!$F$5:$F$304,MATCH(B123,Students!$A$5:$A$304,0)),""))</f>
        <v/>
      </c>
      <c r="F123" s="52"/>
      <c r="G123" s="89"/>
    </row>
    <row r="124" customFormat="false" ht="19.5" hidden="false" customHeight="true" outlineLevel="0" collapsed="false">
      <c r="A124" s="91"/>
      <c r="B124" s="52"/>
      <c r="C124" s="89" t="str">
        <f aca="false">IF(B124="","",IFERROR(INDEX(Students!$B$5:$B$304,MATCH(B124,Students!$A$5:$A$304,0)),"ID not found"))</f>
        <v/>
      </c>
      <c r="D124" s="85" t="str">
        <f aca="false">IF(B124="","",IFERROR(INDEX(Students!$E$5:$E$304,MATCH(B124,Students!$A$5:$A$304,0)),""))</f>
        <v/>
      </c>
      <c r="E124" s="85" t="str">
        <f aca="false">IF(B124="","",IFERROR(INDEX(Students!$F$5:$F$304,MATCH(B124,Students!$A$5:$A$304,0)),""))</f>
        <v/>
      </c>
      <c r="F124" s="52"/>
      <c r="G124" s="89"/>
    </row>
    <row r="125" customFormat="false" ht="19.5" hidden="false" customHeight="true" outlineLevel="0" collapsed="false">
      <c r="A125" s="91"/>
      <c r="B125" s="52"/>
      <c r="C125" s="89" t="str">
        <f aca="false">IF(B125="","",IFERROR(INDEX(Students!$B$5:$B$304,MATCH(B125,Students!$A$5:$A$304,0)),"ID not found"))</f>
        <v/>
      </c>
      <c r="D125" s="85" t="str">
        <f aca="false">IF(B125="","",IFERROR(INDEX(Students!$E$5:$E$304,MATCH(B125,Students!$A$5:$A$304,0)),""))</f>
        <v/>
      </c>
      <c r="E125" s="85" t="str">
        <f aca="false">IF(B125="","",IFERROR(INDEX(Students!$F$5:$F$304,MATCH(B125,Students!$A$5:$A$304,0)),""))</f>
        <v/>
      </c>
      <c r="F125" s="52"/>
      <c r="G125" s="89"/>
    </row>
    <row r="126" customFormat="false" ht="19.5" hidden="false" customHeight="true" outlineLevel="0" collapsed="false">
      <c r="A126" s="91"/>
      <c r="B126" s="52"/>
      <c r="C126" s="89" t="str">
        <f aca="false">IF(B126="","",IFERROR(INDEX(Students!$B$5:$B$304,MATCH(B126,Students!$A$5:$A$304,0)),"ID not found"))</f>
        <v/>
      </c>
      <c r="D126" s="85" t="str">
        <f aca="false">IF(B126="","",IFERROR(INDEX(Students!$E$5:$E$304,MATCH(B126,Students!$A$5:$A$304,0)),""))</f>
        <v/>
      </c>
      <c r="E126" s="85" t="str">
        <f aca="false">IF(B126="","",IFERROR(INDEX(Students!$F$5:$F$304,MATCH(B126,Students!$A$5:$A$304,0)),""))</f>
        <v/>
      </c>
      <c r="F126" s="52"/>
      <c r="G126" s="89"/>
    </row>
    <row r="127" customFormat="false" ht="19.5" hidden="false" customHeight="true" outlineLevel="0" collapsed="false">
      <c r="A127" s="91"/>
      <c r="B127" s="52"/>
      <c r="C127" s="89" t="str">
        <f aca="false">IF(B127="","",IFERROR(INDEX(Students!$B$5:$B$304,MATCH(B127,Students!$A$5:$A$304,0)),"ID not found"))</f>
        <v/>
      </c>
      <c r="D127" s="85" t="str">
        <f aca="false">IF(B127="","",IFERROR(INDEX(Students!$E$5:$E$304,MATCH(B127,Students!$A$5:$A$304,0)),""))</f>
        <v/>
      </c>
      <c r="E127" s="85" t="str">
        <f aca="false">IF(B127="","",IFERROR(INDEX(Students!$F$5:$F$304,MATCH(B127,Students!$A$5:$A$304,0)),""))</f>
        <v/>
      </c>
      <c r="F127" s="52"/>
      <c r="G127" s="89"/>
    </row>
    <row r="128" customFormat="false" ht="19.5" hidden="false" customHeight="true" outlineLevel="0" collapsed="false">
      <c r="A128" s="91"/>
      <c r="B128" s="52"/>
      <c r="C128" s="89" t="str">
        <f aca="false">IF(B128="","",IFERROR(INDEX(Students!$B$5:$B$304,MATCH(B128,Students!$A$5:$A$304,0)),"ID not found"))</f>
        <v/>
      </c>
      <c r="D128" s="85" t="str">
        <f aca="false">IF(B128="","",IFERROR(INDEX(Students!$E$5:$E$304,MATCH(B128,Students!$A$5:$A$304,0)),""))</f>
        <v/>
      </c>
      <c r="E128" s="85" t="str">
        <f aca="false">IF(B128="","",IFERROR(INDEX(Students!$F$5:$F$304,MATCH(B128,Students!$A$5:$A$304,0)),""))</f>
        <v/>
      </c>
      <c r="F128" s="52"/>
      <c r="G128" s="89"/>
    </row>
    <row r="129" customFormat="false" ht="19.5" hidden="false" customHeight="true" outlineLevel="0" collapsed="false">
      <c r="A129" s="91"/>
      <c r="B129" s="52"/>
      <c r="C129" s="89" t="str">
        <f aca="false">IF(B129="","",IFERROR(INDEX(Students!$B$5:$B$304,MATCH(B129,Students!$A$5:$A$304,0)),"ID not found"))</f>
        <v/>
      </c>
      <c r="D129" s="85" t="str">
        <f aca="false">IF(B129="","",IFERROR(INDEX(Students!$E$5:$E$304,MATCH(B129,Students!$A$5:$A$304,0)),""))</f>
        <v/>
      </c>
      <c r="E129" s="85" t="str">
        <f aca="false">IF(B129="","",IFERROR(INDEX(Students!$F$5:$F$304,MATCH(B129,Students!$A$5:$A$304,0)),""))</f>
        <v/>
      </c>
      <c r="F129" s="52"/>
      <c r="G129" s="89"/>
    </row>
    <row r="130" customFormat="false" ht="19.5" hidden="false" customHeight="true" outlineLevel="0" collapsed="false">
      <c r="A130" s="91"/>
      <c r="B130" s="52"/>
      <c r="C130" s="89" t="str">
        <f aca="false">IF(B130="","",IFERROR(INDEX(Students!$B$5:$B$304,MATCH(B130,Students!$A$5:$A$304,0)),"ID not found"))</f>
        <v/>
      </c>
      <c r="D130" s="85" t="str">
        <f aca="false">IF(B130="","",IFERROR(INDEX(Students!$E$5:$E$304,MATCH(B130,Students!$A$5:$A$304,0)),""))</f>
        <v/>
      </c>
      <c r="E130" s="85" t="str">
        <f aca="false">IF(B130="","",IFERROR(INDEX(Students!$F$5:$F$304,MATCH(B130,Students!$A$5:$A$304,0)),""))</f>
        <v/>
      </c>
      <c r="F130" s="52"/>
      <c r="G130" s="89"/>
    </row>
    <row r="131" customFormat="false" ht="19.5" hidden="false" customHeight="true" outlineLevel="0" collapsed="false">
      <c r="A131" s="91"/>
      <c r="B131" s="52"/>
      <c r="C131" s="89" t="str">
        <f aca="false">IF(B131="","",IFERROR(INDEX(Students!$B$5:$B$304,MATCH(B131,Students!$A$5:$A$304,0)),"ID not found"))</f>
        <v/>
      </c>
      <c r="D131" s="85" t="str">
        <f aca="false">IF(B131="","",IFERROR(INDEX(Students!$E$5:$E$304,MATCH(B131,Students!$A$5:$A$304,0)),""))</f>
        <v/>
      </c>
      <c r="E131" s="85" t="str">
        <f aca="false">IF(B131="","",IFERROR(INDEX(Students!$F$5:$F$304,MATCH(B131,Students!$A$5:$A$304,0)),""))</f>
        <v/>
      </c>
      <c r="F131" s="52"/>
      <c r="G131" s="89"/>
    </row>
    <row r="132" customFormat="false" ht="19.5" hidden="false" customHeight="true" outlineLevel="0" collapsed="false">
      <c r="A132" s="91"/>
      <c r="B132" s="52"/>
      <c r="C132" s="89" t="str">
        <f aca="false">IF(B132="","",IFERROR(INDEX(Students!$B$5:$B$304,MATCH(B132,Students!$A$5:$A$304,0)),"ID not found"))</f>
        <v/>
      </c>
      <c r="D132" s="85" t="str">
        <f aca="false">IF(B132="","",IFERROR(INDEX(Students!$E$5:$E$304,MATCH(B132,Students!$A$5:$A$304,0)),""))</f>
        <v/>
      </c>
      <c r="E132" s="85" t="str">
        <f aca="false">IF(B132="","",IFERROR(INDEX(Students!$F$5:$F$304,MATCH(B132,Students!$A$5:$A$304,0)),""))</f>
        <v/>
      </c>
      <c r="F132" s="52"/>
      <c r="G132" s="89"/>
    </row>
    <row r="133" customFormat="false" ht="19.5" hidden="false" customHeight="true" outlineLevel="0" collapsed="false">
      <c r="A133" s="91"/>
      <c r="B133" s="52"/>
      <c r="C133" s="89" t="str">
        <f aca="false">IF(B133="","",IFERROR(INDEX(Students!$B$5:$B$304,MATCH(B133,Students!$A$5:$A$304,0)),"ID not found"))</f>
        <v/>
      </c>
      <c r="D133" s="85" t="str">
        <f aca="false">IF(B133="","",IFERROR(INDEX(Students!$E$5:$E$304,MATCH(B133,Students!$A$5:$A$304,0)),""))</f>
        <v/>
      </c>
      <c r="E133" s="85" t="str">
        <f aca="false">IF(B133="","",IFERROR(INDEX(Students!$F$5:$F$304,MATCH(B133,Students!$A$5:$A$304,0)),""))</f>
        <v/>
      </c>
      <c r="F133" s="52"/>
      <c r="G133" s="89"/>
    </row>
    <row r="134" customFormat="false" ht="19.5" hidden="false" customHeight="true" outlineLevel="0" collapsed="false">
      <c r="A134" s="91"/>
      <c r="B134" s="52"/>
      <c r="C134" s="89" t="str">
        <f aca="false">IF(B134="","",IFERROR(INDEX(Students!$B$5:$B$304,MATCH(B134,Students!$A$5:$A$304,0)),"ID not found"))</f>
        <v/>
      </c>
      <c r="D134" s="85" t="str">
        <f aca="false">IF(B134="","",IFERROR(INDEX(Students!$E$5:$E$304,MATCH(B134,Students!$A$5:$A$304,0)),""))</f>
        <v/>
      </c>
      <c r="E134" s="85" t="str">
        <f aca="false">IF(B134="","",IFERROR(INDEX(Students!$F$5:$F$304,MATCH(B134,Students!$A$5:$A$304,0)),""))</f>
        <v/>
      </c>
      <c r="F134" s="52"/>
      <c r="G134" s="89"/>
    </row>
    <row r="135" customFormat="false" ht="19.5" hidden="false" customHeight="true" outlineLevel="0" collapsed="false">
      <c r="A135" s="91"/>
      <c r="B135" s="52"/>
      <c r="C135" s="89" t="str">
        <f aca="false">IF(B135="","",IFERROR(INDEX(Students!$B$5:$B$304,MATCH(B135,Students!$A$5:$A$304,0)),"ID not found"))</f>
        <v/>
      </c>
      <c r="D135" s="85" t="str">
        <f aca="false">IF(B135="","",IFERROR(INDEX(Students!$E$5:$E$304,MATCH(B135,Students!$A$5:$A$304,0)),""))</f>
        <v/>
      </c>
      <c r="E135" s="85" t="str">
        <f aca="false">IF(B135="","",IFERROR(INDEX(Students!$F$5:$F$304,MATCH(B135,Students!$A$5:$A$304,0)),""))</f>
        <v/>
      </c>
      <c r="F135" s="52"/>
      <c r="G135" s="89"/>
    </row>
    <row r="136" customFormat="false" ht="19.5" hidden="false" customHeight="true" outlineLevel="0" collapsed="false">
      <c r="A136" s="91"/>
      <c r="B136" s="52"/>
      <c r="C136" s="89" t="str">
        <f aca="false">IF(B136="","",IFERROR(INDEX(Students!$B$5:$B$304,MATCH(B136,Students!$A$5:$A$304,0)),"ID not found"))</f>
        <v/>
      </c>
      <c r="D136" s="85" t="str">
        <f aca="false">IF(B136="","",IFERROR(INDEX(Students!$E$5:$E$304,MATCH(B136,Students!$A$5:$A$304,0)),""))</f>
        <v/>
      </c>
      <c r="E136" s="85" t="str">
        <f aca="false">IF(B136="","",IFERROR(INDEX(Students!$F$5:$F$304,MATCH(B136,Students!$A$5:$A$304,0)),""))</f>
        <v/>
      </c>
      <c r="F136" s="52"/>
      <c r="G136" s="89"/>
    </row>
    <row r="137" customFormat="false" ht="19.5" hidden="false" customHeight="true" outlineLevel="0" collapsed="false">
      <c r="A137" s="91"/>
      <c r="B137" s="52"/>
      <c r="C137" s="89" t="str">
        <f aca="false">IF(B137="","",IFERROR(INDEX(Students!$B$5:$B$304,MATCH(B137,Students!$A$5:$A$304,0)),"ID not found"))</f>
        <v/>
      </c>
      <c r="D137" s="85" t="str">
        <f aca="false">IF(B137="","",IFERROR(INDEX(Students!$E$5:$E$304,MATCH(B137,Students!$A$5:$A$304,0)),""))</f>
        <v/>
      </c>
      <c r="E137" s="85" t="str">
        <f aca="false">IF(B137="","",IFERROR(INDEX(Students!$F$5:$F$304,MATCH(B137,Students!$A$5:$A$304,0)),""))</f>
        <v/>
      </c>
      <c r="F137" s="52"/>
      <c r="G137" s="89"/>
    </row>
    <row r="138" customFormat="false" ht="19.5" hidden="false" customHeight="true" outlineLevel="0" collapsed="false">
      <c r="A138" s="91"/>
      <c r="B138" s="52"/>
      <c r="C138" s="89" t="str">
        <f aca="false">IF(B138="","",IFERROR(INDEX(Students!$B$5:$B$304,MATCH(B138,Students!$A$5:$A$304,0)),"ID not found"))</f>
        <v/>
      </c>
      <c r="D138" s="85" t="str">
        <f aca="false">IF(B138="","",IFERROR(INDEX(Students!$E$5:$E$304,MATCH(B138,Students!$A$5:$A$304,0)),""))</f>
        <v/>
      </c>
      <c r="E138" s="85" t="str">
        <f aca="false">IF(B138="","",IFERROR(INDEX(Students!$F$5:$F$304,MATCH(B138,Students!$A$5:$A$304,0)),""))</f>
        <v/>
      </c>
      <c r="F138" s="52"/>
      <c r="G138" s="89"/>
    </row>
    <row r="139" customFormat="false" ht="19.5" hidden="false" customHeight="true" outlineLevel="0" collapsed="false">
      <c r="A139" s="91"/>
      <c r="B139" s="52"/>
      <c r="C139" s="89" t="str">
        <f aca="false">IF(B139="","",IFERROR(INDEX(Students!$B$5:$B$304,MATCH(B139,Students!$A$5:$A$304,0)),"ID not found"))</f>
        <v/>
      </c>
      <c r="D139" s="85" t="str">
        <f aca="false">IF(B139="","",IFERROR(INDEX(Students!$E$5:$E$304,MATCH(B139,Students!$A$5:$A$304,0)),""))</f>
        <v/>
      </c>
      <c r="E139" s="85" t="str">
        <f aca="false">IF(B139="","",IFERROR(INDEX(Students!$F$5:$F$304,MATCH(B139,Students!$A$5:$A$304,0)),""))</f>
        <v/>
      </c>
      <c r="F139" s="52"/>
      <c r="G139" s="89"/>
    </row>
    <row r="140" customFormat="false" ht="19.5" hidden="false" customHeight="true" outlineLevel="0" collapsed="false">
      <c r="A140" s="91"/>
      <c r="B140" s="52"/>
      <c r="C140" s="89" t="str">
        <f aca="false">IF(B140="","",IFERROR(INDEX(Students!$B$5:$B$304,MATCH(B140,Students!$A$5:$A$304,0)),"ID not found"))</f>
        <v/>
      </c>
      <c r="D140" s="85" t="str">
        <f aca="false">IF(B140="","",IFERROR(INDEX(Students!$E$5:$E$304,MATCH(B140,Students!$A$5:$A$304,0)),""))</f>
        <v/>
      </c>
      <c r="E140" s="85" t="str">
        <f aca="false">IF(B140="","",IFERROR(INDEX(Students!$F$5:$F$304,MATCH(B140,Students!$A$5:$A$304,0)),""))</f>
        <v/>
      </c>
      <c r="F140" s="52"/>
      <c r="G140" s="89"/>
    </row>
    <row r="141" customFormat="false" ht="19.5" hidden="false" customHeight="true" outlineLevel="0" collapsed="false">
      <c r="A141" s="91"/>
      <c r="B141" s="52"/>
      <c r="C141" s="89" t="str">
        <f aca="false">IF(B141="","",IFERROR(INDEX(Students!$B$5:$B$304,MATCH(B141,Students!$A$5:$A$304,0)),"ID not found"))</f>
        <v/>
      </c>
      <c r="D141" s="85" t="str">
        <f aca="false">IF(B141="","",IFERROR(INDEX(Students!$E$5:$E$304,MATCH(B141,Students!$A$5:$A$304,0)),""))</f>
        <v/>
      </c>
      <c r="E141" s="85" t="str">
        <f aca="false">IF(B141="","",IFERROR(INDEX(Students!$F$5:$F$304,MATCH(B141,Students!$A$5:$A$304,0)),""))</f>
        <v/>
      </c>
      <c r="F141" s="52"/>
      <c r="G141" s="89"/>
    </row>
    <row r="142" customFormat="false" ht="19.5" hidden="false" customHeight="true" outlineLevel="0" collapsed="false">
      <c r="A142" s="91"/>
      <c r="B142" s="52"/>
      <c r="C142" s="89" t="str">
        <f aca="false">IF(B142="","",IFERROR(INDEX(Students!$B$5:$B$304,MATCH(B142,Students!$A$5:$A$304,0)),"ID not found"))</f>
        <v/>
      </c>
      <c r="D142" s="85" t="str">
        <f aca="false">IF(B142="","",IFERROR(INDEX(Students!$E$5:$E$304,MATCH(B142,Students!$A$5:$A$304,0)),""))</f>
        <v/>
      </c>
      <c r="E142" s="85" t="str">
        <f aca="false">IF(B142="","",IFERROR(INDEX(Students!$F$5:$F$304,MATCH(B142,Students!$A$5:$A$304,0)),""))</f>
        <v/>
      </c>
      <c r="F142" s="52"/>
      <c r="G142" s="89"/>
    </row>
    <row r="143" customFormat="false" ht="19.5" hidden="false" customHeight="true" outlineLevel="0" collapsed="false">
      <c r="A143" s="91"/>
      <c r="B143" s="52"/>
      <c r="C143" s="89" t="str">
        <f aca="false">IF(B143="","",IFERROR(INDEX(Students!$B$5:$B$304,MATCH(B143,Students!$A$5:$A$304,0)),"ID not found"))</f>
        <v/>
      </c>
      <c r="D143" s="85" t="str">
        <f aca="false">IF(B143="","",IFERROR(INDEX(Students!$E$5:$E$304,MATCH(B143,Students!$A$5:$A$304,0)),""))</f>
        <v/>
      </c>
      <c r="E143" s="85" t="str">
        <f aca="false">IF(B143="","",IFERROR(INDEX(Students!$F$5:$F$304,MATCH(B143,Students!$A$5:$A$304,0)),""))</f>
        <v/>
      </c>
      <c r="F143" s="52"/>
      <c r="G143" s="89"/>
    </row>
    <row r="144" customFormat="false" ht="19.5" hidden="false" customHeight="true" outlineLevel="0" collapsed="false">
      <c r="A144" s="91"/>
      <c r="B144" s="52"/>
      <c r="C144" s="89" t="str">
        <f aca="false">IF(B144="","",IFERROR(INDEX(Students!$B$5:$B$304,MATCH(B144,Students!$A$5:$A$304,0)),"ID not found"))</f>
        <v/>
      </c>
      <c r="D144" s="85" t="str">
        <f aca="false">IF(B144="","",IFERROR(INDEX(Students!$E$5:$E$304,MATCH(B144,Students!$A$5:$A$304,0)),""))</f>
        <v/>
      </c>
      <c r="E144" s="85" t="str">
        <f aca="false">IF(B144="","",IFERROR(INDEX(Students!$F$5:$F$304,MATCH(B144,Students!$A$5:$A$304,0)),""))</f>
        <v/>
      </c>
      <c r="F144" s="52"/>
      <c r="G144" s="89"/>
    </row>
    <row r="145" customFormat="false" ht="19.5" hidden="false" customHeight="true" outlineLevel="0" collapsed="false">
      <c r="A145" s="91"/>
      <c r="B145" s="52"/>
      <c r="C145" s="89" t="str">
        <f aca="false">IF(B145="","",IFERROR(INDEX(Students!$B$5:$B$304,MATCH(B145,Students!$A$5:$A$304,0)),"ID not found"))</f>
        <v/>
      </c>
      <c r="D145" s="85" t="str">
        <f aca="false">IF(B145="","",IFERROR(INDEX(Students!$E$5:$E$304,MATCH(B145,Students!$A$5:$A$304,0)),""))</f>
        <v/>
      </c>
      <c r="E145" s="85" t="str">
        <f aca="false">IF(B145="","",IFERROR(INDEX(Students!$F$5:$F$304,MATCH(B145,Students!$A$5:$A$304,0)),""))</f>
        <v/>
      </c>
      <c r="F145" s="52"/>
      <c r="G145" s="89"/>
    </row>
    <row r="146" customFormat="false" ht="19.5" hidden="false" customHeight="true" outlineLevel="0" collapsed="false">
      <c r="A146" s="91"/>
      <c r="B146" s="52"/>
      <c r="C146" s="89" t="str">
        <f aca="false">IF(B146="","",IFERROR(INDEX(Students!$B$5:$B$304,MATCH(B146,Students!$A$5:$A$304,0)),"ID not found"))</f>
        <v/>
      </c>
      <c r="D146" s="85" t="str">
        <f aca="false">IF(B146="","",IFERROR(INDEX(Students!$E$5:$E$304,MATCH(B146,Students!$A$5:$A$304,0)),""))</f>
        <v/>
      </c>
      <c r="E146" s="85" t="str">
        <f aca="false">IF(B146="","",IFERROR(INDEX(Students!$F$5:$F$304,MATCH(B146,Students!$A$5:$A$304,0)),""))</f>
        <v/>
      </c>
      <c r="F146" s="52"/>
      <c r="G146" s="89"/>
    </row>
    <row r="147" customFormat="false" ht="19.5" hidden="false" customHeight="true" outlineLevel="0" collapsed="false">
      <c r="A147" s="91"/>
      <c r="B147" s="52"/>
      <c r="C147" s="89" t="str">
        <f aca="false">IF(B147="","",IFERROR(INDEX(Students!$B$5:$B$304,MATCH(B147,Students!$A$5:$A$304,0)),"ID not found"))</f>
        <v/>
      </c>
      <c r="D147" s="85" t="str">
        <f aca="false">IF(B147="","",IFERROR(INDEX(Students!$E$5:$E$304,MATCH(B147,Students!$A$5:$A$304,0)),""))</f>
        <v/>
      </c>
      <c r="E147" s="85" t="str">
        <f aca="false">IF(B147="","",IFERROR(INDEX(Students!$F$5:$F$304,MATCH(B147,Students!$A$5:$A$304,0)),""))</f>
        <v/>
      </c>
      <c r="F147" s="52"/>
      <c r="G147" s="89"/>
    </row>
    <row r="148" customFormat="false" ht="19.5" hidden="false" customHeight="true" outlineLevel="0" collapsed="false">
      <c r="A148" s="91"/>
      <c r="B148" s="52"/>
      <c r="C148" s="89" t="str">
        <f aca="false">IF(B148="","",IFERROR(INDEX(Students!$B$5:$B$304,MATCH(B148,Students!$A$5:$A$304,0)),"ID not found"))</f>
        <v/>
      </c>
      <c r="D148" s="85" t="str">
        <f aca="false">IF(B148="","",IFERROR(INDEX(Students!$E$5:$E$304,MATCH(B148,Students!$A$5:$A$304,0)),""))</f>
        <v/>
      </c>
      <c r="E148" s="85" t="str">
        <f aca="false">IF(B148="","",IFERROR(INDEX(Students!$F$5:$F$304,MATCH(B148,Students!$A$5:$A$304,0)),""))</f>
        <v/>
      </c>
      <c r="F148" s="52"/>
      <c r="G148" s="89"/>
    </row>
    <row r="149" customFormat="false" ht="19.5" hidden="false" customHeight="true" outlineLevel="0" collapsed="false">
      <c r="A149" s="91"/>
      <c r="B149" s="52"/>
      <c r="C149" s="89" t="str">
        <f aca="false">IF(B149="","",IFERROR(INDEX(Students!$B$5:$B$304,MATCH(B149,Students!$A$5:$A$304,0)),"ID not found"))</f>
        <v/>
      </c>
      <c r="D149" s="85" t="str">
        <f aca="false">IF(B149="","",IFERROR(INDEX(Students!$E$5:$E$304,MATCH(B149,Students!$A$5:$A$304,0)),""))</f>
        <v/>
      </c>
      <c r="E149" s="85" t="str">
        <f aca="false">IF(B149="","",IFERROR(INDEX(Students!$F$5:$F$304,MATCH(B149,Students!$A$5:$A$304,0)),""))</f>
        <v/>
      </c>
      <c r="F149" s="52"/>
      <c r="G149" s="89"/>
    </row>
    <row r="150" customFormat="false" ht="19.5" hidden="false" customHeight="true" outlineLevel="0" collapsed="false">
      <c r="A150" s="91"/>
      <c r="B150" s="52"/>
      <c r="C150" s="89" t="str">
        <f aca="false">IF(B150="","",IFERROR(INDEX(Students!$B$5:$B$304,MATCH(B150,Students!$A$5:$A$304,0)),"ID not found"))</f>
        <v/>
      </c>
      <c r="D150" s="85" t="str">
        <f aca="false">IF(B150="","",IFERROR(INDEX(Students!$E$5:$E$304,MATCH(B150,Students!$A$5:$A$304,0)),""))</f>
        <v/>
      </c>
      <c r="E150" s="85" t="str">
        <f aca="false">IF(B150="","",IFERROR(INDEX(Students!$F$5:$F$304,MATCH(B150,Students!$A$5:$A$304,0)),""))</f>
        <v/>
      </c>
      <c r="F150" s="52"/>
      <c r="G150" s="89"/>
    </row>
    <row r="151" customFormat="false" ht="19.5" hidden="false" customHeight="true" outlineLevel="0" collapsed="false">
      <c r="A151" s="91"/>
      <c r="B151" s="52"/>
      <c r="C151" s="89" t="str">
        <f aca="false">IF(B151="","",IFERROR(INDEX(Students!$B$5:$B$304,MATCH(B151,Students!$A$5:$A$304,0)),"ID not found"))</f>
        <v/>
      </c>
      <c r="D151" s="85" t="str">
        <f aca="false">IF(B151="","",IFERROR(INDEX(Students!$E$5:$E$304,MATCH(B151,Students!$A$5:$A$304,0)),""))</f>
        <v/>
      </c>
      <c r="E151" s="85" t="str">
        <f aca="false">IF(B151="","",IFERROR(INDEX(Students!$F$5:$F$304,MATCH(B151,Students!$A$5:$A$304,0)),""))</f>
        <v/>
      </c>
      <c r="F151" s="52"/>
      <c r="G151" s="89"/>
    </row>
    <row r="152" customFormat="false" ht="19.5" hidden="false" customHeight="true" outlineLevel="0" collapsed="false">
      <c r="A152" s="91"/>
      <c r="B152" s="52"/>
      <c r="C152" s="89" t="str">
        <f aca="false">IF(B152="","",IFERROR(INDEX(Students!$B$5:$B$304,MATCH(B152,Students!$A$5:$A$304,0)),"ID not found"))</f>
        <v/>
      </c>
      <c r="D152" s="85" t="str">
        <f aca="false">IF(B152="","",IFERROR(INDEX(Students!$E$5:$E$304,MATCH(B152,Students!$A$5:$A$304,0)),""))</f>
        <v/>
      </c>
      <c r="E152" s="85" t="str">
        <f aca="false">IF(B152="","",IFERROR(INDEX(Students!$F$5:$F$304,MATCH(B152,Students!$A$5:$A$304,0)),""))</f>
        <v/>
      </c>
      <c r="F152" s="52"/>
      <c r="G152" s="89"/>
    </row>
    <row r="153" customFormat="false" ht="19.5" hidden="false" customHeight="true" outlineLevel="0" collapsed="false">
      <c r="A153" s="91"/>
      <c r="B153" s="52"/>
      <c r="C153" s="89" t="str">
        <f aca="false">IF(B153="","",IFERROR(INDEX(Students!$B$5:$B$304,MATCH(B153,Students!$A$5:$A$304,0)),"ID not found"))</f>
        <v/>
      </c>
      <c r="D153" s="85" t="str">
        <f aca="false">IF(B153="","",IFERROR(INDEX(Students!$E$5:$E$304,MATCH(B153,Students!$A$5:$A$304,0)),""))</f>
        <v/>
      </c>
      <c r="E153" s="85" t="str">
        <f aca="false">IF(B153="","",IFERROR(INDEX(Students!$F$5:$F$304,MATCH(B153,Students!$A$5:$A$304,0)),""))</f>
        <v/>
      </c>
      <c r="F153" s="52"/>
      <c r="G153" s="89"/>
    </row>
    <row r="154" customFormat="false" ht="19.5" hidden="false" customHeight="true" outlineLevel="0" collapsed="false">
      <c r="A154" s="91"/>
      <c r="B154" s="52"/>
      <c r="C154" s="89" t="str">
        <f aca="false">IF(B154="","",IFERROR(INDEX(Students!$B$5:$B$304,MATCH(B154,Students!$A$5:$A$304,0)),"ID not found"))</f>
        <v/>
      </c>
      <c r="D154" s="85" t="str">
        <f aca="false">IF(B154="","",IFERROR(INDEX(Students!$E$5:$E$304,MATCH(B154,Students!$A$5:$A$304,0)),""))</f>
        <v/>
      </c>
      <c r="E154" s="85" t="str">
        <f aca="false">IF(B154="","",IFERROR(INDEX(Students!$F$5:$F$304,MATCH(B154,Students!$A$5:$A$304,0)),""))</f>
        <v/>
      </c>
      <c r="F154" s="52"/>
      <c r="G154" s="89"/>
    </row>
    <row r="155" customFormat="false" ht="19.5" hidden="false" customHeight="true" outlineLevel="0" collapsed="false">
      <c r="A155" s="91"/>
      <c r="B155" s="52"/>
      <c r="C155" s="89" t="str">
        <f aca="false">IF(B155="","",IFERROR(INDEX(Students!$B$5:$B$304,MATCH(B155,Students!$A$5:$A$304,0)),"ID not found"))</f>
        <v/>
      </c>
      <c r="D155" s="85" t="str">
        <f aca="false">IF(B155="","",IFERROR(INDEX(Students!$E$5:$E$304,MATCH(B155,Students!$A$5:$A$304,0)),""))</f>
        <v/>
      </c>
      <c r="E155" s="85" t="str">
        <f aca="false">IF(B155="","",IFERROR(INDEX(Students!$F$5:$F$304,MATCH(B155,Students!$A$5:$A$304,0)),""))</f>
        <v/>
      </c>
      <c r="F155" s="52"/>
      <c r="G155" s="89"/>
    </row>
    <row r="156" customFormat="false" ht="19.5" hidden="false" customHeight="true" outlineLevel="0" collapsed="false">
      <c r="A156" s="91"/>
      <c r="B156" s="52"/>
      <c r="C156" s="89" t="str">
        <f aca="false">IF(B156="","",IFERROR(INDEX(Students!$B$5:$B$304,MATCH(B156,Students!$A$5:$A$304,0)),"ID not found"))</f>
        <v/>
      </c>
      <c r="D156" s="85" t="str">
        <f aca="false">IF(B156="","",IFERROR(INDEX(Students!$E$5:$E$304,MATCH(B156,Students!$A$5:$A$304,0)),""))</f>
        <v/>
      </c>
      <c r="E156" s="85" t="str">
        <f aca="false">IF(B156="","",IFERROR(INDEX(Students!$F$5:$F$304,MATCH(B156,Students!$A$5:$A$304,0)),""))</f>
        <v/>
      </c>
      <c r="F156" s="52"/>
      <c r="G156" s="89"/>
    </row>
    <row r="157" customFormat="false" ht="19.5" hidden="false" customHeight="true" outlineLevel="0" collapsed="false">
      <c r="A157" s="91"/>
      <c r="B157" s="52"/>
      <c r="C157" s="89" t="str">
        <f aca="false">IF(B157="","",IFERROR(INDEX(Students!$B$5:$B$304,MATCH(B157,Students!$A$5:$A$304,0)),"ID not found"))</f>
        <v/>
      </c>
      <c r="D157" s="85" t="str">
        <f aca="false">IF(B157="","",IFERROR(INDEX(Students!$E$5:$E$304,MATCH(B157,Students!$A$5:$A$304,0)),""))</f>
        <v/>
      </c>
      <c r="E157" s="85" t="str">
        <f aca="false">IF(B157="","",IFERROR(INDEX(Students!$F$5:$F$304,MATCH(B157,Students!$A$5:$A$304,0)),""))</f>
        <v/>
      </c>
      <c r="F157" s="52"/>
      <c r="G157" s="89"/>
    </row>
    <row r="158" customFormat="false" ht="19.5" hidden="false" customHeight="true" outlineLevel="0" collapsed="false">
      <c r="A158" s="91"/>
      <c r="B158" s="52"/>
      <c r="C158" s="89" t="str">
        <f aca="false">IF(B158="","",IFERROR(INDEX(Students!$B$5:$B$304,MATCH(B158,Students!$A$5:$A$304,0)),"ID not found"))</f>
        <v/>
      </c>
      <c r="D158" s="85" t="str">
        <f aca="false">IF(B158="","",IFERROR(INDEX(Students!$E$5:$E$304,MATCH(B158,Students!$A$5:$A$304,0)),""))</f>
        <v/>
      </c>
      <c r="E158" s="85" t="str">
        <f aca="false">IF(B158="","",IFERROR(INDEX(Students!$F$5:$F$304,MATCH(B158,Students!$A$5:$A$304,0)),""))</f>
        <v/>
      </c>
      <c r="F158" s="52"/>
      <c r="G158" s="89"/>
    </row>
    <row r="159" customFormat="false" ht="19.5" hidden="false" customHeight="true" outlineLevel="0" collapsed="false">
      <c r="A159" s="91"/>
      <c r="B159" s="52"/>
      <c r="C159" s="89" t="str">
        <f aca="false">IF(B159="","",IFERROR(INDEX(Students!$B$5:$B$304,MATCH(B159,Students!$A$5:$A$304,0)),"ID not found"))</f>
        <v/>
      </c>
      <c r="D159" s="85" t="str">
        <f aca="false">IF(B159="","",IFERROR(INDEX(Students!$E$5:$E$304,MATCH(B159,Students!$A$5:$A$304,0)),""))</f>
        <v/>
      </c>
      <c r="E159" s="85" t="str">
        <f aca="false">IF(B159="","",IFERROR(INDEX(Students!$F$5:$F$304,MATCH(B159,Students!$A$5:$A$304,0)),""))</f>
        <v/>
      </c>
      <c r="F159" s="52"/>
      <c r="G159" s="89"/>
    </row>
    <row r="160" customFormat="false" ht="19.5" hidden="false" customHeight="true" outlineLevel="0" collapsed="false">
      <c r="A160" s="91"/>
      <c r="B160" s="52"/>
      <c r="C160" s="89" t="str">
        <f aca="false">IF(B160="","",IFERROR(INDEX(Students!$B$5:$B$304,MATCH(B160,Students!$A$5:$A$304,0)),"ID not found"))</f>
        <v/>
      </c>
      <c r="D160" s="85" t="str">
        <f aca="false">IF(B160="","",IFERROR(INDEX(Students!$E$5:$E$304,MATCH(B160,Students!$A$5:$A$304,0)),""))</f>
        <v/>
      </c>
      <c r="E160" s="85" t="str">
        <f aca="false">IF(B160="","",IFERROR(INDEX(Students!$F$5:$F$304,MATCH(B160,Students!$A$5:$A$304,0)),""))</f>
        <v/>
      </c>
      <c r="F160" s="52"/>
      <c r="G160" s="89"/>
    </row>
    <row r="161" customFormat="false" ht="19.5" hidden="false" customHeight="true" outlineLevel="0" collapsed="false">
      <c r="A161" s="91"/>
      <c r="B161" s="52"/>
      <c r="C161" s="89" t="str">
        <f aca="false">IF(B161="","",IFERROR(INDEX(Students!$B$5:$B$304,MATCH(B161,Students!$A$5:$A$304,0)),"ID not found"))</f>
        <v/>
      </c>
      <c r="D161" s="85" t="str">
        <f aca="false">IF(B161="","",IFERROR(INDEX(Students!$E$5:$E$304,MATCH(B161,Students!$A$5:$A$304,0)),""))</f>
        <v/>
      </c>
      <c r="E161" s="85" t="str">
        <f aca="false">IF(B161="","",IFERROR(INDEX(Students!$F$5:$F$304,MATCH(B161,Students!$A$5:$A$304,0)),""))</f>
        <v/>
      </c>
      <c r="F161" s="52"/>
      <c r="G161" s="89"/>
    </row>
    <row r="162" customFormat="false" ht="19.5" hidden="false" customHeight="true" outlineLevel="0" collapsed="false">
      <c r="A162" s="91"/>
      <c r="B162" s="52"/>
      <c r="C162" s="89" t="str">
        <f aca="false">IF(B162="","",IFERROR(INDEX(Students!$B$5:$B$304,MATCH(B162,Students!$A$5:$A$304,0)),"ID not found"))</f>
        <v/>
      </c>
      <c r="D162" s="85" t="str">
        <f aca="false">IF(B162="","",IFERROR(INDEX(Students!$E$5:$E$304,MATCH(B162,Students!$A$5:$A$304,0)),""))</f>
        <v/>
      </c>
      <c r="E162" s="85" t="str">
        <f aca="false">IF(B162="","",IFERROR(INDEX(Students!$F$5:$F$304,MATCH(B162,Students!$A$5:$A$304,0)),""))</f>
        <v/>
      </c>
      <c r="F162" s="52"/>
      <c r="G162" s="89"/>
    </row>
    <row r="163" customFormat="false" ht="19.5" hidden="false" customHeight="true" outlineLevel="0" collapsed="false">
      <c r="A163" s="91"/>
      <c r="B163" s="52"/>
      <c r="C163" s="89" t="str">
        <f aca="false">IF(B163="","",IFERROR(INDEX(Students!$B$5:$B$304,MATCH(B163,Students!$A$5:$A$304,0)),"ID not found"))</f>
        <v/>
      </c>
      <c r="D163" s="85" t="str">
        <f aca="false">IF(B163="","",IFERROR(INDEX(Students!$E$5:$E$304,MATCH(B163,Students!$A$5:$A$304,0)),""))</f>
        <v/>
      </c>
      <c r="E163" s="85" t="str">
        <f aca="false">IF(B163="","",IFERROR(INDEX(Students!$F$5:$F$304,MATCH(B163,Students!$A$5:$A$304,0)),""))</f>
        <v/>
      </c>
      <c r="F163" s="52"/>
      <c r="G163" s="89"/>
    </row>
    <row r="164" customFormat="false" ht="19.5" hidden="false" customHeight="true" outlineLevel="0" collapsed="false">
      <c r="A164" s="91"/>
      <c r="B164" s="52"/>
      <c r="C164" s="89" t="str">
        <f aca="false">IF(B164="","",IFERROR(INDEX(Students!$B$5:$B$304,MATCH(B164,Students!$A$5:$A$304,0)),"ID not found"))</f>
        <v/>
      </c>
      <c r="D164" s="85" t="str">
        <f aca="false">IF(B164="","",IFERROR(INDEX(Students!$E$5:$E$304,MATCH(B164,Students!$A$5:$A$304,0)),""))</f>
        <v/>
      </c>
      <c r="E164" s="85" t="str">
        <f aca="false">IF(B164="","",IFERROR(INDEX(Students!$F$5:$F$304,MATCH(B164,Students!$A$5:$A$304,0)),""))</f>
        <v/>
      </c>
      <c r="F164" s="52"/>
      <c r="G164" s="89"/>
    </row>
    <row r="165" customFormat="false" ht="19.5" hidden="false" customHeight="true" outlineLevel="0" collapsed="false">
      <c r="A165" s="91"/>
      <c r="B165" s="52"/>
      <c r="C165" s="89" t="str">
        <f aca="false">IF(B165="","",IFERROR(INDEX(Students!$B$5:$B$304,MATCH(B165,Students!$A$5:$A$304,0)),"ID not found"))</f>
        <v/>
      </c>
      <c r="D165" s="85" t="str">
        <f aca="false">IF(B165="","",IFERROR(INDEX(Students!$E$5:$E$304,MATCH(B165,Students!$A$5:$A$304,0)),""))</f>
        <v/>
      </c>
      <c r="E165" s="85" t="str">
        <f aca="false">IF(B165="","",IFERROR(INDEX(Students!$F$5:$F$304,MATCH(B165,Students!$A$5:$A$304,0)),""))</f>
        <v/>
      </c>
      <c r="F165" s="52"/>
      <c r="G165" s="89"/>
    </row>
    <row r="166" customFormat="false" ht="19.5" hidden="false" customHeight="true" outlineLevel="0" collapsed="false">
      <c r="A166" s="91"/>
      <c r="B166" s="52"/>
      <c r="C166" s="89" t="str">
        <f aca="false">IF(B166="","",IFERROR(INDEX(Students!$B$5:$B$304,MATCH(B166,Students!$A$5:$A$304,0)),"ID not found"))</f>
        <v/>
      </c>
      <c r="D166" s="85" t="str">
        <f aca="false">IF(B166="","",IFERROR(INDEX(Students!$E$5:$E$304,MATCH(B166,Students!$A$5:$A$304,0)),""))</f>
        <v/>
      </c>
      <c r="E166" s="85" t="str">
        <f aca="false">IF(B166="","",IFERROR(INDEX(Students!$F$5:$F$304,MATCH(B166,Students!$A$5:$A$304,0)),""))</f>
        <v/>
      </c>
      <c r="F166" s="52"/>
      <c r="G166" s="89"/>
    </row>
    <row r="167" customFormat="false" ht="19.5" hidden="false" customHeight="true" outlineLevel="0" collapsed="false">
      <c r="A167" s="91"/>
      <c r="B167" s="52"/>
      <c r="C167" s="89" t="str">
        <f aca="false">IF(B167="","",IFERROR(INDEX(Students!$B$5:$B$304,MATCH(B167,Students!$A$5:$A$304,0)),"ID not found"))</f>
        <v/>
      </c>
      <c r="D167" s="85" t="str">
        <f aca="false">IF(B167="","",IFERROR(INDEX(Students!$E$5:$E$304,MATCH(B167,Students!$A$5:$A$304,0)),""))</f>
        <v/>
      </c>
      <c r="E167" s="85" t="str">
        <f aca="false">IF(B167="","",IFERROR(INDEX(Students!$F$5:$F$304,MATCH(B167,Students!$A$5:$A$304,0)),""))</f>
        <v/>
      </c>
      <c r="F167" s="52"/>
      <c r="G167" s="89"/>
    </row>
    <row r="168" customFormat="false" ht="19.5" hidden="false" customHeight="true" outlineLevel="0" collapsed="false">
      <c r="A168" s="91"/>
      <c r="B168" s="52"/>
      <c r="C168" s="89" t="str">
        <f aca="false">IF(B168="","",IFERROR(INDEX(Students!$B$5:$B$304,MATCH(B168,Students!$A$5:$A$304,0)),"ID not found"))</f>
        <v/>
      </c>
      <c r="D168" s="85" t="str">
        <f aca="false">IF(B168="","",IFERROR(INDEX(Students!$E$5:$E$304,MATCH(B168,Students!$A$5:$A$304,0)),""))</f>
        <v/>
      </c>
      <c r="E168" s="85" t="str">
        <f aca="false">IF(B168="","",IFERROR(INDEX(Students!$F$5:$F$304,MATCH(B168,Students!$A$5:$A$304,0)),""))</f>
        <v/>
      </c>
      <c r="F168" s="52"/>
      <c r="G168" s="89"/>
    </row>
    <row r="169" customFormat="false" ht="19.5" hidden="false" customHeight="true" outlineLevel="0" collapsed="false">
      <c r="A169" s="91"/>
      <c r="B169" s="52"/>
      <c r="C169" s="89" t="str">
        <f aca="false">IF(B169="","",IFERROR(INDEX(Students!$B$5:$B$304,MATCH(B169,Students!$A$5:$A$304,0)),"ID not found"))</f>
        <v/>
      </c>
      <c r="D169" s="85" t="str">
        <f aca="false">IF(B169="","",IFERROR(INDEX(Students!$E$5:$E$304,MATCH(B169,Students!$A$5:$A$304,0)),""))</f>
        <v/>
      </c>
      <c r="E169" s="85" t="str">
        <f aca="false">IF(B169="","",IFERROR(INDEX(Students!$F$5:$F$304,MATCH(B169,Students!$A$5:$A$304,0)),""))</f>
        <v/>
      </c>
      <c r="F169" s="52"/>
      <c r="G169" s="89"/>
    </row>
    <row r="170" customFormat="false" ht="19.5" hidden="false" customHeight="true" outlineLevel="0" collapsed="false">
      <c r="A170" s="91"/>
      <c r="B170" s="52"/>
      <c r="C170" s="89" t="str">
        <f aca="false">IF(B170="","",IFERROR(INDEX(Students!$B$5:$B$304,MATCH(B170,Students!$A$5:$A$304,0)),"ID not found"))</f>
        <v/>
      </c>
      <c r="D170" s="85" t="str">
        <f aca="false">IF(B170="","",IFERROR(INDEX(Students!$E$5:$E$304,MATCH(B170,Students!$A$5:$A$304,0)),""))</f>
        <v/>
      </c>
      <c r="E170" s="85" t="str">
        <f aca="false">IF(B170="","",IFERROR(INDEX(Students!$F$5:$F$304,MATCH(B170,Students!$A$5:$A$304,0)),""))</f>
        <v/>
      </c>
      <c r="F170" s="52"/>
      <c r="G170" s="89"/>
    </row>
    <row r="171" customFormat="false" ht="19.5" hidden="false" customHeight="true" outlineLevel="0" collapsed="false">
      <c r="A171" s="91"/>
      <c r="B171" s="52"/>
      <c r="C171" s="89" t="str">
        <f aca="false">IF(B171="","",IFERROR(INDEX(Students!$B$5:$B$304,MATCH(B171,Students!$A$5:$A$304,0)),"ID not found"))</f>
        <v/>
      </c>
      <c r="D171" s="85" t="str">
        <f aca="false">IF(B171="","",IFERROR(INDEX(Students!$E$5:$E$304,MATCH(B171,Students!$A$5:$A$304,0)),""))</f>
        <v/>
      </c>
      <c r="E171" s="85" t="str">
        <f aca="false">IF(B171="","",IFERROR(INDEX(Students!$F$5:$F$304,MATCH(B171,Students!$A$5:$A$304,0)),""))</f>
        <v/>
      </c>
      <c r="F171" s="52"/>
      <c r="G171" s="89"/>
    </row>
    <row r="172" customFormat="false" ht="19.5" hidden="false" customHeight="true" outlineLevel="0" collapsed="false">
      <c r="A172" s="91"/>
      <c r="B172" s="52"/>
      <c r="C172" s="89" t="str">
        <f aca="false">IF(B172="","",IFERROR(INDEX(Students!$B$5:$B$304,MATCH(B172,Students!$A$5:$A$304,0)),"ID not found"))</f>
        <v/>
      </c>
      <c r="D172" s="85" t="str">
        <f aca="false">IF(B172="","",IFERROR(INDEX(Students!$E$5:$E$304,MATCH(B172,Students!$A$5:$A$304,0)),""))</f>
        <v/>
      </c>
      <c r="E172" s="85" t="str">
        <f aca="false">IF(B172="","",IFERROR(INDEX(Students!$F$5:$F$304,MATCH(B172,Students!$A$5:$A$304,0)),""))</f>
        <v/>
      </c>
      <c r="F172" s="52"/>
      <c r="G172" s="89"/>
    </row>
    <row r="173" customFormat="false" ht="19.5" hidden="false" customHeight="true" outlineLevel="0" collapsed="false">
      <c r="A173" s="91"/>
      <c r="B173" s="52"/>
      <c r="C173" s="89" t="str">
        <f aca="false">IF(B173="","",IFERROR(INDEX(Students!$B$5:$B$304,MATCH(B173,Students!$A$5:$A$304,0)),"ID not found"))</f>
        <v/>
      </c>
      <c r="D173" s="85" t="str">
        <f aca="false">IF(B173="","",IFERROR(INDEX(Students!$E$5:$E$304,MATCH(B173,Students!$A$5:$A$304,0)),""))</f>
        <v/>
      </c>
      <c r="E173" s="85" t="str">
        <f aca="false">IF(B173="","",IFERROR(INDEX(Students!$F$5:$F$304,MATCH(B173,Students!$A$5:$A$304,0)),""))</f>
        <v/>
      </c>
      <c r="F173" s="52"/>
      <c r="G173" s="89"/>
    </row>
    <row r="174" customFormat="false" ht="19.5" hidden="false" customHeight="true" outlineLevel="0" collapsed="false">
      <c r="A174" s="91"/>
      <c r="B174" s="52"/>
      <c r="C174" s="89" t="str">
        <f aca="false">IF(B174="","",IFERROR(INDEX(Students!$B$5:$B$304,MATCH(B174,Students!$A$5:$A$304,0)),"ID not found"))</f>
        <v/>
      </c>
      <c r="D174" s="85" t="str">
        <f aca="false">IF(B174="","",IFERROR(INDEX(Students!$E$5:$E$304,MATCH(B174,Students!$A$5:$A$304,0)),""))</f>
        <v/>
      </c>
      <c r="E174" s="85" t="str">
        <f aca="false">IF(B174="","",IFERROR(INDEX(Students!$F$5:$F$304,MATCH(B174,Students!$A$5:$A$304,0)),""))</f>
        <v/>
      </c>
      <c r="F174" s="52"/>
      <c r="G174" s="89"/>
    </row>
    <row r="175" customFormat="false" ht="19.5" hidden="false" customHeight="true" outlineLevel="0" collapsed="false">
      <c r="A175" s="91"/>
      <c r="B175" s="52"/>
      <c r="C175" s="89" t="str">
        <f aca="false">IF(B175="","",IFERROR(INDEX(Students!$B$5:$B$304,MATCH(B175,Students!$A$5:$A$304,0)),"ID not found"))</f>
        <v/>
      </c>
      <c r="D175" s="85" t="str">
        <f aca="false">IF(B175="","",IFERROR(INDEX(Students!$E$5:$E$304,MATCH(B175,Students!$A$5:$A$304,0)),""))</f>
        <v/>
      </c>
      <c r="E175" s="85" t="str">
        <f aca="false">IF(B175="","",IFERROR(INDEX(Students!$F$5:$F$304,MATCH(B175,Students!$A$5:$A$304,0)),""))</f>
        <v/>
      </c>
      <c r="F175" s="52"/>
      <c r="G175" s="89"/>
    </row>
    <row r="176" customFormat="false" ht="19.5" hidden="false" customHeight="true" outlineLevel="0" collapsed="false">
      <c r="A176" s="91"/>
      <c r="B176" s="52"/>
      <c r="C176" s="89" t="str">
        <f aca="false">IF(B176="","",IFERROR(INDEX(Students!$B$5:$B$304,MATCH(B176,Students!$A$5:$A$304,0)),"ID not found"))</f>
        <v/>
      </c>
      <c r="D176" s="85" t="str">
        <f aca="false">IF(B176="","",IFERROR(INDEX(Students!$E$5:$E$304,MATCH(B176,Students!$A$5:$A$304,0)),""))</f>
        <v/>
      </c>
      <c r="E176" s="85" t="str">
        <f aca="false">IF(B176="","",IFERROR(INDEX(Students!$F$5:$F$304,MATCH(B176,Students!$A$5:$A$304,0)),""))</f>
        <v/>
      </c>
      <c r="F176" s="52"/>
      <c r="G176" s="89"/>
    </row>
    <row r="177" customFormat="false" ht="19.5" hidden="false" customHeight="true" outlineLevel="0" collapsed="false">
      <c r="A177" s="91"/>
      <c r="B177" s="52"/>
      <c r="C177" s="89" t="str">
        <f aca="false">IF(B177="","",IFERROR(INDEX(Students!$B$5:$B$304,MATCH(B177,Students!$A$5:$A$304,0)),"ID not found"))</f>
        <v/>
      </c>
      <c r="D177" s="85" t="str">
        <f aca="false">IF(B177="","",IFERROR(INDEX(Students!$E$5:$E$304,MATCH(B177,Students!$A$5:$A$304,0)),""))</f>
        <v/>
      </c>
      <c r="E177" s="85" t="str">
        <f aca="false">IF(B177="","",IFERROR(INDEX(Students!$F$5:$F$304,MATCH(B177,Students!$A$5:$A$304,0)),""))</f>
        <v/>
      </c>
      <c r="F177" s="52"/>
      <c r="G177" s="89"/>
    </row>
    <row r="178" customFormat="false" ht="19.5" hidden="false" customHeight="true" outlineLevel="0" collapsed="false">
      <c r="A178" s="91"/>
      <c r="B178" s="52"/>
      <c r="C178" s="89" t="str">
        <f aca="false">IF(B178="","",IFERROR(INDEX(Students!$B$5:$B$304,MATCH(B178,Students!$A$5:$A$304,0)),"ID not found"))</f>
        <v/>
      </c>
      <c r="D178" s="85" t="str">
        <f aca="false">IF(B178="","",IFERROR(INDEX(Students!$E$5:$E$304,MATCH(B178,Students!$A$5:$A$304,0)),""))</f>
        <v/>
      </c>
      <c r="E178" s="85" t="str">
        <f aca="false">IF(B178="","",IFERROR(INDEX(Students!$F$5:$F$304,MATCH(B178,Students!$A$5:$A$304,0)),""))</f>
        <v/>
      </c>
      <c r="F178" s="52"/>
      <c r="G178" s="89"/>
    </row>
    <row r="179" customFormat="false" ht="19.5" hidden="false" customHeight="true" outlineLevel="0" collapsed="false">
      <c r="A179" s="91"/>
      <c r="B179" s="52"/>
      <c r="C179" s="89" t="str">
        <f aca="false">IF(B179="","",IFERROR(INDEX(Students!$B$5:$B$304,MATCH(B179,Students!$A$5:$A$304,0)),"ID not found"))</f>
        <v/>
      </c>
      <c r="D179" s="85" t="str">
        <f aca="false">IF(B179="","",IFERROR(INDEX(Students!$E$5:$E$304,MATCH(B179,Students!$A$5:$A$304,0)),""))</f>
        <v/>
      </c>
      <c r="E179" s="85" t="str">
        <f aca="false">IF(B179="","",IFERROR(INDEX(Students!$F$5:$F$304,MATCH(B179,Students!$A$5:$A$304,0)),""))</f>
        <v/>
      </c>
      <c r="F179" s="52"/>
      <c r="G179" s="89"/>
    </row>
    <row r="180" customFormat="false" ht="19.5" hidden="false" customHeight="true" outlineLevel="0" collapsed="false">
      <c r="A180" s="91"/>
      <c r="B180" s="52"/>
      <c r="C180" s="89" t="str">
        <f aca="false">IF(B180="","",IFERROR(INDEX(Students!$B$5:$B$304,MATCH(B180,Students!$A$5:$A$304,0)),"ID not found"))</f>
        <v/>
      </c>
      <c r="D180" s="85" t="str">
        <f aca="false">IF(B180="","",IFERROR(INDEX(Students!$E$5:$E$304,MATCH(B180,Students!$A$5:$A$304,0)),""))</f>
        <v/>
      </c>
      <c r="E180" s="85" t="str">
        <f aca="false">IF(B180="","",IFERROR(INDEX(Students!$F$5:$F$304,MATCH(B180,Students!$A$5:$A$304,0)),""))</f>
        <v/>
      </c>
      <c r="F180" s="52"/>
      <c r="G180" s="89"/>
    </row>
    <row r="181" customFormat="false" ht="19.5" hidden="false" customHeight="true" outlineLevel="0" collapsed="false">
      <c r="A181" s="91"/>
      <c r="B181" s="52"/>
      <c r="C181" s="89" t="str">
        <f aca="false">IF(B181="","",IFERROR(INDEX(Students!$B$5:$B$304,MATCH(B181,Students!$A$5:$A$304,0)),"ID not found"))</f>
        <v/>
      </c>
      <c r="D181" s="85" t="str">
        <f aca="false">IF(B181="","",IFERROR(INDEX(Students!$E$5:$E$304,MATCH(B181,Students!$A$5:$A$304,0)),""))</f>
        <v/>
      </c>
      <c r="E181" s="85" t="str">
        <f aca="false">IF(B181="","",IFERROR(INDEX(Students!$F$5:$F$304,MATCH(B181,Students!$A$5:$A$304,0)),""))</f>
        <v/>
      </c>
      <c r="F181" s="52"/>
      <c r="G181" s="89"/>
    </row>
    <row r="182" customFormat="false" ht="19.5" hidden="false" customHeight="true" outlineLevel="0" collapsed="false">
      <c r="A182" s="91"/>
      <c r="B182" s="52"/>
      <c r="C182" s="89" t="str">
        <f aca="false">IF(B182="","",IFERROR(INDEX(Students!$B$5:$B$304,MATCH(B182,Students!$A$5:$A$304,0)),"ID not found"))</f>
        <v/>
      </c>
      <c r="D182" s="85" t="str">
        <f aca="false">IF(B182="","",IFERROR(INDEX(Students!$E$5:$E$304,MATCH(B182,Students!$A$5:$A$304,0)),""))</f>
        <v/>
      </c>
      <c r="E182" s="85" t="str">
        <f aca="false">IF(B182="","",IFERROR(INDEX(Students!$F$5:$F$304,MATCH(B182,Students!$A$5:$A$304,0)),""))</f>
        <v/>
      </c>
      <c r="F182" s="52"/>
      <c r="G182" s="89"/>
    </row>
    <row r="183" customFormat="false" ht="19.5" hidden="false" customHeight="true" outlineLevel="0" collapsed="false">
      <c r="A183" s="91"/>
      <c r="B183" s="52"/>
      <c r="C183" s="89" t="str">
        <f aca="false">IF(B183="","",IFERROR(INDEX(Students!$B$5:$B$304,MATCH(B183,Students!$A$5:$A$304,0)),"ID not found"))</f>
        <v/>
      </c>
      <c r="D183" s="85" t="str">
        <f aca="false">IF(B183="","",IFERROR(INDEX(Students!$E$5:$E$304,MATCH(B183,Students!$A$5:$A$304,0)),""))</f>
        <v/>
      </c>
      <c r="E183" s="85" t="str">
        <f aca="false">IF(B183="","",IFERROR(INDEX(Students!$F$5:$F$304,MATCH(B183,Students!$A$5:$A$304,0)),""))</f>
        <v/>
      </c>
      <c r="F183" s="52"/>
      <c r="G183" s="89"/>
    </row>
    <row r="184" customFormat="false" ht="19.5" hidden="false" customHeight="true" outlineLevel="0" collapsed="false">
      <c r="A184" s="91"/>
      <c r="B184" s="52"/>
      <c r="C184" s="89" t="str">
        <f aca="false">IF(B184="","",IFERROR(INDEX(Students!$B$5:$B$304,MATCH(B184,Students!$A$5:$A$304,0)),"ID not found"))</f>
        <v/>
      </c>
      <c r="D184" s="85" t="str">
        <f aca="false">IF(B184="","",IFERROR(INDEX(Students!$E$5:$E$304,MATCH(B184,Students!$A$5:$A$304,0)),""))</f>
        <v/>
      </c>
      <c r="E184" s="85" t="str">
        <f aca="false">IF(B184="","",IFERROR(INDEX(Students!$F$5:$F$304,MATCH(B184,Students!$A$5:$A$304,0)),""))</f>
        <v/>
      </c>
      <c r="F184" s="52"/>
      <c r="G184" s="89"/>
    </row>
    <row r="185" customFormat="false" ht="19.5" hidden="false" customHeight="true" outlineLevel="0" collapsed="false">
      <c r="A185" s="91"/>
      <c r="B185" s="52"/>
      <c r="C185" s="89" t="str">
        <f aca="false">IF(B185="","",IFERROR(INDEX(Students!$B$5:$B$304,MATCH(B185,Students!$A$5:$A$304,0)),"ID not found"))</f>
        <v/>
      </c>
      <c r="D185" s="85" t="str">
        <f aca="false">IF(B185="","",IFERROR(INDEX(Students!$E$5:$E$304,MATCH(B185,Students!$A$5:$A$304,0)),""))</f>
        <v/>
      </c>
      <c r="E185" s="85" t="str">
        <f aca="false">IF(B185="","",IFERROR(INDEX(Students!$F$5:$F$304,MATCH(B185,Students!$A$5:$A$304,0)),""))</f>
        <v/>
      </c>
      <c r="F185" s="52"/>
      <c r="G185" s="89"/>
    </row>
    <row r="186" customFormat="false" ht="19.5" hidden="false" customHeight="true" outlineLevel="0" collapsed="false">
      <c r="A186" s="91"/>
      <c r="B186" s="52"/>
      <c r="C186" s="89" t="str">
        <f aca="false">IF(B186="","",IFERROR(INDEX(Students!$B$5:$B$304,MATCH(B186,Students!$A$5:$A$304,0)),"ID not found"))</f>
        <v/>
      </c>
      <c r="D186" s="85" t="str">
        <f aca="false">IF(B186="","",IFERROR(INDEX(Students!$E$5:$E$304,MATCH(B186,Students!$A$5:$A$304,0)),""))</f>
        <v/>
      </c>
      <c r="E186" s="85" t="str">
        <f aca="false">IF(B186="","",IFERROR(INDEX(Students!$F$5:$F$304,MATCH(B186,Students!$A$5:$A$304,0)),""))</f>
        <v/>
      </c>
      <c r="F186" s="52"/>
      <c r="G186" s="89"/>
    </row>
    <row r="187" customFormat="false" ht="19.5" hidden="false" customHeight="true" outlineLevel="0" collapsed="false">
      <c r="A187" s="91"/>
      <c r="B187" s="52"/>
      <c r="C187" s="89" t="str">
        <f aca="false">IF(B187="","",IFERROR(INDEX(Students!$B$5:$B$304,MATCH(B187,Students!$A$5:$A$304,0)),"ID not found"))</f>
        <v/>
      </c>
      <c r="D187" s="85" t="str">
        <f aca="false">IF(B187="","",IFERROR(INDEX(Students!$E$5:$E$304,MATCH(B187,Students!$A$5:$A$304,0)),""))</f>
        <v/>
      </c>
      <c r="E187" s="85" t="str">
        <f aca="false">IF(B187="","",IFERROR(INDEX(Students!$F$5:$F$304,MATCH(B187,Students!$A$5:$A$304,0)),""))</f>
        <v/>
      </c>
      <c r="F187" s="52"/>
      <c r="G187" s="89"/>
    </row>
    <row r="188" customFormat="false" ht="19.5" hidden="false" customHeight="true" outlineLevel="0" collapsed="false">
      <c r="A188" s="91"/>
      <c r="B188" s="52"/>
      <c r="C188" s="89" t="str">
        <f aca="false">IF(B188="","",IFERROR(INDEX(Students!$B$5:$B$304,MATCH(B188,Students!$A$5:$A$304,0)),"ID not found"))</f>
        <v/>
      </c>
      <c r="D188" s="85" t="str">
        <f aca="false">IF(B188="","",IFERROR(INDEX(Students!$E$5:$E$304,MATCH(B188,Students!$A$5:$A$304,0)),""))</f>
        <v/>
      </c>
      <c r="E188" s="85" t="str">
        <f aca="false">IF(B188="","",IFERROR(INDEX(Students!$F$5:$F$304,MATCH(B188,Students!$A$5:$A$304,0)),""))</f>
        <v/>
      </c>
      <c r="F188" s="52"/>
      <c r="G188" s="89"/>
    </row>
    <row r="189" customFormat="false" ht="19.5" hidden="false" customHeight="true" outlineLevel="0" collapsed="false">
      <c r="A189" s="91"/>
      <c r="B189" s="52"/>
      <c r="C189" s="89" t="str">
        <f aca="false">IF(B189="","",IFERROR(INDEX(Students!$B$5:$B$304,MATCH(B189,Students!$A$5:$A$304,0)),"ID not found"))</f>
        <v/>
      </c>
      <c r="D189" s="85" t="str">
        <f aca="false">IF(B189="","",IFERROR(INDEX(Students!$E$5:$E$304,MATCH(B189,Students!$A$5:$A$304,0)),""))</f>
        <v/>
      </c>
      <c r="E189" s="85" t="str">
        <f aca="false">IF(B189="","",IFERROR(INDEX(Students!$F$5:$F$304,MATCH(B189,Students!$A$5:$A$304,0)),""))</f>
        <v/>
      </c>
      <c r="F189" s="52"/>
      <c r="G189" s="89"/>
    </row>
    <row r="190" customFormat="false" ht="19.5" hidden="false" customHeight="true" outlineLevel="0" collapsed="false">
      <c r="A190" s="91"/>
      <c r="B190" s="52"/>
      <c r="C190" s="89" t="str">
        <f aca="false">IF(B190="","",IFERROR(INDEX(Students!$B$5:$B$304,MATCH(B190,Students!$A$5:$A$304,0)),"ID not found"))</f>
        <v/>
      </c>
      <c r="D190" s="85" t="str">
        <f aca="false">IF(B190="","",IFERROR(INDEX(Students!$E$5:$E$304,MATCH(B190,Students!$A$5:$A$304,0)),""))</f>
        <v/>
      </c>
      <c r="E190" s="85" t="str">
        <f aca="false">IF(B190="","",IFERROR(INDEX(Students!$F$5:$F$304,MATCH(B190,Students!$A$5:$A$304,0)),""))</f>
        <v/>
      </c>
      <c r="F190" s="52"/>
      <c r="G190" s="89"/>
    </row>
    <row r="191" customFormat="false" ht="19.5" hidden="false" customHeight="true" outlineLevel="0" collapsed="false">
      <c r="A191" s="91"/>
      <c r="B191" s="52"/>
      <c r="C191" s="89" t="str">
        <f aca="false">IF(B191="","",IFERROR(INDEX(Students!$B$5:$B$304,MATCH(B191,Students!$A$5:$A$304,0)),"ID not found"))</f>
        <v/>
      </c>
      <c r="D191" s="85" t="str">
        <f aca="false">IF(B191="","",IFERROR(INDEX(Students!$E$5:$E$304,MATCH(B191,Students!$A$5:$A$304,0)),""))</f>
        <v/>
      </c>
      <c r="E191" s="85" t="str">
        <f aca="false">IF(B191="","",IFERROR(INDEX(Students!$F$5:$F$304,MATCH(B191,Students!$A$5:$A$304,0)),""))</f>
        <v/>
      </c>
      <c r="F191" s="52"/>
      <c r="G191" s="89"/>
    </row>
    <row r="192" customFormat="false" ht="19.5" hidden="false" customHeight="true" outlineLevel="0" collapsed="false">
      <c r="A192" s="91"/>
      <c r="B192" s="52"/>
      <c r="C192" s="89" t="str">
        <f aca="false">IF(B192="","",IFERROR(INDEX(Students!$B$5:$B$304,MATCH(B192,Students!$A$5:$A$304,0)),"ID not found"))</f>
        <v/>
      </c>
      <c r="D192" s="85" t="str">
        <f aca="false">IF(B192="","",IFERROR(INDEX(Students!$E$5:$E$304,MATCH(B192,Students!$A$5:$A$304,0)),""))</f>
        <v/>
      </c>
      <c r="E192" s="85" t="str">
        <f aca="false">IF(B192="","",IFERROR(INDEX(Students!$F$5:$F$304,MATCH(B192,Students!$A$5:$A$304,0)),""))</f>
        <v/>
      </c>
      <c r="F192" s="52"/>
      <c r="G192" s="89"/>
    </row>
    <row r="193" customFormat="false" ht="19.5" hidden="false" customHeight="true" outlineLevel="0" collapsed="false">
      <c r="A193" s="91"/>
      <c r="B193" s="52"/>
      <c r="C193" s="89" t="str">
        <f aca="false">IF(B193="","",IFERROR(INDEX(Students!$B$5:$B$304,MATCH(B193,Students!$A$5:$A$304,0)),"ID not found"))</f>
        <v/>
      </c>
      <c r="D193" s="85" t="str">
        <f aca="false">IF(B193="","",IFERROR(INDEX(Students!$E$5:$E$304,MATCH(B193,Students!$A$5:$A$304,0)),""))</f>
        <v/>
      </c>
      <c r="E193" s="85" t="str">
        <f aca="false">IF(B193="","",IFERROR(INDEX(Students!$F$5:$F$304,MATCH(B193,Students!$A$5:$A$304,0)),""))</f>
        <v/>
      </c>
      <c r="F193" s="52"/>
      <c r="G193" s="89"/>
    </row>
    <row r="194" customFormat="false" ht="19.5" hidden="false" customHeight="true" outlineLevel="0" collapsed="false">
      <c r="A194" s="91"/>
      <c r="B194" s="52"/>
      <c r="C194" s="89" t="str">
        <f aca="false">IF(B194="","",IFERROR(INDEX(Students!$B$5:$B$304,MATCH(B194,Students!$A$5:$A$304,0)),"ID not found"))</f>
        <v/>
      </c>
      <c r="D194" s="85" t="str">
        <f aca="false">IF(B194="","",IFERROR(INDEX(Students!$E$5:$E$304,MATCH(B194,Students!$A$5:$A$304,0)),""))</f>
        <v/>
      </c>
      <c r="E194" s="85" t="str">
        <f aca="false">IF(B194="","",IFERROR(INDEX(Students!$F$5:$F$304,MATCH(B194,Students!$A$5:$A$304,0)),""))</f>
        <v/>
      </c>
      <c r="F194" s="52"/>
      <c r="G194" s="89"/>
    </row>
    <row r="195" customFormat="false" ht="19.5" hidden="false" customHeight="true" outlineLevel="0" collapsed="false">
      <c r="A195" s="91"/>
      <c r="B195" s="52"/>
      <c r="C195" s="89" t="str">
        <f aca="false">IF(B195="","",IFERROR(INDEX(Students!$B$5:$B$304,MATCH(B195,Students!$A$5:$A$304,0)),"ID not found"))</f>
        <v/>
      </c>
      <c r="D195" s="85" t="str">
        <f aca="false">IF(B195="","",IFERROR(INDEX(Students!$E$5:$E$304,MATCH(B195,Students!$A$5:$A$304,0)),""))</f>
        <v/>
      </c>
      <c r="E195" s="85" t="str">
        <f aca="false">IF(B195="","",IFERROR(INDEX(Students!$F$5:$F$304,MATCH(B195,Students!$A$5:$A$304,0)),""))</f>
        <v/>
      </c>
      <c r="F195" s="52"/>
      <c r="G195" s="89"/>
    </row>
    <row r="196" customFormat="false" ht="19.5" hidden="false" customHeight="true" outlineLevel="0" collapsed="false">
      <c r="A196" s="91"/>
      <c r="B196" s="52"/>
      <c r="C196" s="89" t="str">
        <f aca="false">IF(B196="","",IFERROR(INDEX(Students!$B$5:$B$304,MATCH(B196,Students!$A$5:$A$304,0)),"ID not found"))</f>
        <v/>
      </c>
      <c r="D196" s="85" t="str">
        <f aca="false">IF(B196="","",IFERROR(INDEX(Students!$E$5:$E$304,MATCH(B196,Students!$A$5:$A$304,0)),""))</f>
        <v/>
      </c>
      <c r="E196" s="85" t="str">
        <f aca="false">IF(B196="","",IFERROR(INDEX(Students!$F$5:$F$304,MATCH(B196,Students!$A$5:$A$304,0)),""))</f>
        <v/>
      </c>
      <c r="F196" s="52"/>
      <c r="G196" s="89"/>
    </row>
    <row r="197" customFormat="false" ht="19.5" hidden="false" customHeight="true" outlineLevel="0" collapsed="false">
      <c r="A197" s="91"/>
      <c r="B197" s="52"/>
      <c r="C197" s="89" t="str">
        <f aca="false">IF(B197="","",IFERROR(INDEX(Students!$B$5:$B$304,MATCH(B197,Students!$A$5:$A$304,0)),"ID not found"))</f>
        <v/>
      </c>
      <c r="D197" s="85" t="str">
        <f aca="false">IF(B197="","",IFERROR(INDEX(Students!$E$5:$E$304,MATCH(B197,Students!$A$5:$A$304,0)),""))</f>
        <v/>
      </c>
      <c r="E197" s="85" t="str">
        <f aca="false">IF(B197="","",IFERROR(INDEX(Students!$F$5:$F$304,MATCH(B197,Students!$A$5:$A$304,0)),""))</f>
        <v/>
      </c>
      <c r="F197" s="52"/>
      <c r="G197" s="89"/>
    </row>
    <row r="198" customFormat="false" ht="19.5" hidden="false" customHeight="true" outlineLevel="0" collapsed="false">
      <c r="A198" s="91"/>
      <c r="B198" s="52"/>
      <c r="C198" s="89" t="str">
        <f aca="false">IF(B198="","",IFERROR(INDEX(Students!$B$5:$B$304,MATCH(B198,Students!$A$5:$A$304,0)),"ID not found"))</f>
        <v/>
      </c>
      <c r="D198" s="85" t="str">
        <f aca="false">IF(B198="","",IFERROR(INDEX(Students!$E$5:$E$304,MATCH(B198,Students!$A$5:$A$304,0)),""))</f>
        <v/>
      </c>
      <c r="E198" s="85" t="str">
        <f aca="false">IF(B198="","",IFERROR(INDEX(Students!$F$5:$F$304,MATCH(B198,Students!$A$5:$A$304,0)),""))</f>
        <v/>
      </c>
      <c r="F198" s="52"/>
      <c r="G198" s="89"/>
    </row>
    <row r="199" customFormat="false" ht="19.5" hidden="false" customHeight="true" outlineLevel="0" collapsed="false">
      <c r="A199" s="91"/>
      <c r="B199" s="52"/>
      <c r="C199" s="89" t="str">
        <f aca="false">IF(B199="","",IFERROR(INDEX(Students!$B$5:$B$304,MATCH(B199,Students!$A$5:$A$304,0)),"ID not found"))</f>
        <v/>
      </c>
      <c r="D199" s="85" t="str">
        <f aca="false">IF(B199="","",IFERROR(INDEX(Students!$E$5:$E$304,MATCH(B199,Students!$A$5:$A$304,0)),""))</f>
        <v/>
      </c>
      <c r="E199" s="85" t="str">
        <f aca="false">IF(B199="","",IFERROR(INDEX(Students!$F$5:$F$304,MATCH(B199,Students!$A$5:$A$304,0)),""))</f>
        <v/>
      </c>
      <c r="F199" s="52"/>
      <c r="G199" s="89"/>
    </row>
    <row r="200" customFormat="false" ht="19.5" hidden="false" customHeight="true" outlineLevel="0" collapsed="false">
      <c r="A200" s="91"/>
      <c r="B200" s="52"/>
      <c r="C200" s="89" t="str">
        <f aca="false">IF(B200="","",IFERROR(INDEX(Students!$B$5:$B$304,MATCH(B200,Students!$A$5:$A$304,0)),"ID not found"))</f>
        <v/>
      </c>
      <c r="D200" s="85" t="str">
        <f aca="false">IF(B200="","",IFERROR(INDEX(Students!$E$5:$E$304,MATCH(B200,Students!$A$5:$A$304,0)),""))</f>
        <v/>
      </c>
      <c r="E200" s="85" t="str">
        <f aca="false">IF(B200="","",IFERROR(INDEX(Students!$F$5:$F$304,MATCH(B200,Students!$A$5:$A$304,0)),""))</f>
        <v/>
      </c>
      <c r="F200" s="52"/>
      <c r="G200" s="89"/>
    </row>
    <row r="201" customFormat="false" ht="19.5" hidden="false" customHeight="true" outlineLevel="0" collapsed="false">
      <c r="A201" s="91"/>
      <c r="B201" s="52"/>
      <c r="C201" s="89" t="str">
        <f aca="false">IF(B201="","",IFERROR(INDEX(Students!$B$5:$B$304,MATCH(B201,Students!$A$5:$A$304,0)),"ID not found"))</f>
        <v/>
      </c>
      <c r="D201" s="85" t="str">
        <f aca="false">IF(B201="","",IFERROR(INDEX(Students!$E$5:$E$304,MATCH(B201,Students!$A$5:$A$304,0)),""))</f>
        <v/>
      </c>
      <c r="E201" s="85" t="str">
        <f aca="false">IF(B201="","",IFERROR(INDEX(Students!$F$5:$F$304,MATCH(B201,Students!$A$5:$A$304,0)),""))</f>
        <v/>
      </c>
      <c r="F201" s="52"/>
      <c r="G201" s="89"/>
    </row>
    <row r="202" customFormat="false" ht="19.5" hidden="false" customHeight="true" outlineLevel="0" collapsed="false">
      <c r="A202" s="91"/>
      <c r="B202" s="52"/>
      <c r="C202" s="89" t="str">
        <f aca="false">IF(B202="","",IFERROR(INDEX(Students!$B$5:$B$304,MATCH(B202,Students!$A$5:$A$304,0)),"ID not found"))</f>
        <v/>
      </c>
      <c r="D202" s="85" t="str">
        <f aca="false">IF(B202="","",IFERROR(INDEX(Students!$E$5:$E$304,MATCH(B202,Students!$A$5:$A$304,0)),""))</f>
        <v/>
      </c>
      <c r="E202" s="85" t="str">
        <f aca="false">IF(B202="","",IFERROR(INDEX(Students!$F$5:$F$304,MATCH(B202,Students!$A$5:$A$304,0)),""))</f>
        <v/>
      </c>
      <c r="F202" s="52"/>
      <c r="G202" s="89"/>
    </row>
    <row r="203" customFormat="false" ht="19.5" hidden="false" customHeight="true" outlineLevel="0" collapsed="false">
      <c r="A203" s="91"/>
      <c r="B203" s="52"/>
      <c r="C203" s="89" t="str">
        <f aca="false">IF(B203="","",IFERROR(INDEX(Students!$B$5:$B$304,MATCH(B203,Students!$A$5:$A$304,0)),"ID not found"))</f>
        <v/>
      </c>
      <c r="D203" s="85" t="str">
        <f aca="false">IF(B203="","",IFERROR(INDEX(Students!$E$5:$E$304,MATCH(B203,Students!$A$5:$A$304,0)),""))</f>
        <v/>
      </c>
      <c r="E203" s="85" t="str">
        <f aca="false">IF(B203="","",IFERROR(INDEX(Students!$F$5:$F$304,MATCH(B203,Students!$A$5:$A$304,0)),""))</f>
        <v/>
      </c>
      <c r="F203" s="52"/>
      <c r="G203" s="89"/>
    </row>
    <row r="204" customFormat="false" ht="19.5" hidden="false" customHeight="true" outlineLevel="0" collapsed="false">
      <c r="A204" s="91"/>
      <c r="B204" s="52"/>
      <c r="C204" s="89" t="str">
        <f aca="false">IF(B204="","",IFERROR(INDEX(Students!$B$5:$B$304,MATCH(B204,Students!$A$5:$A$304,0)),"ID not found"))</f>
        <v/>
      </c>
      <c r="D204" s="85" t="str">
        <f aca="false">IF(B204="","",IFERROR(INDEX(Students!$E$5:$E$304,MATCH(B204,Students!$A$5:$A$304,0)),""))</f>
        <v/>
      </c>
      <c r="E204" s="85" t="str">
        <f aca="false">IF(B204="","",IFERROR(INDEX(Students!$F$5:$F$304,MATCH(B204,Students!$A$5:$A$304,0)),""))</f>
        <v/>
      </c>
      <c r="F204" s="52"/>
      <c r="G204" s="89"/>
    </row>
    <row r="205" customFormat="false" ht="19.5" hidden="false" customHeight="true" outlineLevel="0" collapsed="false">
      <c r="A205" s="91"/>
      <c r="B205" s="52"/>
      <c r="C205" s="89" t="str">
        <f aca="false">IF(B205="","",IFERROR(INDEX(Students!$B$5:$B$304,MATCH(B205,Students!$A$5:$A$304,0)),"ID not found"))</f>
        <v/>
      </c>
      <c r="D205" s="85" t="str">
        <f aca="false">IF(B205="","",IFERROR(INDEX(Students!$E$5:$E$304,MATCH(B205,Students!$A$5:$A$304,0)),""))</f>
        <v/>
      </c>
      <c r="E205" s="85" t="str">
        <f aca="false">IF(B205="","",IFERROR(INDEX(Students!$F$5:$F$304,MATCH(B205,Students!$A$5:$A$304,0)),""))</f>
        <v/>
      </c>
      <c r="F205" s="52"/>
      <c r="G205" s="89"/>
    </row>
    <row r="206" customFormat="false" ht="19.5" hidden="false" customHeight="true" outlineLevel="0" collapsed="false">
      <c r="A206" s="91"/>
      <c r="B206" s="52"/>
      <c r="C206" s="89" t="str">
        <f aca="false">IF(B206="","",IFERROR(INDEX(Students!$B$5:$B$304,MATCH(B206,Students!$A$5:$A$304,0)),"ID not found"))</f>
        <v/>
      </c>
      <c r="D206" s="85" t="str">
        <f aca="false">IF(B206="","",IFERROR(INDEX(Students!$E$5:$E$304,MATCH(B206,Students!$A$5:$A$304,0)),""))</f>
        <v/>
      </c>
      <c r="E206" s="85" t="str">
        <f aca="false">IF(B206="","",IFERROR(INDEX(Students!$F$5:$F$304,MATCH(B206,Students!$A$5:$A$304,0)),""))</f>
        <v/>
      </c>
      <c r="F206" s="52"/>
      <c r="G206" s="89"/>
    </row>
    <row r="207" customFormat="false" ht="19.5" hidden="false" customHeight="true" outlineLevel="0" collapsed="false">
      <c r="A207" s="91"/>
      <c r="B207" s="52"/>
      <c r="C207" s="89" t="str">
        <f aca="false">IF(B207="","",IFERROR(INDEX(Students!$B$5:$B$304,MATCH(B207,Students!$A$5:$A$304,0)),"ID not found"))</f>
        <v/>
      </c>
      <c r="D207" s="85" t="str">
        <f aca="false">IF(B207="","",IFERROR(INDEX(Students!$E$5:$E$304,MATCH(B207,Students!$A$5:$A$304,0)),""))</f>
        <v/>
      </c>
      <c r="E207" s="85" t="str">
        <f aca="false">IF(B207="","",IFERROR(INDEX(Students!$F$5:$F$304,MATCH(B207,Students!$A$5:$A$304,0)),""))</f>
        <v/>
      </c>
      <c r="F207" s="52"/>
      <c r="G207" s="89"/>
    </row>
    <row r="208" customFormat="false" ht="19.5" hidden="false" customHeight="true" outlineLevel="0" collapsed="false">
      <c r="A208" s="91"/>
      <c r="B208" s="52"/>
      <c r="C208" s="89" t="str">
        <f aca="false">IF(B208="","",IFERROR(INDEX(Students!$B$5:$B$304,MATCH(B208,Students!$A$5:$A$304,0)),"ID not found"))</f>
        <v/>
      </c>
      <c r="D208" s="85" t="str">
        <f aca="false">IF(B208="","",IFERROR(INDEX(Students!$E$5:$E$304,MATCH(B208,Students!$A$5:$A$304,0)),""))</f>
        <v/>
      </c>
      <c r="E208" s="85" t="str">
        <f aca="false">IF(B208="","",IFERROR(INDEX(Students!$F$5:$F$304,MATCH(B208,Students!$A$5:$A$304,0)),""))</f>
        <v/>
      </c>
      <c r="F208" s="52"/>
      <c r="G208" s="89"/>
    </row>
    <row r="209" customFormat="false" ht="19.5" hidden="false" customHeight="true" outlineLevel="0" collapsed="false">
      <c r="A209" s="91"/>
      <c r="B209" s="52"/>
      <c r="C209" s="89" t="str">
        <f aca="false">IF(B209="","",IFERROR(INDEX(Students!$B$5:$B$304,MATCH(B209,Students!$A$5:$A$304,0)),"ID not found"))</f>
        <v/>
      </c>
      <c r="D209" s="85" t="str">
        <f aca="false">IF(B209="","",IFERROR(INDEX(Students!$E$5:$E$304,MATCH(B209,Students!$A$5:$A$304,0)),""))</f>
        <v/>
      </c>
      <c r="E209" s="85" t="str">
        <f aca="false">IF(B209="","",IFERROR(INDEX(Students!$F$5:$F$304,MATCH(B209,Students!$A$5:$A$304,0)),""))</f>
        <v/>
      </c>
      <c r="F209" s="52"/>
      <c r="G209" s="89"/>
    </row>
    <row r="210" customFormat="false" ht="19.5" hidden="false" customHeight="true" outlineLevel="0" collapsed="false">
      <c r="A210" s="91"/>
      <c r="B210" s="52"/>
      <c r="C210" s="89" t="str">
        <f aca="false">IF(B210="","",IFERROR(INDEX(Students!$B$5:$B$304,MATCH(B210,Students!$A$5:$A$304,0)),"ID not found"))</f>
        <v/>
      </c>
      <c r="D210" s="85" t="str">
        <f aca="false">IF(B210="","",IFERROR(INDEX(Students!$E$5:$E$304,MATCH(B210,Students!$A$5:$A$304,0)),""))</f>
        <v/>
      </c>
      <c r="E210" s="85" t="str">
        <f aca="false">IF(B210="","",IFERROR(INDEX(Students!$F$5:$F$304,MATCH(B210,Students!$A$5:$A$304,0)),""))</f>
        <v/>
      </c>
      <c r="F210" s="52"/>
      <c r="G210" s="89"/>
    </row>
    <row r="211" customFormat="false" ht="19.5" hidden="false" customHeight="true" outlineLevel="0" collapsed="false">
      <c r="A211" s="91"/>
      <c r="B211" s="52"/>
      <c r="C211" s="89" t="str">
        <f aca="false">IF(B211="","",IFERROR(INDEX(Students!$B$5:$B$304,MATCH(B211,Students!$A$5:$A$304,0)),"ID not found"))</f>
        <v/>
      </c>
      <c r="D211" s="85" t="str">
        <f aca="false">IF(B211="","",IFERROR(INDEX(Students!$E$5:$E$304,MATCH(B211,Students!$A$5:$A$304,0)),""))</f>
        <v/>
      </c>
      <c r="E211" s="85" t="str">
        <f aca="false">IF(B211="","",IFERROR(INDEX(Students!$F$5:$F$304,MATCH(B211,Students!$A$5:$A$304,0)),""))</f>
        <v/>
      </c>
      <c r="F211" s="52"/>
      <c r="G211" s="89"/>
    </row>
    <row r="212" customFormat="false" ht="19.5" hidden="false" customHeight="true" outlineLevel="0" collapsed="false">
      <c r="A212" s="91"/>
      <c r="B212" s="52"/>
      <c r="C212" s="89" t="str">
        <f aca="false">IF(B212="","",IFERROR(INDEX(Students!$B$5:$B$304,MATCH(B212,Students!$A$5:$A$304,0)),"ID not found"))</f>
        <v/>
      </c>
      <c r="D212" s="85" t="str">
        <f aca="false">IF(B212="","",IFERROR(INDEX(Students!$E$5:$E$304,MATCH(B212,Students!$A$5:$A$304,0)),""))</f>
        <v/>
      </c>
      <c r="E212" s="85" t="str">
        <f aca="false">IF(B212="","",IFERROR(INDEX(Students!$F$5:$F$304,MATCH(B212,Students!$A$5:$A$304,0)),""))</f>
        <v/>
      </c>
      <c r="F212" s="52"/>
      <c r="G212" s="89"/>
    </row>
    <row r="213" customFormat="false" ht="19.5" hidden="false" customHeight="true" outlineLevel="0" collapsed="false">
      <c r="A213" s="91"/>
      <c r="B213" s="52"/>
      <c r="C213" s="89" t="str">
        <f aca="false">IF(B213="","",IFERROR(INDEX(Students!$B$5:$B$304,MATCH(B213,Students!$A$5:$A$304,0)),"ID not found"))</f>
        <v/>
      </c>
      <c r="D213" s="85" t="str">
        <f aca="false">IF(B213="","",IFERROR(INDEX(Students!$E$5:$E$304,MATCH(B213,Students!$A$5:$A$304,0)),""))</f>
        <v/>
      </c>
      <c r="E213" s="85" t="str">
        <f aca="false">IF(B213="","",IFERROR(INDEX(Students!$F$5:$F$304,MATCH(B213,Students!$A$5:$A$304,0)),""))</f>
        <v/>
      </c>
      <c r="F213" s="52"/>
      <c r="G213" s="89"/>
    </row>
    <row r="214" customFormat="false" ht="19.5" hidden="false" customHeight="true" outlineLevel="0" collapsed="false">
      <c r="A214" s="91"/>
      <c r="B214" s="52"/>
      <c r="C214" s="89" t="str">
        <f aca="false">IF(B214="","",IFERROR(INDEX(Students!$B$5:$B$304,MATCH(B214,Students!$A$5:$A$304,0)),"ID not found"))</f>
        <v/>
      </c>
      <c r="D214" s="85" t="str">
        <f aca="false">IF(B214="","",IFERROR(INDEX(Students!$E$5:$E$304,MATCH(B214,Students!$A$5:$A$304,0)),""))</f>
        <v/>
      </c>
      <c r="E214" s="85" t="str">
        <f aca="false">IF(B214="","",IFERROR(INDEX(Students!$F$5:$F$304,MATCH(B214,Students!$A$5:$A$304,0)),""))</f>
        <v/>
      </c>
      <c r="F214" s="52"/>
      <c r="G214" s="89"/>
    </row>
    <row r="215" customFormat="false" ht="19.5" hidden="false" customHeight="true" outlineLevel="0" collapsed="false">
      <c r="A215" s="91"/>
      <c r="B215" s="52"/>
      <c r="C215" s="89" t="str">
        <f aca="false">IF(B215="","",IFERROR(INDEX(Students!$B$5:$B$304,MATCH(B215,Students!$A$5:$A$304,0)),"ID not found"))</f>
        <v/>
      </c>
      <c r="D215" s="85" t="str">
        <f aca="false">IF(B215="","",IFERROR(INDEX(Students!$E$5:$E$304,MATCH(B215,Students!$A$5:$A$304,0)),""))</f>
        <v/>
      </c>
      <c r="E215" s="85" t="str">
        <f aca="false">IF(B215="","",IFERROR(INDEX(Students!$F$5:$F$304,MATCH(B215,Students!$A$5:$A$304,0)),""))</f>
        <v/>
      </c>
      <c r="F215" s="52"/>
      <c r="G215" s="89"/>
    </row>
    <row r="216" customFormat="false" ht="19.5" hidden="false" customHeight="true" outlineLevel="0" collapsed="false">
      <c r="A216" s="91"/>
      <c r="B216" s="52"/>
      <c r="C216" s="89" t="str">
        <f aca="false">IF(B216="","",IFERROR(INDEX(Students!$B$5:$B$304,MATCH(B216,Students!$A$5:$A$304,0)),"ID not found"))</f>
        <v/>
      </c>
      <c r="D216" s="85" t="str">
        <f aca="false">IF(B216="","",IFERROR(INDEX(Students!$E$5:$E$304,MATCH(B216,Students!$A$5:$A$304,0)),""))</f>
        <v/>
      </c>
      <c r="E216" s="85" t="str">
        <f aca="false">IF(B216="","",IFERROR(INDEX(Students!$F$5:$F$304,MATCH(B216,Students!$A$5:$A$304,0)),""))</f>
        <v/>
      </c>
      <c r="F216" s="52"/>
      <c r="G216" s="89"/>
    </row>
    <row r="217" customFormat="false" ht="19.5" hidden="false" customHeight="true" outlineLevel="0" collapsed="false">
      <c r="A217" s="91"/>
      <c r="B217" s="52"/>
      <c r="C217" s="89" t="str">
        <f aca="false">IF(B217="","",IFERROR(INDEX(Students!$B$5:$B$304,MATCH(B217,Students!$A$5:$A$304,0)),"ID not found"))</f>
        <v/>
      </c>
      <c r="D217" s="85" t="str">
        <f aca="false">IF(B217="","",IFERROR(INDEX(Students!$E$5:$E$304,MATCH(B217,Students!$A$5:$A$304,0)),""))</f>
        <v/>
      </c>
      <c r="E217" s="85" t="str">
        <f aca="false">IF(B217="","",IFERROR(INDEX(Students!$F$5:$F$304,MATCH(B217,Students!$A$5:$A$304,0)),""))</f>
        <v/>
      </c>
      <c r="F217" s="52"/>
      <c r="G217" s="89"/>
    </row>
    <row r="218" customFormat="false" ht="19.5" hidden="false" customHeight="true" outlineLevel="0" collapsed="false">
      <c r="A218" s="91"/>
      <c r="B218" s="52"/>
      <c r="C218" s="89" t="str">
        <f aca="false">IF(B218="","",IFERROR(INDEX(Students!$B$5:$B$304,MATCH(B218,Students!$A$5:$A$304,0)),"ID not found"))</f>
        <v/>
      </c>
      <c r="D218" s="85" t="str">
        <f aca="false">IF(B218="","",IFERROR(INDEX(Students!$E$5:$E$304,MATCH(B218,Students!$A$5:$A$304,0)),""))</f>
        <v/>
      </c>
      <c r="E218" s="85" t="str">
        <f aca="false">IF(B218="","",IFERROR(INDEX(Students!$F$5:$F$304,MATCH(B218,Students!$A$5:$A$304,0)),""))</f>
        <v/>
      </c>
      <c r="F218" s="52"/>
      <c r="G218" s="89"/>
    </row>
    <row r="219" customFormat="false" ht="19.5" hidden="false" customHeight="true" outlineLevel="0" collapsed="false">
      <c r="A219" s="91"/>
      <c r="B219" s="52"/>
      <c r="C219" s="89" t="str">
        <f aca="false">IF(B219="","",IFERROR(INDEX(Students!$B$5:$B$304,MATCH(B219,Students!$A$5:$A$304,0)),"ID not found"))</f>
        <v/>
      </c>
      <c r="D219" s="85" t="str">
        <f aca="false">IF(B219="","",IFERROR(INDEX(Students!$E$5:$E$304,MATCH(B219,Students!$A$5:$A$304,0)),""))</f>
        <v/>
      </c>
      <c r="E219" s="85" t="str">
        <f aca="false">IF(B219="","",IFERROR(INDEX(Students!$F$5:$F$304,MATCH(B219,Students!$A$5:$A$304,0)),""))</f>
        <v/>
      </c>
      <c r="F219" s="52"/>
      <c r="G219" s="89"/>
    </row>
    <row r="220" customFormat="false" ht="19.5" hidden="false" customHeight="true" outlineLevel="0" collapsed="false">
      <c r="A220" s="91"/>
      <c r="B220" s="52"/>
      <c r="C220" s="89" t="str">
        <f aca="false">IF(B220="","",IFERROR(INDEX(Students!$B$5:$B$304,MATCH(B220,Students!$A$5:$A$304,0)),"ID not found"))</f>
        <v/>
      </c>
      <c r="D220" s="85" t="str">
        <f aca="false">IF(B220="","",IFERROR(INDEX(Students!$E$5:$E$304,MATCH(B220,Students!$A$5:$A$304,0)),""))</f>
        <v/>
      </c>
      <c r="E220" s="85" t="str">
        <f aca="false">IF(B220="","",IFERROR(INDEX(Students!$F$5:$F$304,MATCH(B220,Students!$A$5:$A$304,0)),""))</f>
        <v/>
      </c>
      <c r="F220" s="52"/>
      <c r="G220" s="89"/>
    </row>
    <row r="221" customFormat="false" ht="19.5" hidden="false" customHeight="true" outlineLevel="0" collapsed="false">
      <c r="A221" s="91"/>
      <c r="B221" s="52"/>
      <c r="C221" s="89" t="str">
        <f aca="false">IF(B221="","",IFERROR(INDEX(Students!$B$5:$B$304,MATCH(B221,Students!$A$5:$A$304,0)),"ID not found"))</f>
        <v/>
      </c>
      <c r="D221" s="85" t="str">
        <f aca="false">IF(B221="","",IFERROR(INDEX(Students!$E$5:$E$304,MATCH(B221,Students!$A$5:$A$304,0)),""))</f>
        <v/>
      </c>
      <c r="E221" s="85" t="str">
        <f aca="false">IF(B221="","",IFERROR(INDEX(Students!$F$5:$F$304,MATCH(B221,Students!$A$5:$A$304,0)),""))</f>
        <v/>
      </c>
      <c r="F221" s="52"/>
      <c r="G221" s="89"/>
    </row>
    <row r="222" customFormat="false" ht="19.5" hidden="false" customHeight="true" outlineLevel="0" collapsed="false">
      <c r="A222" s="91"/>
      <c r="B222" s="52"/>
      <c r="C222" s="89" t="str">
        <f aca="false">IF(B222="","",IFERROR(INDEX(Students!$B$5:$B$304,MATCH(B222,Students!$A$5:$A$304,0)),"ID not found"))</f>
        <v/>
      </c>
      <c r="D222" s="85" t="str">
        <f aca="false">IF(B222="","",IFERROR(INDEX(Students!$E$5:$E$304,MATCH(B222,Students!$A$5:$A$304,0)),""))</f>
        <v/>
      </c>
      <c r="E222" s="85" t="str">
        <f aca="false">IF(B222="","",IFERROR(INDEX(Students!$F$5:$F$304,MATCH(B222,Students!$A$5:$A$304,0)),""))</f>
        <v/>
      </c>
      <c r="F222" s="52"/>
      <c r="G222" s="89"/>
    </row>
    <row r="223" customFormat="false" ht="19.5" hidden="false" customHeight="true" outlineLevel="0" collapsed="false">
      <c r="A223" s="91"/>
      <c r="B223" s="52"/>
      <c r="C223" s="89" t="str">
        <f aca="false">IF(B223="","",IFERROR(INDEX(Students!$B$5:$B$304,MATCH(B223,Students!$A$5:$A$304,0)),"ID not found"))</f>
        <v/>
      </c>
      <c r="D223" s="85" t="str">
        <f aca="false">IF(B223="","",IFERROR(INDEX(Students!$E$5:$E$304,MATCH(B223,Students!$A$5:$A$304,0)),""))</f>
        <v/>
      </c>
      <c r="E223" s="85" t="str">
        <f aca="false">IF(B223="","",IFERROR(INDEX(Students!$F$5:$F$304,MATCH(B223,Students!$A$5:$A$304,0)),""))</f>
        <v/>
      </c>
      <c r="F223" s="52"/>
      <c r="G223" s="89"/>
    </row>
    <row r="224" customFormat="false" ht="19.5" hidden="false" customHeight="true" outlineLevel="0" collapsed="false">
      <c r="A224" s="91"/>
      <c r="B224" s="52"/>
      <c r="C224" s="89" t="str">
        <f aca="false">IF(B224="","",IFERROR(INDEX(Students!$B$5:$B$304,MATCH(B224,Students!$A$5:$A$304,0)),"ID not found"))</f>
        <v/>
      </c>
      <c r="D224" s="85" t="str">
        <f aca="false">IF(B224="","",IFERROR(INDEX(Students!$E$5:$E$304,MATCH(B224,Students!$A$5:$A$304,0)),""))</f>
        <v/>
      </c>
      <c r="E224" s="85" t="str">
        <f aca="false">IF(B224="","",IFERROR(INDEX(Students!$F$5:$F$304,MATCH(B224,Students!$A$5:$A$304,0)),""))</f>
        <v/>
      </c>
      <c r="F224" s="52"/>
      <c r="G224" s="89"/>
    </row>
    <row r="225" customFormat="false" ht="19.5" hidden="false" customHeight="true" outlineLevel="0" collapsed="false">
      <c r="A225" s="91"/>
      <c r="B225" s="52"/>
      <c r="C225" s="89" t="str">
        <f aca="false">IF(B225="","",IFERROR(INDEX(Students!$B$5:$B$304,MATCH(B225,Students!$A$5:$A$304,0)),"ID not found"))</f>
        <v/>
      </c>
      <c r="D225" s="85" t="str">
        <f aca="false">IF(B225="","",IFERROR(INDEX(Students!$E$5:$E$304,MATCH(B225,Students!$A$5:$A$304,0)),""))</f>
        <v/>
      </c>
      <c r="E225" s="85" t="str">
        <f aca="false">IF(B225="","",IFERROR(INDEX(Students!$F$5:$F$304,MATCH(B225,Students!$A$5:$A$304,0)),""))</f>
        <v/>
      </c>
      <c r="F225" s="52"/>
      <c r="G225" s="89"/>
    </row>
    <row r="226" customFormat="false" ht="19.5" hidden="false" customHeight="true" outlineLevel="0" collapsed="false">
      <c r="A226" s="91"/>
      <c r="B226" s="52"/>
      <c r="C226" s="89" t="str">
        <f aca="false">IF(B226="","",IFERROR(INDEX(Students!$B$5:$B$304,MATCH(B226,Students!$A$5:$A$304,0)),"ID not found"))</f>
        <v/>
      </c>
      <c r="D226" s="85" t="str">
        <f aca="false">IF(B226="","",IFERROR(INDEX(Students!$E$5:$E$304,MATCH(B226,Students!$A$5:$A$304,0)),""))</f>
        <v/>
      </c>
      <c r="E226" s="85" t="str">
        <f aca="false">IF(B226="","",IFERROR(INDEX(Students!$F$5:$F$304,MATCH(B226,Students!$A$5:$A$304,0)),""))</f>
        <v/>
      </c>
      <c r="F226" s="52"/>
      <c r="G226" s="89"/>
    </row>
    <row r="227" customFormat="false" ht="19.5" hidden="false" customHeight="true" outlineLevel="0" collapsed="false">
      <c r="A227" s="91"/>
      <c r="B227" s="52"/>
      <c r="C227" s="89" t="str">
        <f aca="false">IF(B227="","",IFERROR(INDEX(Students!$B$5:$B$304,MATCH(B227,Students!$A$5:$A$304,0)),"ID not found"))</f>
        <v/>
      </c>
      <c r="D227" s="85" t="str">
        <f aca="false">IF(B227="","",IFERROR(INDEX(Students!$E$5:$E$304,MATCH(B227,Students!$A$5:$A$304,0)),""))</f>
        <v/>
      </c>
      <c r="E227" s="85" t="str">
        <f aca="false">IF(B227="","",IFERROR(INDEX(Students!$F$5:$F$304,MATCH(B227,Students!$A$5:$A$304,0)),""))</f>
        <v/>
      </c>
      <c r="F227" s="52"/>
      <c r="G227" s="89"/>
    </row>
    <row r="228" customFormat="false" ht="19.5" hidden="false" customHeight="true" outlineLevel="0" collapsed="false">
      <c r="A228" s="91"/>
      <c r="B228" s="52"/>
      <c r="C228" s="89" t="str">
        <f aca="false">IF(B228="","",IFERROR(INDEX(Students!$B$5:$B$304,MATCH(B228,Students!$A$5:$A$304,0)),"ID not found"))</f>
        <v/>
      </c>
      <c r="D228" s="85" t="str">
        <f aca="false">IF(B228="","",IFERROR(INDEX(Students!$E$5:$E$304,MATCH(B228,Students!$A$5:$A$304,0)),""))</f>
        <v/>
      </c>
      <c r="E228" s="85" t="str">
        <f aca="false">IF(B228="","",IFERROR(INDEX(Students!$F$5:$F$304,MATCH(B228,Students!$A$5:$A$304,0)),""))</f>
        <v/>
      </c>
      <c r="F228" s="52"/>
      <c r="G228" s="89"/>
    </row>
    <row r="229" customFormat="false" ht="19.5" hidden="false" customHeight="true" outlineLevel="0" collapsed="false">
      <c r="A229" s="91"/>
      <c r="B229" s="52"/>
      <c r="C229" s="89" t="str">
        <f aca="false">IF(B229="","",IFERROR(INDEX(Students!$B$5:$B$304,MATCH(B229,Students!$A$5:$A$304,0)),"ID not found"))</f>
        <v/>
      </c>
      <c r="D229" s="85" t="str">
        <f aca="false">IF(B229="","",IFERROR(INDEX(Students!$E$5:$E$304,MATCH(B229,Students!$A$5:$A$304,0)),""))</f>
        <v/>
      </c>
      <c r="E229" s="85" t="str">
        <f aca="false">IF(B229="","",IFERROR(INDEX(Students!$F$5:$F$304,MATCH(B229,Students!$A$5:$A$304,0)),""))</f>
        <v/>
      </c>
      <c r="F229" s="52"/>
      <c r="G229" s="89"/>
    </row>
    <row r="230" customFormat="false" ht="19.5" hidden="false" customHeight="true" outlineLevel="0" collapsed="false">
      <c r="A230" s="91"/>
      <c r="B230" s="52"/>
      <c r="C230" s="89" t="str">
        <f aca="false">IF(B230="","",IFERROR(INDEX(Students!$B$5:$B$304,MATCH(B230,Students!$A$5:$A$304,0)),"ID not found"))</f>
        <v/>
      </c>
      <c r="D230" s="85" t="str">
        <f aca="false">IF(B230="","",IFERROR(INDEX(Students!$E$5:$E$304,MATCH(B230,Students!$A$5:$A$304,0)),""))</f>
        <v/>
      </c>
      <c r="E230" s="85" t="str">
        <f aca="false">IF(B230="","",IFERROR(INDEX(Students!$F$5:$F$304,MATCH(B230,Students!$A$5:$A$304,0)),""))</f>
        <v/>
      </c>
      <c r="F230" s="52"/>
      <c r="G230" s="89"/>
    </row>
    <row r="231" customFormat="false" ht="19.5" hidden="false" customHeight="true" outlineLevel="0" collapsed="false">
      <c r="A231" s="91"/>
      <c r="B231" s="52"/>
      <c r="C231" s="89" t="str">
        <f aca="false">IF(B231="","",IFERROR(INDEX(Students!$B$5:$B$304,MATCH(B231,Students!$A$5:$A$304,0)),"ID not found"))</f>
        <v/>
      </c>
      <c r="D231" s="85" t="str">
        <f aca="false">IF(B231="","",IFERROR(INDEX(Students!$E$5:$E$304,MATCH(B231,Students!$A$5:$A$304,0)),""))</f>
        <v/>
      </c>
      <c r="E231" s="85" t="str">
        <f aca="false">IF(B231="","",IFERROR(INDEX(Students!$F$5:$F$304,MATCH(B231,Students!$A$5:$A$304,0)),""))</f>
        <v/>
      </c>
      <c r="F231" s="52"/>
      <c r="G231" s="89"/>
    </row>
    <row r="232" customFormat="false" ht="19.5" hidden="false" customHeight="true" outlineLevel="0" collapsed="false">
      <c r="A232" s="91"/>
      <c r="B232" s="52"/>
      <c r="C232" s="89" t="str">
        <f aca="false">IF(B232="","",IFERROR(INDEX(Students!$B$5:$B$304,MATCH(B232,Students!$A$5:$A$304,0)),"ID not found"))</f>
        <v/>
      </c>
      <c r="D232" s="85" t="str">
        <f aca="false">IF(B232="","",IFERROR(INDEX(Students!$E$5:$E$304,MATCH(B232,Students!$A$5:$A$304,0)),""))</f>
        <v/>
      </c>
      <c r="E232" s="85" t="str">
        <f aca="false">IF(B232="","",IFERROR(INDEX(Students!$F$5:$F$304,MATCH(B232,Students!$A$5:$A$304,0)),""))</f>
        <v/>
      </c>
      <c r="F232" s="52"/>
      <c r="G232" s="89"/>
    </row>
    <row r="233" customFormat="false" ht="19.5" hidden="false" customHeight="true" outlineLevel="0" collapsed="false">
      <c r="A233" s="91"/>
      <c r="B233" s="52"/>
      <c r="C233" s="89" t="str">
        <f aca="false">IF(B233="","",IFERROR(INDEX(Students!$B$5:$B$304,MATCH(B233,Students!$A$5:$A$304,0)),"ID not found"))</f>
        <v/>
      </c>
      <c r="D233" s="85" t="str">
        <f aca="false">IF(B233="","",IFERROR(INDEX(Students!$E$5:$E$304,MATCH(B233,Students!$A$5:$A$304,0)),""))</f>
        <v/>
      </c>
      <c r="E233" s="85" t="str">
        <f aca="false">IF(B233="","",IFERROR(INDEX(Students!$F$5:$F$304,MATCH(B233,Students!$A$5:$A$304,0)),""))</f>
        <v/>
      </c>
      <c r="F233" s="52"/>
      <c r="G233" s="89"/>
    </row>
    <row r="234" customFormat="false" ht="19.5" hidden="false" customHeight="true" outlineLevel="0" collapsed="false">
      <c r="A234" s="91"/>
      <c r="B234" s="52"/>
      <c r="C234" s="89" t="str">
        <f aca="false">IF(B234="","",IFERROR(INDEX(Students!$B$5:$B$304,MATCH(B234,Students!$A$5:$A$304,0)),"ID not found"))</f>
        <v/>
      </c>
      <c r="D234" s="85" t="str">
        <f aca="false">IF(B234="","",IFERROR(INDEX(Students!$E$5:$E$304,MATCH(B234,Students!$A$5:$A$304,0)),""))</f>
        <v/>
      </c>
      <c r="E234" s="85" t="str">
        <f aca="false">IF(B234="","",IFERROR(INDEX(Students!$F$5:$F$304,MATCH(B234,Students!$A$5:$A$304,0)),""))</f>
        <v/>
      </c>
      <c r="F234" s="52"/>
      <c r="G234" s="89"/>
    </row>
    <row r="235" customFormat="false" ht="19.5" hidden="false" customHeight="true" outlineLevel="0" collapsed="false">
      <c r="A235" s="91"/>
      <c r="B235" s="52"/>
      <c r="C235" s="89" t="str">
        <f aca="false">IF(B235="","",IFERROR(INDEX(Students!$B$5:$B$304,MATCH(B235,Students!$A$5:$A$304,0)),"ID not found"))</f>
        <v/>
      </c>
      <c r="D235" s="85" t="str">
        <f aca="false">IF(B235="","",IFERROR(INDEX(Students!$E$5:$E$304,MATCH(B235,Students!$A$5:$A$304,0)),""))</f>
        <v/>
      </c>
      <c r="E235" s="85" t="str">
        <f aca="false">IF(B235="","",IFERROR(INDEX(Students!$F$5:$F$304,MATCH(B235,Students!$A$5:$A$304,0)),""))</f>
        <v/>
      </c>
      <c r="F235" s="52"/>
      <c r="G235" s="89"/>
    </row>
    <row r="236" customFormat="false" ht="19.5" hidden="false" customHeight="true" outlineLevel="0" collapsed="false">
      <c r="A236" s="91"/>
      <c r="B236" s="52"/>
      <c r="C236" s="89" t="str">
        <f aca="false">IF(B236="","",IFERROR(INDEX(Students!$B$5:$B$304,MATCH(B236,Students!$A$5:$A$304,0)),"ID not found"))</f>
        <v/>
      </c>
      <c r="D236" s="85" t="str">
        <f aca="false">IF(B236="","",IFERROR(INDEX(Students!$E$5:$E$304,MATCH(B236,Students!$A$5:$A$304,0)),""))</f>
        <v/>
      </c>
      <c r="E236" s="85" t="str">
        <f aca="false">IF(B236="","",IFERROR(INDEX(Students!$F$5:$F$304,MATCH(B236,Students!$A$5:$A$304,0)),""))</f>
        <v/>
      </c>
      <c r="F236" s="52"/>
      <c r="G236" s="89"/>
    </row>
    <row r="237" customFormat="false" ht="19.5" hidden="false" customHeight="true" outlineLevel="0" collapsed="false">
      <c r="A237" s="91"/>
      <c r="B237" s="52"/>
      <c r="C237" s="89" t="str">
        <f aca="false">IF(B237="","",IFERROR(INDEX(Students!$B$5:$B$304,MATCH(B237,Students!$A$5:$A$304,0)),"ID not found"))</f>
        <v/>
      </c>
      <c r="D237" s="85" t="str">
        <f aca="false">IF(B237="","",IFERROR(INDEX(Students!$E$5:$E$304,MATCH(B237,Students!$A$5:$A$304,0)),""))</f>
        <v/>
      </c>
      <c r="E237" s="85" t="str">
        <f aca="false">IF(B237="","",IFERROR(INDEX(Students!$F$5:$F$304,MATCH(B237,Students!$A$5:$A$304,0)),""))</f>
        <v/>
      </c>
      <c r="F237" s="52"/>
      <c r="G237" s="89"/>
    </row>
    <row r="238" customFormat="false" ht="19.5" hidden="false" customHeight="true" outlineLevel="0" collapsed="false">
      <c r="A238" s="91"/>
      <c r="B238" s="52"/>
      <c r="C238" s="89" t="str">
        <f aca="false">IF(B238="","",IFERROR(INDEX(Students!$B$5:$B$304,MATCH(B238,Students!$A$5:$A$304,0)),"ID not found"))</f>
        <v/>
      </c>
      <c r="D238" s="85" t="str">
        <f aca="false">IF(B238="","",IFERROR(INDEX(Students!$E$5:$E$304,MATCH(B238,Students!$A$5:$A$304,0)),""))</f>
        <v/>
      </c>
      <c r="E238" s="85" t="str">
        <f aca="false">IF(B238="","",IFERROR(INDEX(Students!$F$5:$F$304,MATCH(B238,Students!$A$5:$A$304,0)),""))</f>
        <v/>
      </c>
      <c r="F238" s="52"/>
      <c r="G238" s="89"/>
    </row>
    <row r="239" customFormat="false" ht="19.5" hidden="false" customHeight="true" outlineLevel="0" collapsed="false">
      <c r="A239" s="91"/>
      <c r="B239" s="52"/>
      <c r="C239" s="89" t="str">
        <f aca="false">IF(B239="","",IFERROR(INDEX(Students!$B$5:$B$304,MATCH(B239,Students!$A$5:$A$304,0)),"ID not found"))</f>
        <v/>
      </c>
      <c r="D239" s="85" t="str">
        <f aca="false">IF(B239="","",IFERROR(INDEX(Students!$E$5:$E$304,MATCH(B239,Students!$A$5:$A$304,0)),""))</f>
        <v/>
      </c>
      <c r="E239" s="85" t="str">
        <f aca="false">IF(B239="","",IFERROR(INDEX(Students!$F$5:$F$304,MATCH(B239,Students!$A$5:$A$304,0)),""))</f>
        <v/>
      </c>
      <c r="F239" s="52"/>
      <c r="G239" s="89"/>
    </row>
    <row r="240" customFormat="false" ht="19.5" hidden="false" customHeight="true" outlineLevel="0" collapsed="false">
      <c r="A240" s="91"/>
      <c r="B240" s="52"/>
      <c r="C240" s="89" t="str">
        <f aca="false">IF(B240="","",IFERROR(INDEX(Students!$B$5:$B$304,MATCH(B240,Students!$A$5:$A$304,0)),"ID not found"))</f>
        <v/>
      </c>
      <c r="D240" s="85" t="str">
        <f aca="false">IF(B240="","",IFERROR(INDEX(Students!$E$5:$E$304,MATCH(B240,Students!$A$5:$A$304,0)),""))</f>
        <v/>
      </c>
      <c r="E240" s="85" t="str">
        <f aca="false">IF(B240="","",IFERROR(INDEX(Students!$F$5:$F$304,MATCH(B240,Students!$A$5:$A$304,0)),""))</f>
        <v/>
      </c>
      <c r="F240" s="52"/>
      <c r="G240" s="89"/>
    </row>
    <row r="241" customFormat="false" ht="19.5" hidden="false" customHeight="true" outlineLevel="0" collapsed="false">
      <c r="A241" s="91"/>
      <c r="B241" s="52"/>
      <c r="C241" s="89" t="str">
        <f aca="false">IF(B241="","",IFERROR(INDEX(Students!$B$5:$B$304,MATCH(B241,Students!$A$5:$A$304,0)),"ID not found"))</f>
        <v/>
      </c>
      <c r="D241" s="85" t="str">
        <f aca="false">IF(B241="","",IFERROR(INDEX(Students!$E$5:$E$304,MATCH(B241,Students!$A$5:$A$304,0)),""))</f>
        <v/>
      </c>
      <c r="E241" s="85" t="str">
        <f aca="false">IF(B241="","",IFERROR(INDEX(Students!$F$5:$F$304,MATCH(B241,Students!$A$5:$A$304,0)),""))</f>
        <v/>
      </c>
      <c r="F241" s="52"/>
      <c r="G241" s="89"/>
    </row>
    <row r="242" customFormat="false" ht="19.5" hidden="false" customHeight="true" outlineLevel="0" collapsed="false">
      <c r="A242" s="91"/>
      <c r="B242" s="52"/>
      <c r="C242" s="89" t="str">
        <f aca="false">IF(B242="","",IFERROR(INDEX(Students!$B$5:$B$304,MATCH(B242,Students!$A$5:$A$304,0)),"ID not found"))</f>
        <v/>
      </c>
      <c r="D242" s="85" t="str">
        <f aca="false">IF(B242="","",IFERROR(INDEX(Students!$E$5:$E$304,MATCH(B242,Students!$A$5:$A$304,0)),""))</f>
        <v/>
      </c>
      <c r="E242" s="85" t="str">
        <f aca="false">IF(B242="","",IFERROR(INDEX(Students!$F$5:$F$304,MATCH(B242,Students!$A$5:$A$304,0)),""))</f>
        <v/>
      </c>
      <c r="F242" s="52"/>
      <c r="G242" s="89"/>
    </row>
    <row r="243" customFormat="false" ht="19.5" hidden="false" customHeight="true" outlineLevel="0" collapsed="false">
      <c r="A243" s="91"/>
      <c r="B243" s="52"/>
      <c r="C243" s="89" t="str">
        <f aca="false">IF(B243="","",IFERROR(INDEX(Students!$B$5:$B$304,MATCH(B243,Students!$A$5:$A$304,0)),"ID not found"))</f>
        <v/>
      </c>
      <c r="D243" s="85" t="str">
        <f aca="false">IF(B243="","",IFERROR(INDEX(Students!$E$5:$E$304,MATCH(B243,Students!$A$5:$A$304,0)),""))</f>
        <v/>
      </c>
      <c r="E243" s="85" t="str">
        <f aca="false">IF(B243="","",IFERROR(INDEX(Students!$F$5:$F$304,MATCH(B243,Students!$A$5:$A$304,0)),""))</f>
        <v/>
      </c>
      <c r="F243" s="52"/>
      <c r="G243" s="89"/>
    </row>
    <row r="244" customFormat="false" ht="19.5" hidden="false" customHeight="true" outlineLevel="0" collapsed="false">
      <c r="A244" s="91"/>
      <c r="B244" s="52"/>
      <c r="C244" s="89" t="str">
        <f aca="false">IF(B244="","",IFERROR(INDEX(Students!$B$5:$B$304,MATCH(B244,Students!$A$5:$A$304,0)),"ID not found"))</f>
        <v/>
      </c>
      <c r="D244" s="85" t="str">
        <f aca="false">IF(B244="","",IFERROR(INDEX(Students!$E$5:$E$304,MATCH(B244,Students!$A$5:$A$304,0)),""))</f>
        <v/>
      </c>
      <c r="E244" s="85" t="str">
        <f aca="false">IF(B244="","",IFERROR(INDEX(Students!$F$5:$F$304,MATCH(B244,Students!$A$5:$A$304,0)),""))</f>
        <v/>
      </c>
      <c r="F244" s="52"/>
      <c r="G244" s="89"/>
    </row>
    <row r="245" customFormat="false" ht="19.5" hidden="false" customHeight="true" outlineLevel="0" collapsed="false">
      <c r="A245" s="91"/>
      <c r="B245" s="52"/>
      <c r="C245" s="89" t="str">
        <f aca="false">IF(B245="","",IFERROR(INDEX(Students!$B$5:$B$304,MATCH(B245,Students!$A$5:$A$304,0)),"ID not found"))</f>
        <v/>
      </c>
      <c r="D245" s="85" t="str">
        <f aca="false">IF(B245="","",IFERROR(INDEX(Students!$E$5:$E$304,MATCH(B245,Students!$A$5:$A$304,0)),""))</f>
        <v/>
      </c>
      <c r="E245" s="85" t="str">
        <f aca="false">IF(B245="","",IFERROR(INDEX(Students!$F$5:$F$304,MATCH(B245,Students!$A$5:$A$304,0)),""))</f>
        <v/>
      </c>
      <c r="F245" s="52"/>
      <c r="G245" s="89"/>
    </row>
    <row r="246" customFormat="false" ht="19.5" hidden="false" customHeight="true" outlineLevel="0" collapsed="false">
      <c r="A246" s="91"/>
      <c r="B246" s="52"/>
      <c r="C246" s="89" t="str">
        <f aca="false">IF(B246="","",IFERROR(INDEX(Students!$B$5:$B$304,MATCH(B246,Students!$A$5:$A$304,0)),"ID not found"))</f>
        <v/>
      </c>
      <c r="D246" s="85" t="str">
        <f aca="false">IF(B246="","",IFERROR(INDEX(Students!$E$5:$E$304,MATCH(B246,Students!$A$5:$A$304,0)),""))</f>
        <v/>
      </c>
      <c r="E246" s="85" t="str">
        <f aca="false">IF(B246="","",IFERROR(INDEX(Students!$F$5:$F$304,MATCH(B246,Students!$A$5:$A$304,0)),""))</f>
        <v/>
      </c>
      <c r="F246" s="52"/>
      <c r="G246" s="89"/>
    </row>
    <row r="247" customFormat="false" ht="19.5" hidden="false" customHeight="true" outlineLevel="0" collapsed="false">
      <c r="A247" s="91"/>
      <c r="B247" s="52"/>
      <c r="C247" s="89" t="str">
        <f aca="false">IF(B247="","",IFERROR(INDEX(Students!$B$5:$B$304,MATCH(B247,Students!$A$5:$A$304,0)),"ID not found"))</f>
        <v/>
      </c>
      <c r="D247" s="85" t="str">
        <f aca="false">IF(B247="","",IFERROR(INDEX(Students!$E$5:$E$304,MATCH(B247,Students!$A$5:$A$304,0)),""))</f>
        <v/>
      </c>
      <c r="E247" s="85" t="str">
        <f aca="false">IF(B247="","",IFERROR(INDEX(Students!$F$5:$F$304,MATCH(B247,Students!$A$5:$A$304,0)),""))</f>
        <v/>
      </c>
      <c r="F247" s="52"/>
      <c r="G247" s="89"/>
    </row>
    <row r="248" customFormat="false" ht="19.5" hidden="false" customHeight="true" outlineLevel="0" collapsed="false">
      <c r="A248" s="91"/>
      <c r="B248" s="52"/>
      <c r="C248" s="89" t="str">
        <f aca="false">IF(B248="","",IFERROR(INDEX(Students!$B$5:$B$304,MATCH(B248,Students!$A$5:$A$304,0)),"ID not found"))</f>
        <v/>
      </c>
      <c r="D248" s="85" t="str">
        <f aca="false">IF(B248="","",IFERROR(INDEX(Students!$E$5:$E$304,MATCH(B248,Students!$A$5:$A$304,0)),""))</f>
        <v/>
      </c>
      <c r="E248" s="85" t="str">
        <f aca="false">IF(B248="","",IFERROR(INDEX(Students!$F$5:$F$304,MATCH(B248,Students!$A$5:$A$304,0)),""))</f>
        <v/>
      </c>
      <c r="F248" s="52"/>
      <c r="G248" s="89"/>
    </row>
    <row r="249" customFormat="false" ht="19.5" hidden="false" customHeight="true" outlineLevel="0" collapsed="false">
      <c r="A249" s="91"/>
      <c r="B249" s="52"/>
      <c r="C249" s="89" t="str">
        <f aca="false">IF(B249="","",IFERROR(INDEX(Students!$B$5:$B$304,MATCH(B249,Students!$A$5:$A$304,0)),"ID not found"))</f>
        <v/>
      </c>
      <c r="D249" s="85" t="str">
        <f aca="false">IF(B249="","",IFERROR(INDEX(Students!$E$5:$E$304,MATCH(B249,Students!$A$5:$A$304,0)),""))</f>
        <v/>
      </c>
      <c r="E249" s="85" t="str">
        <f aca="false">IF(B249="","",IFERROR(INDEX(Students!$F$5:$F$304,MATCH(B249,Students!$A$5:$A$304,0)),""))</f>
        <v/>
      </c>
      <c r="F249" s="52"/>
      <c r="G249" s="89"/>
    </row>
    <row r="250" customFormat="false" ht="19.5" hidden="false" customHeight="true" outlineLevel="0" collapsed="false">
      <c r="A250" s="91"/>
      <c r="B250" s="52"/>
      <c r="C250" s="89" t="str">
        <f aca="false">IF(B250="","",IFERROR(INDEX(Students!$B$5:$B$304,MATCH(B250,Students!$A$5:$A$304,0)),"ID not found"))</f>
        <v/>
      </c>
      <c r="D250" s="85" t="str">
        <f aca="false">IF(B250="","",IFERROR(INDEX(Students!$E$5:$E$304,MATCH(B250,Students!$A$5:$A$304,0)),""))</f>
        <v/>
      </c>
      <c r="E250" s="85" t="str">
        <f aca="false">IF(B250="","",IFERROR(INDEX(Students!$F$5:$F$304,MATCH(B250,Students!$A$5:$A$304,0)),""))</f>
        <v/>
      </c>
      <c r="F250" s="52"/>
      <c r="G250" s="89"/>
    </row>
    <row r="251" customFormat="false" ht="19.5" hidden="false" customHeight="true" outlineLevel="0" collapsed="false">
      <c r="A251" s="91"/>
      <c r="B251" s="52"/>
      <c r="C251" s="89" t="str">
        <f aca="false">IF(B251="","",IFERROR(INDEX(Students!$B$5:$B$304,MATCH(B251,Students!$A$5:$A$304,0)),"ID not found"))</f>
        <v/>
      </c>
      <c r="D251" s="85" t="str">
        <f aca="false">IF(B251="","",IFERROR(INDEX(Students!$E$5:$E$304,MATCH(B251,Students!$A$5:$A$304,0)),""))</f>
        <v/>
      </c>
      <c r="E251" s="85" t="str">
        <f aca="false">IF(B251="","",IFERROR(INDEX(Students!$F$5:$F$304,MATCH(B251,Students!$A$5:$A$304,0)),""))</f>
        <v/>
      </c>
      <c r="F251" s="52"/>
      <c r="G251" s="89"/>
    </row>
    <row r="252" customFormat="false" ht="19.5" hidden="false" customHeight="true" outlineLevel="0" collapsed="false">
      <c r="A252" s="91"/>
      <c r="B252" s="52"/>
      <c r="C252" s="89" t="str">
        <f aca="false">IF(B252="","",IFERROR(INDEX(Students!$B$5:$B$304,MATCH(B252,Students!$A$5:$A$304,0)),"ID not found"))</f>
        <v/>
      </c>
      <c r="D252" s="85" t="str">
        <f aca="false">IF(B252="","",IFERROR(INDEX(Students!$E$5:$E$304,MATCH(B252,Students!$A$5:$A$304,0)),""))</f>
        <v/>
      </c>
      <c r="E252" s="85" t="str">
        <f aca="false">IF(B252="","",IFERROR(INDEX(Students!$F$5:$F$304,MATCH(B252,Students!$A$5:$A$304,0)),""))</f>
        <v/>
      </c>
      <c r="F252" s="52"/>
      <c r="G252" s="89"/>
    </row>
    <row r="253" customFormat="false" ht="19.5" hidden="false" customHeight="true" outlineLevel="0" collapsed="false">
      <c r="A253" s="91"/>
      <c r="B253" s="52"/>
      <c r="C253" s="89" t="str">
        <f aca="false">IF(B253="","",IFERROR(INDEX(Students!$B$5:$B$304,MATCH(B253,Students!$A$5:$A$304,0)),"ID not found"))</f>
        <v/>
      </c>
      <c r="D253" s="85" t="str">
        <f aca="false">IF(B253="","",IFERROR(INDEX(Students!$E$5:$E$304,MATCH(B253,Students!$A$5:$A$304,0)),""))</f>
        <v/>
      </c>
      <c r="E253" s="85" t="str">
        <f aca="false">IF(B253="","",IFERROR(INDEX(Students!$F$5:$F$304,MATCH(B253,Students!$A$5:$A$304,0)),""))</f>
        <v/>
      </c>
      <c r="F253" s="52"/>
      <c r="G253" s="89"/>
    </row>
    <row r="254" customFormat="false" ht="19.5" hidden="false" customHeight="true" outlineLevel="0" collapsed="false">
      <c r="A254" s="91"/>
      <c r="B254" s="52"/>
      <c r="C254" s="89" t="str">
        <f aca="false">IF(B254="","",IFERROR(INDEX(Students!$B$5:$B$304,MATCH(B254,Students!$A$5:$A$304,0)),"ID not found"))</f>
        <v/>
      </c>
      <c r="D254" s="85" t="str">
        <f aca="false">IF(B254="","",IFERROR(INDEX(Students!$E$5:$E$304,MATCH(B254,Students!$A$5:$A$304,0)),""))</f>
        <v/>
      </c>
      <c r="E254" s="85" t="str">
        <f aca="false">IF(B254="","",IFERROR(INDEX(Students!$F$5:$F$304,MATCH(B254,Students!$A$5:$A$304,0)),""))</f>
        <v/>
      </c>
      <c r="F254" s="52"/>
      <c r="G254" s="89"/>
    </row>
    <row r="255" customFormat="false" ht="19.5" hidden="false" customHeight="true" outlineLevel="0" collapsed="false">
      <c r="A255" s="91"/>
      <c r="B255" s="52"/>
      <c r="C255" s="89" t="str">
        <f aca="false">IF(B255="","",IFERROR(INDEX(Students!$B$5:$B$304,MATCH(B255,Students!$A$5:$A$304,0)),"ID not found"))</f>
        <v/>
      </c>
      <c r="D255" s="85" t="str">
        <f aca="false">IF(B255="","",IFERROR(INDEX(Students!$E$5:$E$304,MATCH(B255,Students!$A$5:$A$304,0)),""))</f>
        <v/>
      </c>
      <c r="E255" s="85" t="str">
        <f aca="false">IF(B255="","",IFERROR(INDEX(Students!$F$5:$F$304,MATCH(B255,Students!$A$5:$A$304,0)),""))</f>
        <v/>
      </c>
      <c r="F255" s="52"/>
      <c r="G255" s="89"/>
    </row>
    <row r="256" customFormat="false" ht="19.5" hidden="false" customHeight="true" outlineLevel="0" collapsed="false">
      <c r="A256" s="91"/>
      <c r="B256" s="52"/>
      <c r="C256" s="89" t="str">
        <f aca="false">IF(B256="","",IFERROR(INDEX(Students!$B$5:$B$304,MATCH(B256,Students!$A$5:$A$304,0)),"ID not found"))</f>
        <v/>
      </c>
      <c r="D256" s="85" t="str">
        <f aca="false">IF(B256="","",IFERROR(INDEX(Students!$E$5:$E$304,MATCH(B256,Students!$A$5:$A$304,0)),""))</f>
        <v/>
      </c>
      <c r="E256" s="85" t="str">
        <f aca="false">IF(B256="","",IFERROR(INDEX(Students!$F$5:$F$304,MATCH(B256,Students!$A$5:$A$304,0)),""))</f>
        <v/>
      </c>
      <c r="F256" s="52"/>
      <c r="G256" s="89"/>
    </row>
    <row r="257" customFormat="false" ht="19.5" hidden="false" customHeight="true" outlineLevel="0" collapsed="false">
      <c r="A257" s="91"/>
      <c r="B257" s="52"/>
      <c r="C257" s="89" t="str">
        <f aca="false">IF(B257="","",IFERROR(INDEX(Students!$B$5:$B$304,MATCH(B257,Students!$A$5:$A$304,0)),"ID not found"))</f>
        <v/>
      </c>
      <c r="D257" s="85" t="str">
        <f aca="false">IF(B257="","",IFERROR(INDEX(Students!$E$5:$E$304,MATCH(B257,Students!$A$5:$A$304,0)),""))</f>
        <v/>
      </c>
      <c r="E257" s="85" t="str">
        <f aca="false">IF(B257="","",IFERROR(INDEX(Students!$F$5:$F$304,MATCH(B257,Students!$A$5:$A$304,0)),""))</f>
        <v/>
      </c>
      <c r="F257" s="52"/>
      <c r="G257" s="89"/>
    </row>
    <row r="258" customFormat="false" ht="19.5" hidden="false" customHeight="true" outlineLevel="0" collapsed="false">
      <c r="A258" s="91"/>
      <c r="B258" s="52"/>
      <c r="C258" s="89" t="str">
        <f aca="false">IF(B258="","",IFERROR(INDEX(Students!$B$5:$B$304,MATCH(B258,Students!$A$5:$A$304,0)),"ID not found"))</f>
        <v/>
      </c>
      <c r="D258" s="85" t="str">
        <f aca="false">IF(B258="","",IFERROR(INDEX(Students!$E$5:$E$304,MATCH(B258,Students!$A$5:$A$304,0)),""))</f>
        <v/>
      </c>
      <c r="E258" s="85" t="str">
        <f aca="false">IF(B258="","",IFERROR(INDEX(Students!$F$5:$F$304,MATCH(B258,Students!$A$5:$A$304,0)),""))</f>
        <v/>
      </c>
      <c r="F258" s="52"/>
      <c r="G258" s="89"/>
    </row>
    <row r="259" customFormat="false" ht="19.5" hidden="false" customHeight="true" outlineLevel="0" collapsed="false">
      <c r="A259" s="91"/>
      <c r="B259" s="52"/>
      <c r="C259" s="89" t="str">
        <f aca="false">IF(B259="","",IFERROR(INDEX(Students!$B$5:$B$304,MATCH(B259,Students!$A$5:$A$304,0)),"ID not found"))</f>
        <v/>
      </c>
      <c r="D259" s="85" t="str">
        <f aca="false">IF(B259="","",IFERROR(INDEX(Students!$E$5:$E$304,MATCH(B259,Students!$A$5:$A$304,0)),""))</f>
        <v/>
      </c>
      <c r="E259" s="85" t="str">
        <f aca="false">IF(B259="","",IFERROR(INDEX(Students!$F$5:$F$304,MATCH(B259,Students!$A$5:$A$304,0)),""))</f>
        <v/>
      </c>
      <c r="F259" s="52"/>
      <c r="G259" s="89"/>
    </row>
    <row r="260" customFormat="false" ht="19.5" hidden="false" customHeight="true" outlineLevel="0" collapsed="false">
      <c r="A260" s="91"/>
      <c r="B260" s="52"/>
      <c r="C260" s="89" t="str">
        <f aca="false">IF(B260="","",IFERROR(INDEX(Students!$B$5:$B$304,MATCH(B260,Students!$A$5:$A$304,0)),"ID not found"))</f>
        <v/>
      </c>
      <c r="D260" s="85" t="str">
        <f aca="false">IF(B260="","",IFERROR(INDEX(Students!$E$5:$E$304,MATCH(B260,Students!$A$5:$A$304,0)),""))</f>
        <v/>
      </c>
      <c r="E260" s="85" t="str">
        <f aca="false">IF(B260="","",IFERROR(INDEX(Students!$F$5:$F$304,MATCH(B260,Students!$A$5:$A$304,0)),""))</f>
        <v/>
      </c>
      <c r="F260" s="52"/>
      <c r="G260" s="89"/>
    </row>
    <row r="261" customFormat="false" ht="19.5" hidden="false" customHeight="true" outlineLevel="0" collapsed="false">
      <c r="A261" s="91"/>
      <c r="B261" s="52"/>
      <c r="C261" s="89" t="str">
        <f aca="false">IF(B261="","",IFERROR(INDEX(Students!$B$5:$B$304,MATCH(B261,Students!$A$5:$A$304,0)),"ID not found"))</f>
        <v/>
      </c>
      <c r="D261" s="85" t="str">
        <f aca="false">IF(B261="","",IFERROR(INDEX(Students!$E$5:$E$304,MATCH(B261,Students!$A$5:$A$304,0)),""))</f>
        <v/>
      </c>
      <c r="E261" s="85" t="str">
        <f aca="false">IF(B261="","",IFERROR(INDEX(Students!$F$5:$F$304,MATCH(B261,Students!$A$5:$A$304,0)),""))</f>
        <v/>
      </c>
      <c r="F261" s="52"/>
      <c r="G261" s="89"/>
    </row>
    <row r="262" customFormat="false" ht="19.5" hidden="false" customHeight="true" outlineLevel="0" collapsed="false">
      <c r="A262" s="91"/>
      <c r="B262" s="52"/>
      <c r="C262" s="89" t="str">
        <f aca="false">IF(B262="","",IFERROR(INDEX(Students!$B$5:$B$304,MATCH(B262,Students!$A$5:$A$304,0)),"ID not found"))</f>
        <v/>
      </c>
      <c r="D262" s="85" t="str">
        <f aca="false">IF(B262="","",IFERROR(INDEX(Students!$E$5:$E$304,MATCH(B262,Students!$A$5:$A$304,0)),""))</f>
        <v/>
      </c>
      <c r="E262" s="85" t="str">
        <f aca="false">IF(B262="","",IFERROR(INDEX(Students!$F$5:$F$304,MATCH(B262,Students!$A$5:$A$304,0)),""))</f>
        <v/>
      </c>
      <c r="F262" s="52"/>
      <c r="G262" s="89"/>
    </row>
    <row r="263" customFormat="false" ht="19.5" hidden="false" customHeight="true" outlineLevel="0" collapsed="false">
      <c r="A263" s="91"/>
      <c r="B263" s="52"/>
      <c r="C263" s="89" t="str">
        <f aca="false">IF(B263="","",IFERROR(INDEX(Students!$B$5:$B$304,MATCH(B263,Students!$A$5:$A$304,0)),"ID not found"))</f>
        <v/>
      </c>
      <c r="D263" s="85" t="str">
        <f aca="false">IF(B263="","",IFERROR(INDEX(Students!$E$5:$E$304,MATCH(B263,Students!$A$5:$A$304,0)),""))</f>
        <v/>
      </c>
      <c r="E263" s="85" t="str">
        <f aca="false">IF(B263="","",IFERROR(INDEX(Students!$F$5:$F$304,MATCH(B263,Students!$A$5:$A$304,0)),""))</f>
        <v/>
      </c>
      <c r="F263" s="52"/>
      <c r="G263" s="89"/>
    </row>
    <row r="264" customFormat="false" ht="19.5" hidden="false" customHeight="true" outlineLevel="0" collapsed="false">
      <c r="A264" s="91"/>
      <c r="B264" s="52"/>
      <c r="C264" s="89" t="str">
        <f aca="false">IF(B264="","",IFERROR(INDEX(Students!$B$5:$B$304,MATCH(B264,Students!$A$5:$A$304,0)),"ID not found"))</f>
        <v/>
      </c>
      <c r="D264" s="85" t="str">
        <f aca="false">IF(B264="","",IFERROR(INDEX(Students!$E$5:$E$304,MATCH(B264,Students!$A$5:$A$304,0)),""))</f>
        <v/>
      </c>
      <c r="E264" s="85" t="str">
        <f aca="false">IF(B264="","",IFERROR(INDEX(Students!$F$5:$F$304,MATCH(B264,Students!$A$5:$A$304,0)),""))</f>
        <v/>
      </c>
      <c r="F264" s="52"/>
      <c r="G264" s="89"/>
    </row>
    <row r="265" customFormat="false" ht="19.5" hidden="false" customHeight="true" outlineLevel="0" collapsed="false">
      <c r="A265" s="91"/>
      <c r="B265" s="52"/>
      <c r="C265" s="89" t="str">
        <f aca="false">IF(B265="","",IFERROR(INDEX(Students!$B$5:$B$304,MATCH(B265,Students!$A$5:$A$304,0)),"ID not found"))</f>
        <v/>
      </c>
      <c r="D265" s="85" t="str">
        <f aca="false">IF(B265="","",IFERROR(INDEX(Students!$E$5:$E$304,MATCH(B265,Students!$A$5:$A$304,0)),""))</f>
        <v/>
      </c>
      <c r="E265" s="85" t="str">
        <f aca="false">IF(B265="","",IFERROR(INDEX(Students!$F$5:$F$304,MATCH(B265,Students!$A$5:$A$304,0)),""))</f>
        <v/>
      </c>
      <c r="F265" s="52"/>
      <c r="G265" s="89"/>
    </row>
    <row r="266" customFormat="false" ht="19.5" hidden="false" customHeight="true" outlineLevel="0" collapsed="false">
      <c r="A266" s="91"/>
      <c r="B266" s="52"/>
      <c r="C266" s="89" t="str">
        <f aca="false">IF(B266="","",IFERROR(INDEX(Students!$B$5:$B$304,MATCH(B266,Students!$A$5:$A$304,0)),"ID not found"))</f>
        <v/>
      </c>
      <c r="D266" s="85" t="str">
        <f aca="false">IF(B266="","",IFERROR(INDEX(Students!$E$5:$E$304,MATCH(B266,Students!$A$5:$A$304,0)),""))</f>
        <v/>
      </c>
      <c r="E266" s="85" t="str">
        <f aca="false">IF(B266="","",IFERROR(INDEX(Students!$F$5:$F$304,MATCH(B266,Students!$A$5:$A$304,0)),""))</f>
        <v/>
      </c>
      <c r="F266" s="52"/>
      <c r="G266" s="89"/>
    </row>
    <row r="267" customFormat="false" ht="19.5" hidden="false" customHeight="true" outlineLevel="0" collapsed="false">
      <c r="A267" s="91"/>
      <c r="B267" s="52"/>
      <c r="C267" s="89" t="str">
        <f aca="false">IF(B267="","",IFERROR(INDEX(Students!$B$5:$B$304,MATCH(B267,Students!$A$5:$A$304,0)),"ID not found"))</f>
        <v/>
      </c>
      <c r="D267" s="85" t="str">
        <f aca="false">IF(B267="","",IFERROR(INDEX(Students!$E$5:$E$304,MATCH(B267,Students!$A$5:$A$304,0)),""))</f>
        <v/>
      </c>
      <c r="E267" s="85" t="str">
        <f aca="false">IF(B267="","",IFERROR(INDEX(Students!$F$5:$F$304,MATCH(B267,Students!$A$5:$A$304,0)),""))</f>
        <v/>
      </c>
      <c r="F267" s="52"/>
      <c r="G267" s="89"/>
    </row>
    <row r="268" customFormat="false" ht="19.5" hidden="false" customHeight="true" outlineLevel="0" collapsed="false">
      <c r="A268" s="91"/>
      <c r="B268" s="52"/>
      <c r="C268" s="89" t="str">
        <f aca="false">IF(B268="","",IFERROR(INDEX(Students!$B$5:$B$304,MATCH(B268,Students!$A$5:$A$304,0)),"ID not found"))</f>
        <v/>
      </c>
      <c r="D268" s="85" t="str">
        <f aca="false">IF(B268="","",IFERROR(INDEX(Students!$E$5:$E$304,MATCH(B268,Students!$A$5:$A$304,0)),""))</f>
        <v/>
      </c>
      <c r="E268" s="85" t="str">
        <f aca="false">IF(B268="","",IFERROR(INDEX(Students!$F$5:$F$304,MATCH(B268,Students!$A$5:$A$304,0)),""))</f>
        <v/>
      </c>
      <c r="F268" s="52"/>
      <c r="G268" s="89"/>
    </row>
    <row r="269" customFormat="false" ht="19.5" hidden="false" customHeight="true" outlineLevel="0" collapsed="false">
      <c r="A269" s="91"/>
      <c r="B269" s="52"/>
      <c r="C269" s="89" t="str">
        <f aca="false">IF(B269="","",IFERROR(INDEX(Students!$B$5:$B$304,MATCH(B269,Students!$A$5:$A$304,0)),"ID not found"))</f>
        <v/>
      </c>
      <c r="D269" s="85" t="str">
        <f aca="false">IF(B269="","",IFERROR(INDEX(Students!$E$5:$E$304,MATCH(B269,Students!$A$5:$A$304,0)),""))</f>
        <v/>
      </c>
      <c r="E269" s="85" t="str">
        <f aca="false">IF(B269="","",IFERROR(INDEX(Students!$F$5:$F$304,MATCH(B269,Students!$A$5:$A$304,0)),""))</f>
        <v/>
      </c>
      <c r="F269" s="52"/>
      <c r="G269" s="89"/>
    </row>
    <row r="270" customFormat="false" ht="19.5" hidden="false" customHeight="true" outlineLevel="0" collapsed="false">
      <c r="A270" s="91"/>
      <c r="B270" s="52"/>
      <c r="C270" s="89" t="str">
        <f aca="false">IF(B270="","",IFERROR(INDEX(Students!$B$5:$B$304,MATCH(B270,Students!$A$5:$A$304,0)),"ID not found"))</f>
        <v/>
      </c>
      <c r="D270" s="85" t="str">
        <f aca="false">IF(B270="","",IFERROR(INDEX(Students!$E$5:$E$304,MATCH(B270,Students!$A$5:$A$304,0)),""))</f>
        <v/>
      </c>
      <c r="E270" s="85" t="str">
        <f aca="false">IF(B270="","",IFERROR(INDEX(Students!$F$5:$F$304,MATCH(B270,Students!$A$5:$A$304,0)),""))</f>
        <v/>
      </c>
      <c r="F270" s="52"/>
      <c r="G270" s="89"/>
    </row>
    <row r="271" customFormat="false" ht="19.5" hidden="false" customHeight="true" outlineLevel="0" collapsed="false">
      <c r="A271" s="91"/>
      <c r="B271" s="52"/>
      <c r="C271" s="89" t="str">
        <f aca="false">IF(B271="","",IFERROR(INDEX(Students!$B$5:$B$304,MATCH(B271,Students!$A$5:$A$304,0)),"ID not found"))</f>
        <v/>
      </c>
      <c r="D271" s="85" t="str">
        <f aca="false">IF(B271="","",IFERROR(INDEX(Students!$E$5:$E$304,MATCH(B271,Students!$A$5:$A$304,0)),""))</f>
        <v/>
      </c>
      <c r="E271" s="85" t="str">
        <f aca="false">IF(B271="","",IFERROR(INDEX(Students!$F$5:$F$304,MATCH(B271,Students!$A$5:$A$304,0)),""))</f>
        <v/>
      </c>
      <c r="F271" s="52"/>
      <c r="G271" s="89"/>
    </row>
    <row r="272" customFormat="false" ht="19.5" hidden="false" customHeight="true" outlineLevel="0" collapsed="false">
      <c r="A272" s="91"/>
      <c r="B272" s="52"/>
      <c r="C272" s="89" t="str">
        <f aca="false">IF(B272="","",IFERROR(INDEX(Students!$B$5:$B$304,MATCH(B272,Students!$A$5:$A$304,0)),"ID not found"))</f>
        <v/>
      </c>
      <c r="D272" s="85" t="str">
        <f aca="false">IF(B272="","",IFERROR(INDEX(Students!$E$5:$E$304,MATCH(B272,Students!$A$5:$A$304,0)),""))</f>
        <v/>
      </c>
      <c r="E272" s="85" t="str">
        <f aca="false">IF(B272="","",IFERROR(INDEX(Students!$F$5:$F$304,MATCH(B272,Students!$A$5:$A$304,0)),""))</f>
        <v/>
      </c>
      <c r="F272" s="52"/>
      <c r="G272" s="89"/>
    </row>
    <row r="273" customFormat="false" ht="19.5" hidden="false" customHeight="true" outlineLevel="0" collapsed="false">
      <c r="A273" s="91"/>
      <c r="B273" s="52"/>
      <c r="C273" s="89" t="str">
        <f aca="false">IF(B273="","",IFERROR(INDEX(Students!$B$5:$B$304,MATCH(B273,Students!$A$5:$A$304,0)),"ID not found"))</f>
        <v/>
      </c>
      <c r="D273" s="85" t="str">
        <f aca="false">IF(B273="","",IFERROR(INDEX(Students!$E$5:$E$304,MATCH(B273,Students!$A$5:$A$304,0)),""))</f>
        <v/>
      </c>
      <c r="E273" s="85" t="str">
        <f aca="false">IF(B273="","",IFERROR(INDEX(Students!$F$5:$F$304,MATCH(B273,Students!$A$5:$A$304,0)),""))</f>
        <v/>
      </c>
      <c r="F273" s="52"/>
      <c r="G273" s="89"/>
    </row>
    <row r="274" customFormat="false" ht="19.5" hidden="false" customHeight="true" outlineLevel="0" collapsed="false">
      <c r="A274" s="91"/>
      <c r="B274" s="52"/>
      <c r="C274" s="89" t="str">
        <f aca="false">IF(B274="","",IFERROR(INDEX(Students!$B$5:$B$304,MATCH(B274,Students!$A$5:$A$304,0)),"ID not found"))</f>
        <v/>
      </c>
      <c r="D274" s="85" t="str">
        <f aca="false">IF(B274="","",IFERROR(INDEX(Students!$E$5:$E$304,MATCH(B274,Students!$A$5:$A$304,0)),""))</f>
        <v/>
      </c>
      <c r="E274" s="85" t="str">
        <f aca="false">IF(B274="","",IFERROR(INDEX(Students!$F$5:$F$304,MATCH(B274,Students!$A$5:$A$304,0)),""))</f>
        <v/>
      </c>
      <c r="F274" s="52"/>
      <c r="G274" s="89"/>
    </row>
    <row r="275" customFormat="false" ht="19.5" hidden="false" customHeight="true" outlineLevel="0" collapsed="false">
      <c r="A275" s="91"/>
      <c r="B275" s="52"/>
      <c r="C275" s="89" t="str">
        <f aca="false">IF(B275="","",IFERROR(INDEX(Students!$B$5:$B$304,MATCH(B275,Students!$A$5:$A$304,0)),"ID not found"))</f>
        <v/>
      </c>
      <c r="D275" s="85" t="str">
        <f aca="false">IF(B275="","",IFERROR(INDEX(Students!$E$5:$E$304,MATCH(B275,Students!$A$5:$A$304,0)),""))</f>
        <v/>
      </c>
      <c r="E275" s="85" t="str">
        <f aca="false">IF(B275="","",IFERROR(INDEX(Students!$F$5:$F$304,MATCH(B275,Students!$A$5:$A$304,0)),""))</f>
        <v/>
      </c>
      <c r="F275" s="52"/>
      <c r="G275" s="89"/>
    </row>
    <row r="276" customFormat="false" ht="19.5" hidden="false" customHeight="true" outlineLevel="0" collapsed="false">
      <c r="A276" s="91"/>
      <c r="B276" s="52"/>
      <c r="C276" s="89" t="str">
        <f aca="false">IF(B276="","",IFERROR(INDEX(Students!$B$5:$B$304,MATCH(B276,Students!$A$5:$A$304,0)),"ID not found"))</f>
        <v/>
      </c>
      <c r="D276" s="85" t="str">
        <f aca="false">IF(B276="","",IFERROR(INDEX(Students!$E$5:$E$304,MATCH(B276,Students!$A$5:$A$304,0)),""))</f>
        <v/>
      </c>
      <c r="E276" s="85" t="str">
        <f aca="false">IF(B276="","",IFERROR(INDEX(Students!$F$5:$F$304,MATCH(B276,Students!$A$5:$A$304,0)),""))</f>
        <v/>
      </c>
      <c r="F276" s="52"/>
      <c r="G276" s="89"/>
    </row>
    <row r="277" customFormat="false" ht="19.5" hidden="false" customHeight="true" outlineLevel="0" collapsed="false">
      <c r="A277" s="91"/>
      <c r="B277" s="52"/>
      <c r="C277" s="89" t="str">
        <f aca="false">IF(B277="","",IFERROR(INDEX(Students!$B$5:$B$304,MATCH(B277,Students!$A$5:$A$304,0)),"ID not found"))</f>
        <v/>
      </c>
      <c r="D277" s="85" t="str">
        <f aca="false">IF(B277="","",IFERROR(INDEX(Students!$E$5:$E$304,MATCH(B277,Students!$A$5:$A$304,0)),""))</f>
        <v/>
      </c>
      <c r="E277" s="85" t="str">
        <f aca="false">IF(B277="","",IFERROR(INDEX(Students!$F$5:$F$304,MATCH(B277,Students!$A$5:$A$304,0)),""))</f>
        <v/>
      </c>
      <c r="F277" s="52"/>
      <c r="G277" s="89"/>
    </row>
    <row r="278" customFormat="false" ht="19.5" hidden="false" customHeight="true" outlineLevel="0" collapsed="false">
      <c r="A278" s="91"/>
      <c r="B278" s="52"/>
      <c r="C278" s="89" t="str">
        <f aca="false">IF(B278="","",IFERROR(INDEX(Students!$B$5:$B$304,MATCH(B278,Students!$A$5:$A$304,0)),"ID not found"))</f>
        <v/>
      </c>
      <c r="D278" s="85" t="str">
        <f aca="false">IF(B278="","",IFERROR(INDEX(Students!$E$5:$E$304,MATCH(B278,Students!$A$5:$A$304,0)),""))</f>
        <v/>
      </c>
      <c r="E278" s="85" t="str">
        <f aca="false">IF(B278="","",IFERROR(INDEX(Students!$F$5:$F$304,MATCH(B278,Students!$A$5:$A$304,0)),""))</f>
        <v/>
      </c>
      <c r="F278" s="52"/>
      <c r="G278" s="89"/>
    </row>
    <row r="279" customFormat="false" ht="19.5" hidden="false" customHeight="true" outlineLevel="0" collapsed="false">
      <c r="A279" s="91"/>
      <c r="B279" s="52"/>
      <c r="C279" s="89" t="str">
        <f aca="false">IF(B279="","",IFERROR(INDEX(Students!$B$5:$B$304,MATCH(B279,Students!$A$5:$A$304,0)),"ID not found"))</f>
        <v/>
      </c>
      <c r="D279" s="85" t="str">
        <f aca="false">IF(B279="","",IFERROR(INDEX(Students!$E$5:$E$304,MATCH(B279,Students!$A$5:$A$304,0)),""))</f>
        <v/>
      </c>
      <c r="E279" s="85" t="str">
        <f aca="false">IF(B279="","",IFERROR(INDEX(Students!$F$5:$F$304,MATCH(B279,Students!$A$5:$A$304,0)),""))</f>
        <v/>
      </c>
      <c r="F279" s="52"/>
      <c r="G279" s="89"/>
    </row>
    <row r="280" customFormat="false" ht="19.5" hidden="false" customHeight="true" outlineLevel="0" collapsed="false">
      <c r="A280" s="91"/>
      <c r="B280" s="52"/>
      <c r="C280" s="89" t="str">
        <f aca="false">IF(B280="","",IFERROR(INDEX(Students!$B$5:$B$304,MATCH(B280,Students!$A$5:$A$304,0)),"ID not found"))</f>
        <v/>
      </c>
      <c r="D280" s="85" t="str">
        <f aca="false">IF(B280="","",IFERROR(INDEX(Students!$E$5:$E$304,MATCH(B280,Students!$A$5:$A$304,0)),""))</f>
        <v/>
      </c>
      <c r="E280" s="85" t="str">
        <f aca="false">IF(B280="","",IFERROR(INDEX(Students!$F$5:$F$304,MATCH(B280,Students!$A$5:$A$304,0)),""))</f>
        <v/>
      </c>
      <c r="F280" s="52"/>
      <c r="G280" s="89"/>
    </row>
    <row r="281" customFormat="false" ht="19.5" hidden="false" customHeight="true" outlineLevel="0" collapsed="false">
      <c r="A281" s="91"/>
      <c r="B281" s="52"/>
      <c r="C281" s="89" t="str">
        <f aca="false">IF(B281="","",IFERROR(INDEX(Students!$B$5:$B$304,MATCH(B281,Students!$A$5:$A$304,0)),"ID not found"))</f>
        <v/>
      </c>
      <c r="D281" s="85" t="str">
        <f aca="false">IF(B281="","",IFERROR(INDEX(Students!$E$5:$E$304,MATCH(B281,Students!$A$5:$A$304,0)),""))</f>
        <v/>
      </c>
      <c r="E281" s="85" t="str">
        <f aca="false">IF(B281="","",IFERROR(INDEX(Students!$F$5:$F$304,MATCH(B281,Students!$A$5:$A$304,0)),""))</f>
        <v/>
      </c>
      <c r="F281" s="52"/>
      <c r="G281" s="89"/>
    </row>
    <row r="282" customFormat="false" ht="19.5" hidden="false" customHeight="true" outlineLevel="0" collapsed="false">
      <c r="A282" s="91"/>
      <c r="B282" s="52"/>
      <c r="C282" s="89" t="str">
        <f aca="false">IF(B282="","",IFERROR(INDEX(Students!$B$5:$B$304,MATCH(B282,Students!$A$5:$A$304,0)),"ID not found"))</f>
        <v/>
      </c>
      <c r="D282" s="85" t="str">
        <f aca="false">IF(B282="","",IFERROR(INDEX(Students!$E$5:$E$304,MATCH(B282,Students!$A$5:$A$304,0)),""))</f>
        <v/>
      </c>
      <c r="E282" s="85" t="str">
        <f aca="false">IF(B282="","",IFERROR(INDEX(Students!$F$5:$F$304,MATCH(B282,Students!$A$5:$A$304,0)),""))</f>
        <v/>
      </c>
      <c r="F282" s="52"/>
      <c r="G282" s="89"/>
    </row>
    <row r="283" customFormat="false" ht="19.5" hidden="false" customHeight="true" outlineLevel="0" collapsed="false">
      <c r="A283" s="91"/>
      <c r="B283" s="52"/>
      <c r="C283" s="89" t="str">
        <f aca="false">IF(B283="","",IFERROR(INDEX(Students!$B$5:$B$304,MATCH(B283,Students!$A$5:$A$304,0)),"ID not found"))</f>
        <v/>
      </c>
      <c r="D283" s="85" t="str">
        <f aca="false">IF(B283="","",IFERROR(INDEX(Students!$E$5:$E$304,MATCH(B283,Students!$A$5:$A$304,0)),""))</f>
        <v/>
      </c>
      <c r="E283" s="85" t="str">
        <f aca="false">IF(B283="","",IFERROR(INDEX(Students!$F$5:$F$304,MATCH(B283,Students!$A$5:$A$304,0)),""))</f>
        <v/>
      </c>
      <c r="F283" s="52"/>
      <c r="G283" s="89"/>
    </row>
    <row r="284" customFormat="false" ht="19.5" hidden="false" customHeight="true" outlineLevel="0" collapsed="false">
      <c r="A284" s="91"/>
      <c r="B284" s="52"/>
      <c r="C284" s="89" t="str">
        <f aca="false">IF(B284="","",IFERROR(INDEX(Students!$B$5:$B$304,MATCH(B284,Students!$A$5:$A$304,0)),"ID not found"))</f>
        <v/>
      </c>
      <c r="D284" s="85" t="str">
        <f aca="false">IF(B284="","",IFERROR(INDEX(Students!$E$5:$E$304,MATCH(B284,Students!$A$5:$A$304,0)),""))</f>
        <v/>
      </c>
      <c r="E284" s="85" t="str">
        <f aca="false">IF(B284="","",IFERROR(INDEX(Students!$F$5:$F$304,MATCH(B284,Students!$A$5:$A$304,0)),""))</f>
        <v/>
      </c>
      <c r="F284" s="52"/>
      <c r="G284" s="89"/>
    </row>
    <row r="285" customFormat="false" ht="19.5" hidden="false" customHeight="true" outlineLevel="0" collapsed="false">
      <c r="A285" s="91"/>
      <c r="B285" s="52"/>
      <c r="C285" s="89" t="str">
        <f aca="false">IF(B285="","",IFERROR(INDEX(Students!$B$5:$B$304,MATCH(B285,Students!$A$5:$A$304,0)),"ID not found"))</f>
        <v/>
      </c>
      <c r="D285" s="85" t="str">
        <f aca="false">IF(B285="","",IFERROR(INDEX(Students!$E$5:$E$304,MATCH(B285,Students!$A$5:$A$304,0)),""))</f>
        <v/>
      </c>
      <c r="E285" s="85" t="str">
        <f aca="false">IF(B285="","",IFERROR(INDEX(Students!$F$5:$F$304,MATCH(B285,Students!$A$5:$A$304,0)),""))</f>
        <v/>
      </c>
      <c r="F285" s="52"/>
      <c r="G285" s="89"/>
    </row>
    <row r="286" customFormat="false" ht="19.5" hidden="false" customHeight="true" outlineLevel="0" collapsed="false">
      <c r="A286" s="91"/>
      <c r="B286" s="52"/>
      <c r="C286" s="89" t="str">
        <f aca="false">IF(B286="","",IFERROR(INDEX(Students!$B$5:$B$304,MATCH(B286,Students!$A$5:$A$304,0)),"ID not found"))</f>
        <v/>
      </c>
      <c r="D286" s="85" t="str">
        <f aca="false">IF(B286="","",IFERROR(INDEX(Students!$E$5:$E$304,MATCH(B286,Students!$A$5:$A$304,0)),""))</f>
        <v/>
      </c>
      <c r="E286" s="85" t="str">
        <f aca="false">IF(B286="","",IFERROR(INDEX(Students!$F$5:$F$304,MATCH(B286,Students!$A$5:$A$304,0)),""))</f>
        <v/>
      </c>
      <c r="F286" s="52"/>
      <c r="G286" s="89"/>
    </row>
    <row r="287" customFormat="false" ht="19.5" hidden="false" customHeight="true" outlineLevel="0" collapsed="false">
      <c r="A287" s="91"/>
      <c r="B287" s="52"/>
      <c r="C287" s="89" t="str">
        <f aca="false">IF(B287="","",IFERROR(INDEX(Students!$B$5:$B$304,MATCH(B287,Students!$A$5:$A$304,0)),"ID not found"))</f>
        <v/>
      </c>
      <c r="D287" s="85" t="str">
        <f aca="false">IF(B287="","",IFERROR(INDEX(Students!$E$5:$E$304,MATCH(B287,Students!$A$5:$A$304,0)),""))</f>
        <v/>
      </c>
      <c r="E287" s="85" t="str">
        <f aca="false">IF(B287="","",IFERROR(INDEX(Students!$F$5:$F$304,MATCH(B287,Students!$A$5:$A$304,0)),""))</f>
        <v/>
      </c>
      <c r="F287" s="52"/>
      <c r="G287" s="89"/>
    </row>
    <row r="288" customFormat="false" ht="19.5" hidden="false" customHeight="true" outlineLevel="0" collapsed="false">
      <c r="A288" s="91"/>
      <c r="B288" s="52"/>
      <c r="C288" s="89" t="str">
        <f aca="false">IF(B288="","",IFERROR(INDEX(Students!$B$5:$B$304,MATCH(B288,Students!$A$5:$A$304,0)),"ID not found"))</f>
        <v/>
      </c>
      <c r="D288" s="85" t="str">
        <f aca="false">IF(B288="","",IFERROR(INDEX(Students!$E$5:$E$304,MATCH(B288,Students!$A$5:$A$304,0)),""))</f>
        <v/>
      </c>
      <c r="E288" s="85" t="str">
        <f aca="false">IF(B288="","",IFERROR(INDEX(Students!$F$5:$F$304,MATCH(B288,Students!$A$5:$A$304,0)),""))</f>
        <v/>
      </c>
      <c r="F288" s="52"/>
      <c r="G288" s="89"/>
    </row>
    <row r="289" customFormat="false" ht="19.5" hidden="false" customHeight="true" outlineLevel="0" collapsed="false">
      <c r="A289" s="91"/>
      <c r="B289" s="52"/>
      <c r="C289" s="89" t="str">
        <f aca="false">IF(B289="","",IFERROR(INDEX(Students!$B$5:$B$304,MATCH(B289,Students!$A$5:$A$304,0)),"ID not found"))</f>
        <v/>
      </c>
      <c r="D289" s="85" t="str">
        <f aca="false">IF(B289="","",IFERROR(INDEX(Students!$E$5:$E$304,MATCH(B289,Students!$A$5:$A$304,0)),""))</f>
        <v/>
      </c>
      <c r="E289" s="85" t="str">
        <f aca="false">IF(B289="","",IFERROR(INDEX(Students!$F$5:$F$304,MATCH(B289,Students!$A$5:$A$304,0)),""))</f>
        <v/>
      </c>
      <c r="F289" s="52"/>
      <c r="G289" s="89"/>
    </row>
    <row r="290" customFormat="false" ht="19.5" hidden="false" customHeight="true" outlineLevel="0" collapsed="false">
      <c r="A290" s="91"/>
      <c r="B290" s="52"/>
      <c r="C290" s="89" t="str">
        <f aca="false">IF(B290="","",IFERROR(INDEX(Students!$B$5:$B$304,MATCH(B290,Students!$A$5:$A$304,0)),"ID not found"))</f>
        <v/>
      </c>
      <c r="D290" s="85" t="str">
        <f aca="false">IF(B290="","",IFERROR(INDEX(Students!$E$5:$E$304,MATCH(B290,Students!$A$5:$A$304,0)),""))</f>
        <v/>
      </c>
      <c r="E290" s="85" t="str">
        <f aca="false">IF(B290="","",IFERROR(INDEX(Students!$F$5:$F$304,MATCH(B290,Students!$A$5:$A$304,0)),""))</f>
        <v/>
      </c>
      <c r="F290" s="52"/>
      <c r="G290" s="89"/>
    </row>
    <row r="291" customFormat="false" ht="19.5" hidden="false" customHeight="true" outlineLevel="0" collapsed="false">
      <c r="A291" s="91"/>
      <c r="B291" s="52"/>
      <c r="C291" s="89" t="str">
        <f aca="false">IF(B291="","",IFERROR(INDEX(Students!$B$5:$B$304,MATCH(B291,Students!$A$5:$A$304,0)),"ID not found"))</f>
        <v/>
      </c>
      <c r="D291" s="85" t="str">
        <f aca="false">IF(B291="","",IFERROR(INDEX(Students!$E$5:$E$304,MATCH(B291,Students!$A$5:$A$304,0)),""))</f>
        <v/>
      </c>
      <c r="E291" s="85" t="str">
        <f aca="false">IF(B291="","",IFERROR(INDEX(Students!$F$5:$F$304,MATCH(B291,Students!$A$5:$A$304,0)),""))</f>
        <v/>
      </c>
      <c r="F291" s="52"/>
      <c r="G291" s="89"/>
    </row>
    <row r="292" customFormat="false" ht="19.5" hidden="false" customHeight="true" outlineLevel="0" collapsed="false">
      <c r="A292" s="91"/>
      <c r="B292" s="52"/>
      <c r="C292" s="89" t="str">
        <f aca="false">IF(B292="","",IFERROR(INDEX(Students!$B$5:$B$304,MATCH(B292,Students!$A$5:$A$304,0)),"ID not found"))</f>
        <v/>
      </c>
      <c r="D292" s="85" t="str">
        <f aca="false">IF(B292="","",IFERROR(INDEX(Students!$E$5:$E$304,MATCH(B292,Students!$A$5:$A$304,0)),""))</f>
        <v/>
      </c>
      <c r="E292" s="85" t="str">
        <f aca="false">IF(B292="","",IFERROR(INDEX(Students!$F$5:$F$304,MATCH(B292,Students!$A$5:$A$304,0)),""))</f>
        <v/>
      </c>
      <c r="F292" s="52"/>
      <c r="G292" s="89"/>
    </row>
    <row r="293" customFormat="false" ht="19.5" hidden="false" customHeight="true" outlineLevel="0" collapsed="false">
      <c r="A293" s="91"/>
      <c r="B293" s="52"/>
      <c r="C293" s="89" t="str">
        <f aca="false">IF(B293="","",IFERROR(INDEX(Students!$B$5:$B$304,MATCH(B293,Students!$A$5:$A$304,0)),"ID not found"))</f>
        <v/>
      </c>
      <c r="D293" s="85" t="str">
        <f aca="false">IF(B293="","",IFERROR(INDEX(Students!$E$5:$E$304,MATCH(B293,Students!$A$5:$A$304,0)),""))</f>
        <v/>
      </c>
      <c r="E293" s="85" t="str">
        <f aca="false">IF(B293="","",IFERROR(INDEX(Students!$F$5:$F$304,MATCH(B293,Students!$A$5:$A$304,0)),""))</f>
        <v/>
      </c>
      <c r="F293" s="52"/>
      <c r="G293" s="89"/>
    </row>
    <row r="294" customFormat="false" ht="19.5" hidden="false" customHeight="true" outlineLevel="0" collapsed="false">
      <c r="A294" s="91"/>
      <c r="B294" s="52"/>
      <c r="C294" s="89" t="str">
        <f aca="false">IF(B294="","",IFERROR(INDEX(Students!$B$5:$B$304,MATCH(B294,Students!$A$5:$A$304,0)),"ID not found"))</f>
        <v/>
      </c>
      <c r="D294" s="85" t="str">
        <f aca="false">IF(B294="","",IFERROR(INDEX(Students!$E$5:$E$304,MATCH(B294,Students!$A$5:$A$304,0)),""))</f>
        <v/>
      </c>
      <c r="E294" s="85" t="str">
        <f aca="false">IF(B294="","",IFERROR(INDEX(Students!$F$5:$F$304,MATCH(B294,Students!$A$5:$A$304,0)),""))</f>
        <v/>
      </c>
      <c r="F294" s="52"/>
      <c r="G294" s="89"/>
    </row>
    <row r="295" customFormat="false" ht="19.5" hidden="false" customHeight="true" outlineLevel="0" collapsed="false">
      <c r="A295" s="91"/>
      <c r="B295" s="52"/>
      <c r="C295" s="89" t="str">
        <f aca="false">IF(B295="","",IFERROR(INDEX(Students!$B$5:$B$304,MATCH(B295,Students!$A$5:$A$304,0)),"ID not found"))</f>
        <v/>
      </c>
      <c r="D295" s="85" t="str">
        <f aca="false">IF(B295="","",IFERROR(INDEX(Students!$E$5:$E$304,MATCH(B295,Students!$A$5:$A$304,0)),""))</f>
        <v/>
      </c>
      <c r="E295" s="85" t="str">
        <f aca="false">IF(B295="","",IFERROR(INDEX(Students!$F$5:$F$304,MATCH(B295,Students!$A$5:$A$304,0)),""))</f>
        <v/>
      </c>
      <c r="F295" s="52"/>
      <c r="G295" s="89"/>
    </row>
    <row r="296" customFormat="false" ht="19.5" hidden="false" customHeight="true" outlineLevel="0" collapsed="false">
      <c r="A296" s="91"/>
      <c r="B296" s="52"/>
      <c r="C296" s="89" t="str">
        <f aca="false">IF(B296="","",IFERROR(INDEX(Students!$B$5:$B$304,MATCH(B296,Students!$A$5:$A$304,0)),"ID not found"))</f>
        <v/>
      </c>
      <c r="D296" s="85" t="str">
        <f aca="false">IF(B296="","",IFERROR(INDEX(Students!$E$5:$E$304,MATCH(B296,Students!$A$5:$A$304,0)),""))</f>
        <v/>
      </c>
      <c r="E296" s="85" t="str">
        <f aca="false">IF(B296="","",IFERROR(INDEX(Students!$F$5:$F$304,MATCH(B296,Students!$A$5:$A$304,0)),""))</f>
        <v/>
      </c>
      <c r="F296" s="52"/>
      <c r="G296" s="89"/>
    </row>
    <row r="297" customFormat="false" ht="19.5" hidden="false" customHeight="true" outlineLevel="0" collapsed="false">
      <c r="A297" s="91"/>
      <c r="B297" s="52"/>
      <c r="C297" s="89" t="str">
        <f aca="false">IF(B297="","",IFERROR(INDEX(Students!$B$5:$B$304,MATCH(B297,Students!$A$5:$A$304,0)),"ID not found"))</f>
        <v/>
      </c>
      <c r="D297" s="85" t="str">
        <f aca="false">IF(B297="","",IFERROR(INDEX(Students!$E$5:$E$304,MATCH(B297,Students!$A$5:$A$304,0)),""))</f>
        <v/>
      </c>
      <c r="E297" s="85" t="str">
        <f aca="false">IF(B297="","",IFERROR(INDEX(Students!$F$5:$F$304,MATCH(B297,Students!$A$5:$A$304,0)),""))</f>
        <v/>
      </c>
      <c r="F297" s="52"/>
      <c r="G297" s="89"/>
    </row>
    <row r="298" customFormat="false" ht="19.5" hidden="false" customHeight="true" outlineLevel="0" collapsed="false">
      <c r="A298" s="91"/>
      <c r="B298" s="52"/>
      <c r="C298" s="89" t="str">
        <f aca="false">IF(B298="","",IFERROR(INDEX(Students!$B$5:$B$304,MATCH(B298,Students!$A$5:$A$304,0)),"ID not found"))</f>
        <v/>
      </c>
      <c r="D298" s="85" t="str">
        <f aca="false">IF(B298="","",IFERROR(INDEX(Students!$E$5:$E$304,MATCH(B298,Students!$A$5:$A$304,0)),""))</f>
        <v/>
      </c>
      <c r="E298" s="85" t="str">
        <f aca="false">IF(B298="","",IFERROR(INDEX(Students!$F$5:$F$304,MATCH(B298,Students!$A$5:$A$304,0)),""))</f>
        <v/>
      </c>
      <c r="F298" s="52"/>
      <c r="G298" s="89"/>
    </row>
    <row r="299" customFormat="false" ht="19.5" hidden="false" customHeight="true" outlineLevel="0" collapsed="false">
      <c r="A299" s="91"/>
      <c r="B299" s="52"/>
      <c r="C299" s="89" t="str">
        <f aca="false">IF(B299="","",IFERROR(INDEX(Students!$B$5:$B$304,MATCH(B299,Students!$A$5:$A$304,0)),"ID not found"))</f>
        <v/>
      </c>
      <c r="D299" s="85" t="str">
        <f aca="false">IF(B299="","",IFERROR(INDEX(Students!$E$5:$E$304,MATCH(B299,Students!$A$5:$A$304,0)),""))</f>
        <v/>
      </c>
      <c r="E299" s="85" t="str">
        <f aca="false">IF(B299="","",IFERROR(INDEX(Students!$F$5:$F$304,MATCH(B299,Students!$A$5:$A$304,0)),""))</f>
        <v/>
      </c>
      <c r="F299" s="52"/>
      <c r="G299" s="89"/>
    </row>
    <row r="300" customFormat="false" ht="19.5" hidden="false" customHeight="true" outlineLevel="0" collapsed="false">
      <c r="A300" s="91"/>
      <c r="B300" s="52"/>
      <c r="C300" s="89" t="str">
        <f aca="false">IF(B300="","",IFERROR(INDEX(Students!$B$5:$B$304,MATCH(B300,Students!$A$5:$A$304,0)),"ID not found"))</f>
        <v/>
      </c>
      <c r="D300" s="85" t="str">
        <f aca="false">IF(B300="","",IFERROR(INDEX(Students!$E$5:$E$304,MATCH(B300,Students!$A$5:$A$304,0)),""))</f>
        <v/>
      </c>
      <c r="E300" s="85" t="str">
        <f aca="false">IF(B300="","",IFERROR(INDEX(Students!$F$5:$F$304,MATCH(B300,Students!$A$5:$A$304,0)),""))</f>
        <v/>
      </c>
      <c r="F300" s="52"/>
      <c r="G300" s="89"/>
    </row>
    <row r="301" customFormat="false" ht="19.5" hidden="false" customHeight="true" outlineLevel="0" collapsed="false">
      <c r="A301" s="91"/>
      <c r="B301" s="52"/>
      <c r="C301" s="89" t="str">
        <f aca="false">IF(B301="","",IFERROR(INDEX(Students!$B$5:$B$304,MATCH(B301,Students!$A$5:$A$304,0)),"ID not found"))</f>
        <v/>
      </c>
      <c r="D301" s="85" t="str">
        <f aca="false">IF(B301="","",IFERROR(INDEX(Students!$E$5:$E$304,MATCH(B301,Students!$A$5:$A$304,0)),""))</f>
        <v/>
      </c>
      <c r="E301" s="85" t="str">
        <f aca="false">IF(B301="","",IFERROR(INDEX(Students!$F$5:$F$304,MATCH(B301,Students!$A$5:$A$304,0)),""))</f>
        <v/>
      </c>
      <c r="F301" s="52"/>
      <c r="G301" s="89"/>
    </row>
    <row r="302" customFormat="false" ht="19.5" hidden="false" customHeight="true" outlineLevel="0" collapsed="false">
      <c r="A302" s="91"/>
      <c r="B302" s="52"/>
      <c r="C302" s="89" t="str">
        <f aca="false">IF(B302="","",IFERROR(INDEX(Students!$B$5:$B$304,MATCH(B302,Students!$A$5:$A$304,0)),"ID not found"))</f>
        <v/>
      </c>
      <c r="D302" s="85" t="str">
        <f aca="false">IF(B302="","",IFERROR(INDEX(Students!$E$5:$E$304,MATCH(B302,Students!$A$5:$A$304,0)),""))</f>
        <v/>
      </c>
      <c r="E302" s="85" t="str">
        <f aca="false">IF(B302="","",IFERROR(INDEX(Students!$F$5:$F$304,MATCH(B302,Students!$A$5:$A$304,0)),""))</f>
        <v/>
      </c>
      <c r="F302" s="52"/>
      <c r="G302" s="89"/>
    </row>
    <row r="303" customFormat="false" ht="19.5" hidden="false" customHeight="true" outlineLevel="0" collapsed="false">
      <c r="A303" s="91"/>
      <c r="B303" s="52"/>
      <c r="C303" s="89" t="str">
        <f aca="false">IF(B303="","",IFERROR(INDEX(Students!$B$5:$B$304,MATCH(B303,Students!$A$5:$A$304,0)),"ID not found"))</f>
        <v/>
      </c>
      <c r="D303" s="85" t="str">
        <f aca="false">IF(B303="","",IFERROR(INDEX(Students!$E$5:$E$304,MATCH(B303,Students!$A$5:$A$304,0)),""))</f>
        <v/>
      </c>
      <c r="E303" s="85" t="str">
        <f aca="false">IF(B303="","",IFERROR(INDEX(Students!$F$5:$F$304,MATCH(B303,Students!$A$5:$A$304,0)),""))</f>
        <v/>
      </c>
      <c r="F303" s="52"/>
      <c r="G303" s="89"/>
    </row>
    <row r="304" customFormat="false" ht="19.5" hidden="false" customHeight="true" outlineLevel="0" collapsed="false">
      <c r="A304" s="91"/>
      <c r="B304" s="52"/>
      <c r="C304" s="89" t="str">
        <f aca="false">IF(B304="","",IFERROR(INDEX(Students!$B$5:$B$304,MATCH(B304,Students!$A$5:$A$304,0)),"ID not found"))</f>
        <v/>
      </c>
      <c r="D304" s="85" t="str">
        <f aca="false">IF(B304="","",IFERROR(INDEX(Students!$E$5:$E$304,MATCH(B304,Students!$A$5:$A$304,0)),""))</f>
        <v/>
      </c>
      <c r="E304" s="85" t="str">
        <f aca="false">IF(B304="","",IFERROR(INDEX(Students!$F$5:$F$304,MATCH(B304,Students!$A$5:$A$304,0)),""))</f>
        <v/>
      </c>
      <c r="F304" s="52"/>
      <c r="G304" s="89"/>
    </row>
  </sheetData>
  <mergeCells count="3">
    <mergeCell ref="A1:G1"/>
    <mergeCell ref="A2:G2"/>
    <mergeCell ref="A3:G3"/>
  </mergeCells>
  <conditionalFormatting sqref="A5:G304">
    <cfRule type="expression" priority="2" aboveAverage="0" equalAverage="0" bottom="0" percent="0" rank="0" text="" dxfId="0">
      <formula>AND(MOD(ROW(),2)=0,$A5&lt;&gt;"")</formula>
    </cfRule>
  </conditionalFormatting>
  <conditionalFormatting sqref="F5:F304">
    <cfRule type="expression" priority="3" aboveAverage="0" equalAverage="0" bottom="0" percent="0" rank="0" text="" dxfId="6">
      <formula>$F5="P"</formula>
    </cfRule>
    <cfRule type="expression" priority="4" aboveAverage="0" equalAverage="0" bottom="0" percent="0" rank="0" text="" dxfId="7">
      <formula>$F5="A"</formula>
    </cfRule>
    <cfRule type="expression" priority="5" aboveAverage="0" equalAverage="0" bottom="0" percent="0" rank="0" text="" dxfId="5">
      <formula>$F5="L"</formula>
    </cfRule>
  </conditionalFormatting>
  <dataValidations count="2">
    <dataValidation allowBlank="true" error="Pick a Student ID from the Students tab." errorStyle="stop" errorTitle="Invalid entry" operator="between" showDropDown="false" showErrorMessage="true" showInputMessage="false" sqref="B5:B304" type="list">
      <formula1>Students!$A$5:$A$304</formula1>
      <formula2>0</formula2>
    </dataValidation>
    <dataValidation allowBlank="true" error="Choose from the list." errorStyle="stop" errorTitle="Invalid entry" operator="between" showDropDown="false" showErrorMessage="true" showInputMessage="false" sqref="F5:F304" type="list">
      <formula1>"P,A,L"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9F3E"/>
    <pageSetUpPr fitToPage="true"/>
  </sheetPr>
  <dimension ref="A1:K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4" min="3" style="1" width="12"/>
    <col collapsed="false" customWidth="true" hidden="false" outlineLevel="0" max="5" min="5" style="1" width="26"/>
    <col collapsed="false" customWidth="true" hidden="false" outlineLevel="0" max="6" min="6" style="1" width="10"/>
    <col collapsed="false" customWidth="true" hidden="false" outlineLevel="0" max="9" min="7" style="1" width="13"/>
    <col collapsed="false" customWidth="true" hidden="false" outlineLevel="0" max="10" min="10" style="1" width="9"/>
    <col collapsed="false" customWidth="true" hidden="false" outlineLevel="0" max="11" min="11" style="1" width="14"/>
  </cols>
  <sheetData>
    <row r="1" customFormat="false" ht="42" hidden="false" customHeight="true" outlineLevel="0" collapsed="false">
      <c r="A1" s="2" t="s">
        <v>356</v>
      </c>
      <c r="B1" s="2"/>
      <c r="C1" s="2"/>
      <c r="D1" s="2"/>
      <c r="E1" s="2"/>
      <c r="F1" s="2"/>
      <c r="G1" s="2"/>
      <c r="H1" s="2"/>
      <c r="I1" s="2"/>
      <c r="J1" s="2"/>
      <c r="K1" s="2"/>
    </row>
    <row r="2" customFormat="false" ht="19.5" hidden="false" customHeight="true" outlineLevel="0" collapsed="false">
      <c r="A2" s="3" t="s">
        <v>357</v>
      </c>
      <c r="B2" s="3"/>
      <c r="C2" s="3"/>
      <c r="D2" s="3"/>
      <c r="E2" s="3"/>
      <c r="F2" s="3"/>
      <c r="G2" s="3"/>
      <c r="H2" s="3"/>
      <c r="I2" s="3"/>
      <c r="J2" s="3"/>
      <c r="K2" s="3"/>
    </row>
    <row r="3" customFormat="false" ht="3.75" hidden="false" customHeight="true" outlineLevel="0" collapsed="false">
      <c r="A3" s="4"/>
      <c r="B3" s="4"/>
      <c r="C3" s="4"/>
      <c r="D3" s="4"/>
      <c r="E3" s="4"/>
      <c r="F3" s="4"/>
      <c r="G3" s="4"/>
      <c r="H3" s="4"/>
      <c r="I3" s="4"/>
      <c r="J3" s="4"/>
      <c r="K3" s="4"/>
    </row>
    <row r="4" customFormat="false" ht="33.75" hidden="false" customHeight="true" outlineLevel="0" collapsed="false">
      <c r="A4" s="15" t="s">
        <v>150</v>
      </c>
      <c r="B4" s="15" t="s">
        <v>151</v>
      </c>
      <c r="C4" s="15" t="s">
        <v>99</v>
      </c>
      <c r="D4" s="15" t="s">
        <v>340</v>
      </c>
      <c r="E4" s="15" t="s">
        <v>132</v>
      </c>
      <c r="F4" s="15" t="s">
        <v>278</v>
      </c>
      <c r="G4" s="15" t="s">
        <v>358</v>
      </c>
      <c r="H4" s="15" t="s">
        <v>359</v>
      </c>
      <c r="I4" s="15" t="s">
        <v>360</v>
      </c>
      <c r="J4" s="15" t="s">
        <v>133</v>
      </c>
      <c r="K4" s="15" t="s">
        <v>134</v>
      </c>
    </row>
    <row r="5" customFormat="false" ht="19.5" hidden="false" customHeight="true" outlineLevel="0" collapsed="false">
      <c r="A5" s="87" t="s">
        <v>114</v>
      </c>
      <c r="B5" s="88" t="str">
        <f aca="false">IF(A5="","",IFERROR(INDEX(Students!$B$5:$B$304,MATCH(A5,Students!$A$5:$A$304,0)),"ID not found"))</f>
        <v>Aminata Conteh</v>
      </c>
      <c r="C5" s="83" t="str">
        <f aca="false">IF(A5="","",IFERROR(INDEX(Students!$E$5:$E$304,MATCH(A5,Students!$A$5:$A$304,0)),""))</f>
        <v>SCH01</v>
      </c>
      <c r="D5" s="83" t="str">
        <f aca="false">IF(A5="","",IFERROR(INDEX(Students!$F$5:$F$304,MATCH(A5,Students!$A$5:$A$304,0)),""))</f>
        <v>Class 4</v>
      </c>
      <c r="E5" s="84" t="s">
        <v>181</v>
      </c>
      <c r="F5" s="87" t="s">
        <v>130</v>
      </c>
      <c r="G5" s="87" t="n">
        <v>70</v>
      </c>
      <c r="H5" s="87" t="n">
        <v>81</v>
      </c>
      <c r="I5" s="92" t="n">
        <f aca="false">IF(COUNT(G5:H5)=0,"",IF(COUNT(G5:H5)=1,SUM(G5:H5),ROUND(G5*Settings!$B$8+H5*(1-Settings!$B$8),1)))</f>
        <v>77.7</v>
      </c>
      <c r="J5" s="83" t="str">
        <f aca="false">IF(I5="","",IF(I5&gt;=Settings!$E$11,Settings!$F$11,IF(I5&gt;=Settings!$E$12,Settings!$F$12,IF(I5&gt;=Settings!$E$13,Settings!$F$13,IF(I5&gt;=Settings!$E$14,Settings!$F$14,Settings!$F$15)))))</f>
        <v>B</v>
      </c>
      <c r="K5" s="83" t="str">
        <f aca="false">IF(I5="","",IF(I5&gt;=Settings!$E$11,Settings!$G$11,IF(I5&gt;=Settings!$E$12,Settings!$G$12,IF(I5&gt;=Settings!$E$13,Settings!$G$13,IF(I5&gt;=Settings!$E$14,Settings!$G$14,Settings!$G$15)))))</f>
        <v>Very Good</v>
      </c>
    </row>
    <row r="6" customFormat="false" ht="19.5" hidden="false" customHeight="true" outlineLevel="0" collapsed="false">
      <c r="A6" s="52"/>
      <c r="B6" s="89" t="str">
        <f aca="false">IF(A6="","",IFERROR(INDEX(Students!$B$5:$B$304,MATCH(A6,Students!$A$5:$A$304,0)),"ID not found"))</f>
        <v/>
      </c>
      <c r="C6" s="85" t="str">
        <f aca="false">IF(A6="","",IFERROR(INDEX(Students!$E$5:$E$304,MATCH(A6,Students!$A$5:$A$304,0)),""))</f>
        <v/>
      </c>
      <c r="D6" s="85" t="str">
        <f aca="false">IF(A6="","",IFERROR(INDEX(Students!$F$5:$F$304,MATCH(A6,Students!$A$5:$A$304,0)),""))</f>
        <v/>
      </c>
      <c r="E6" s="86"/>
      <c r="F6" s="52"/>
      <c r="G6" s="52"/>
      <c r="H6" s="52"/>
      <c r="I6" s="93" t="str">
        <f aca="false">IF(COUNT(G6:H6)=0,"",IF(COUNT(G6:H6)=1,SUM(G6:H6),ROUND(G6*Settings!$B$8+H6*(1-Settings!$B$8),1)))</f>
        <v/>
      </c>
      <c r="J6" s="85" t="str">
        <f aca="false">IF(I6="","",IF(I6&gt;=Settings!$E$11,Settings!$F$11,IF(I6&gt;=Settings!$E$12,Settings!$F$12,IF(I6&gt;=Settings!$E$13,Settings!$F$13,IF(I6&gt;=Settings!$E$14,Settings!$F$14,Settings!$F$15)))))</f>
        <v/>
      </c>
      <c r="K6" s="85" t="str">
        <f aca="false">IF(I6="","",IF(I6&gt;=Settings!$E$11,Settings!$G$11,IF(I6&gt;=Settings!$E$12,Settings!$G$12,IF(I6&gt;=Settings!$E$13,Settings!$G$13,IF(I6&gt;=Settings!$E$14,Settings!$G$14,Settings!$G$15)))))</f>
        <v/>
      </c>
    </row>
    <row r="7" customFormat="false" ht="19.5" hidden="false" customHeight="true" outlineLevel="0" collapsed="false">
      <c r="A7" s="52"/>
      <c r="B7" s="89" t="str">
        <f aca="false">IF(A7="","",IFERROR(INDEX(Students!$B$5:$B$304,MATCH(A7,Students!$A$5:$A$304,0)),"ID not found"))</f>
        <v/>
      </c>
      <c r="C7" s="85" t="str">
        <f aca="false">IF(A7="","",IFERROR(INDEX(Students!$E$5:$E$304,MATCH(A7,Students!$A$5:$A$304,0)),""))</f>
        <v/>
      </c>
      <c r="D7" s="85" t="str">
        <f aca="false">IF(A7="","",IFERROR(INDEX(Students!$F$5:$F$304,MATCH(A7,Students!$A$5:$A$304,0)),""))</f>
        <v/>
      </c>
      <c r="E7" s="86"/>
      <c r="F7" s="52"/>
      <c r="G7" s="52"/>
      <c r="H7" s="52"/>
      <c r="I7" s="93" t="str">
        <f aca="false">IF(COUNT(G7:H7)=0,"",IF(COUNT(G7:H7)=1,SUM(G7:H7),ROUND(G7*Settings!$B$8+H7*(1-Settings!$B$8),1)))</f>
        <v/>
      </c>
      <c r="J7" s="85" t="str">
        <f aca="false">IF(I7="","",IF(I7&gt;=Settings!$E$11,Settings!$F$11,IF(I7&gt;=Settings!$E$12,Settings!$F$12,IF(I7&gt;=Settings!$E$13,Settings!$F$13,IF(I7&gt;=Settings!$E$14,Settings!$F$14,Settings!$F$15)))))</f>
        <v/>
      </c>
      <c r="K7" s="85" t="str">
        <f aca="false">IF(I7="","",IF(I7&gt;=Settings!$E$11,Settings!$G$11,IF(I7&gt;=Settings!$E$12,Settings!$G$12,IF(I7&gt;=Settings!$E$13,Settings!$G$13,IF(I7&gt;=Settings!$E$14,Settings!$G$14,Settings!$G$15)))))</f>
        <v/>
      </c>
    </row>
    <row r="8" customFormat="false" ht="19.5" hidden="false" customHeight="true" outlineLevel="0" collapsed="false">
      <c r="A8" s="52"/>
      <c r="B8" s="89" t="str">
        <f aca="false">IF(A8="","",IFERROR(INDEX(Students!$B$5:$B$304,MATCH(A8,Students!$A$5:$A$304,0)),"ID not found"))</f>
        <v/>
      </c>
      <c r="C8" s="85" t="str">
        <f aca="false">IF(A8="","",IFERROR(INDEX(Students!$E$5:$E$304,MATCH(A8,Students!$A$5:$A$304,0)),""))</f>
        <v/>
      </c>
      <c r="D8" s="85" t="str">
        <f aca="false">IF(A8="","",IFERROR(INDEX(Students!$F$5:$F$304,MATCH(A8,Students!$A$5:$A$304,0)),""))</f>
        <v/>
      </c>
      <c r="E8" s="86"/>
      <c r="F8" s="52"/>
      <c r="G8" s="52"/>
      <c r="H8" s="52"/>
      <c r="I8" s="93" t="str">
        <f aca="false">IF(COUNT(G8:H8)=0,"",IF(COUNT(G8:H8)=1,SUM(G8:H8),ROUND(G8*Settings!$B$8+H8*(1-Settings!$B$8),1)))</f>
        <v/>
      </c>
      <c r="J8" s="85" t="str">
        <f aca="false">IF(I8="","",IF(I8&gt;=Settings!$E$11,Settings!$F$11,IF(I8&gt;=Settings!$E$12,Settings!$F$12,IF(I8&gt;=Settings!$E$13,Settings!$F$13,IF(I8&gt;=Settings!$E$14,Settings!$F$14,Settings!$F$15)))))</f>
        <v/>
      </c>
      <c r="K8" s="85" t="str">
        <f aca="false">IF(I8="","",IF(I8&gt;=Settings!$E$11,Settings!$G$11,IF(I8&gt;=Settings!$E$12,Settings!$G$12,IF(I8&gt;=Settings!$E$13,Settings!$G$13,IF(I8&gt;=Settings!$E$14,Settings!$G$14,Settings!$G$15)))))</f>
        <v/>
      </c>
    </row>
    <row r="9" customFormat="false" ht="19.5" hidden="false" customHeight="true" outlineLevel="0" collapsed="false">
      <c r="A9" s="52"/>
      <c r="B9" s="89" t="str">
        <f aca="false">IF(A9="","",IFERROR(INDEX(Students!$B$5:$B$304,MATCH(A9,Students!$A$5:$A$304,0)),"ID not found"))</f>
        <v/>
      </c>
      <c r="C9" s="85" t="str">
        <f aca="false">IF(A9="","",IFERROR(INDEX(Students!$E$5:$E$304,MATCH(A9,Students!$A$5:$A$304,0)),""))</f>
        <v/>
      </c>
      <c r="D9" s="85" t="str">
        <f aca="false">IF(A9="","",IFERROR(INDEX(Students!$F$5:$F$304,MATCH(A9,Students!$A$5:$A$304,0)),""))</f>
        <v/>
      </c>
      <c r="E9" s="86"/>
      <c r="F9" s="52"/>
      <c r="G9" s="52"/>
      <c r="H9" s="52"/>
      <c r="I9" s="93" t="str">
        <f aca="false">IF(COUNT(G9:H9)=0,"",IF(COUNT(G9:H9)=1,SUM(G9:H9),ROUND(G9*Settings!$B$8+H9*(1-Settings!$B$8),1)))</f>
        <v/>
      </c>
      <c r="J9" s="85" t="str">
        <f aca="false">IF(I9="","",IF(I9&gt;=Settings!$E$11,Settings!$F$11,IF(I9&gt;=Settings!$E$12,Settings!$F$12,IF(I9&gt;=Settings!$E$13,Settings!$F$13,IF(I9&gt;=Settings!$E$14,Settings!$F$14,Settings!$F$15)))))</f>
        <v/>
      </c>
      <c r="K9" s="85" t="str">
        <f aca="false">IF(I9="","",IF(I9&gt;=Settings!$E$11,Settings!$G$11,IF(I9&gt;=Settings!$E$12,Settings!$G$12,IF(I9&gt;=Settings!$E$13,Settings!$G$13,IF(I9&gt;=Settings!$E$14,Settings!$G$14,Settings!$G$15)))))</f>
        <v/>
      </c>
    </row>
    <row r="10" customFormat="false" ht="19.5" hidden="false" customHeight="true" outlineLevel="0" collapsed="false">
      <c r="A10" s="52"/>
      <c r="B10" s="89" t="str">
        <f aca="false">IF(A10="","",IFERROR(INDEX(Students!$B$5:$B$304,MATCH(A10,Students!$A$5:$A$304,0)),"ID not found"))</f>
        <v/>
      </c>
      <c r="C10" s="85" t="str">
        <f aca="false">IF(A10="","",IFERROR(INDEX(Students!$E$5:$E$304,MATCH(A10,Students!$A$5:$A$304,0)),""))</f>
        <v/>
      </c>
      <c r="D10" s="85" t="str">
        <f aca="false">IF(A10="","",IFERROR(INDEX(Students!$F$5:$F$304,MATCH(A10,Students!$A$5:$A$304,0)),""))</f>
        <v/>
      </c>
      <c r="E10" s="86"/>
      <c r="F10" s="52"/>
      <c r="G10" s="52"/>
      <c r="H10" s="52"/>
      <c r="I10" s="93" t="str">
        <f aca="false">IF(COUNT(G10:H10)=0,"",IF(COUNT(G10:H10)=1,SUM(G10:H10),ROUND(G10*Settings!$B$8+H10*(1-Settings!$B$8),1)))</f>
        <v/>
      </c>
      <c r="J10" s="85" t="str">
        <f aca="false">IF(I10="","",IF(I10&gt;=Settings!$E$11,Settings!$F$11,IF(I10&gt;=Settings!$E$12,Settings!$F$12,IF(I10&gt;=Settings!$E$13,Settings!$F$13,IF(I10&gt;=Settings!$E$14,Settings!$F$14,Settings!$F$15)))))</f>
        <v/>
      </c>
      <c r="K10" s="85" t="str">
        <f aca="false">IF(I10="","",IF(I10&gt;=Settings!$E$11,Settings!$G$11,IF(I10&gt;=Settings!$E$12,Settings!$G$12,IF(I10&gt;=Settings!$E$13,Settings!$G$13,IF(I10&gt;=Settings!$E$14,Settings!$G$14,Settings!$G$15)))))</f>
        <v/>
      </c>
    </row>
    <row r="11" customFormat="false" ht="19.5" hidden="false" customHeight="true" outlineLevel="0" collapsed="false">
      <c r="A11" s="52"/>
      <c r="B11" s="89" t="str">
        <f aca="false">IF(A11="","",IFERROR(INDEX(Students!$B$5:$B$304,MATCH(A11,Students!$A$5:$A$304,0)),"ID not found"))</f>
        <v/>
      </c>
      <c r="C11" s="85" t="str">
        <f aca="false">IF(A11="","",IFERROR(INDEX(Students!$E$5:$E$304,MATCH(A11,Students!$A$5:$A$304,0)),""))</f>
        <v/>
      </c>
      <c r="D11" s="85" t="str">
        <f aca="false">IF(A11="","",IFERROR(INDEX(Students!$F$5:$F$304,MATCH(A11,Students!$A$5:$A$304,0)),""))</f>
        <v/>
      </c>
      <c r="E11" s="86"/>
      <c r="F11" s="52"/>
      <c r="G11" s="52"/>
      <c r="H11" s="52"/>
      <c r="I11" s="93" t="str">
        <f aca="false">IF(COUNT(G11:H11)=0,"",IF(COUNT(G11:H11)=1,SUM(G11:H11),ROUND(G11*Settings!$B$8+H11*(1-Settings!$B$8),1)))</f>
        <v/>
      </c>
      <c r="J11" s="85" t="str">
        <f aca="false">IF(I11="","",IF(I11&gt;=Settings!$E$11,Settings!$F$11,IF(I11&gt;=Settings!$E$12,Settings!$F$12,IF(I11&gt;=Settings!$E$13,Settings!$F$13,IF(I11&gt;=Settings!$E$14,Settings!$F$14,Settings!$F$15)))))</f>
        <v/>
      </c>
      <c r="K11" s="85" t="str">
        <f aca="false">IF(I11="","",IF(I11&gt;=Settings!$E$11,Settings!$G$11,IF(I11&gt;=Settings!$E$12,Settings!$G$12,IF(I11&gt;=Settings!$E$13,Settings!$G$13,IF(I11&gt;=Settings!$E$14,Settings!$G$14,Settings!$G$15)))))</f>
        <v/>
      </c>
    </row>
    <row r="12" customFormat="false" ht="19.5" hidden="false" customHeight="true" outlineLevel="0" collapsed="false">
      <c r="A12" s="52"/>
      <c r="B12" s="89" t="str">
        <f aca="false">IF(A12="","",IFERROR(INDEX(Students!$B$5:$B$304,MATCH(A12,Students!$A$5:$A$304,0)),"ID not found"))</f>
        <v/>
      </c>
      <c r="C12" s="85" t="str">
        <f aca="false">IF(A12="","",IFERROR(INDEX(Students!$E$5:$E$304,MATCH(A12,Students!$A$5:$A$304,0)),""))</f>
        <v/>
      </c>
      <c r="D12" s="85" t="str">
        <f aca="false">IF(A12="","",IFERROR(INDEX(Students!$F$5:$F$304,MATCH(A12,Students!$A$5:$A$304,0)),""))</f>
        <v/>
      </c>
      <c r="E12" s="86"/>
      <c r="F12" s="52"/>
      <c r="G12" s="52"/>
      <c r="H12" s="52"/>
      <c r="I12" s="93" t="str">
        <f aca="false">IF(COUNT(G12:H12)=0,"",IF(COUNT(G12:H12)=1,SUM(G12:H12),ROUND(G12*Settings!$B$8+H12*(1-Settings!$B$8),1)))</f>
        <v/>
      </c>
      <c r="J12" s="85" t="str">
        <f aca="false">IF(I12="","",IF(I12&gt;=Settings!$E$11,Settings!$F$11,IF(I12&gt;=Settings!$E$12,Settings!$F$12,IF(I12&gt;=Settings!$E$13,Settings!$F$13,IF(I12&gt;=Settings!$E$14,Settings!$F$14,Settings!$F$15)))))</f>
        <v/>
      </c>
      <c r="K12" s="85" t="str">
        <f aca="false">IF(I12="","",IF(I12&gt;=Settings!$E$11,Settings!$G$11,IF(I12&gt;=Settings!$E$12,Settings!$G$12,IF(I12&gt;=Settings!$E$13,Settings!$G$13,IF(I12&gt;=Settings!$E$14,Settings!$G$14,Settings!$G$15)))))</f>
        <v/>
      </c>
    </row>
    <row r="13" customFormat="false" ht="19.5" hidden="false" customHeight="true" outlineLevel="0" collapsed="false">
      <c r="A13" s="52"/>
      <c r="B13" s="89" t="str">
        <f aca="false">IF(A13="","",IFERROR(INDEX(Students!$B$5:$B$304,MATCH(A13,Students!$A$5:$A$304,0)),"ID not found"))</f>
        <v/>
      </c>
      <c r="C13" s="85" t="str">
        <f aca="false">IF(A13="","",IFERROR(INDEX(Students!$E$5:$E$304,MATCH(A13,Students!$A$5:$A$304,0)),""))</f>
        <v/>
      </c>
      <c r="D13" s="85" t="str">
        <f aca="false">IF(A13="","",IFERROR(INDEX(Students!$F$5:$F$304,MATCH(A13,Students!$A$5:$A$304,0)),""))</f>
        <v/>
      </c>
      <c r="E13" s="86"/>
      <c r="F13" s="52"/>
      <c r="G13" s="52"/>
      <c r="H13" s="52"/>
      <c r="I13" s="93" t="str">
        <f aca="false">IF(COUNT(G13:H13)=0,"",IF(COUNT(G13:H13)=1,SUM(G13:H13),ROUND(G13*Settings!$B$8+H13*(1-Settings!$B$8),1)))</f>
        <v/>
      </c>
      <c r="J13" s="85" t="str">
        <f aca="false">IF(I13="","",IF(I13&gt;=Settings!$E$11,Settings!$F$11,IF(I13&gt;=Settings!$E$12,Settings!$F$12,IF(I13&gt;=Settings!$E$13,Settings!$F$13,IF(I13&gt;=Settings!$E$14,Settings!$F$14,Settings!$F$15)))))</f>
        <v/>
      </c>
      <c r="K13" s="85" t="str">
        <f aca="false">IF(I13="","",IF(I13&gt;=Settings!$E$11,Settings!$G$11,IF(I13&gt;=Settings!$E$12,Settings!$G$12,IF(I13&gt;=Settings!$E$13,Settings!$G$13,IF(I13&gt;=Settings!$E$14,Settings!$G$14,Settings!$G$15)))))</f>
        <v/>
      </c>
    </row>
    <row r="14" customFormat="false" ht="19.5" hidden="false" customHeight="true" outlineLevel="0" collapsed="false">
      <c r="A14" s="52"/>
      <c r="B14" s="89" t="str">
        <f aca="false">IF(A14="","",IFERROR(INDEX(Students!$B$5:$B$304,MATCH(A14,Students!$A$5:$A$304,0)),"ID not found"))</f>
        <v/>
      </c>
      <c r="C14" s="85" t="str">
        <f aca="false">IF(A14="","",IFERROR(INDEX(Students!$E$5:$E$304,MATCH(A14,Students!$A$5:$A$304,0)),""))</f>
        <v/>
      </c>
      <c r="D14" s="85" t="str">
        <f aca="false">IF(A14="","",IFERROR(INDEX(Students!$F$5:$F$304,MATCH(A14,Students!$A$5:$A$304,0)),""))</f>
        <v/>
      </c>
      <c r="E14" s="86"/>
      <c r="F14" s="52"/>
      <c r="G14" s="52"/>
      <c r="H14" s="52"/>
      <c r="I14" s="93" t="str">
        <f aca="false">IF(COUNT(G14:H14)=0,"",IF(COUNT(G14:H14)=1,SUM(G14:H14),ROUND(G14*Settings!$B$8+H14*(1-Settings!$B$8),1)))</f>
        <v/>
      </c>
      <c r="J14" s="85" t="str">
        <f aca="false">IF(I14="","",IF(I14&gt;=Settings!$E$11,Settings!$F$11,IF(I14&gt;=Settings!$E$12,Settings!$F$12,IF(I14&gt;=Settings!$E$13,Settings!$F$13,IF(I14&gt;=Settings!$E$14,Settings!$F$14,Settings!$F$15)))))</f>
        <v/>
      </c>
      <c r="K14" s="85" t="str">
        <f aca="false">IF(I14="","",IF(I14&gt;=Settings!$E$11,Settings!$G$11,IF(I14&gt;=Settings!$E$12,Settings!$G$12,IF(I14&gt;=Settings!$E$13,Settings!$G$13,IF(I14&gt;=Settings!$E$14,Settings!$G$14,Settings!$G$15)))))</f>
        <v/>
      </c>
    </row>
    <row r="15" customFormat="false" ht="19.5" hidden="false" customHeight="true" outlineLevel="0" collapsed="false">
      <c r="A15" s="52"/>
      <c r="B15" s="89" t="str">
        <f aca="false">IF(A15="","",IFERROR(INDEX(Students!$B$5:$B$304,MATCH(A15,Students!$A$5:$A$304,0)),"ID not found"))</f>
        <v/>
      </c>
      <c r="C15" s="85" t="str">
        <f aca="false">IF(A15="","",IFERROR(INDEX(Students!$E$5:$E$304,MATCH(A15,Students!$A$5:$A$304,0)),""))</f>
        <v/>
      </c>
      <c r="D15" s="85" t="str">
        <f aca="false">IF(A15="","",IFERROR(INDEX(Students!$F$5:$F$304,MATCH(A15,Students!$A$5:$A$304,0)),""))</f>
        <v/>
      </c>
      <c r="E15" s="86"/>
      <c r="F15" s="52"/>
      <c r="G15" s="52"/>
      <c r="H15" s="52"/>
      <c r="I15" s="93" t="str">
        <f aca="false">IF(COUNT(G15:H15)=0,"",IF(COUNT(G15:H15)=1,SUM(G15:H15),ROUND(G15*Settings!$B$8+H15*(1-Settings!$B$8),1)))</f>
        <v/>
      </c>
      <c r="J15" s="85" t="str">
        <f aca="false">IF(I15="","",IF(I15&gt;=Settings!$E$11,Settings!$F$11,IF(I15&gt;=Settings!$E$12,Settings!$F$12,IF(I15&gt;=Settings!$E$13,Settings!$F$13,IF(I15&gt;=Settings!$E$14,Settings!$F$14,Settings!$F$15)))))</f>
        <v/>
      </c>
      <c r="K15" s="85" t="str">
        <f aca="false">IF(I15="","",IF(I15&gt;=Settings!$E$11,Settings!$G$11,IF(I15&gt;=Settings!$E$12,Settings!$G$12,IF(I15&gt;=Settings!$E$13,Settings!$G$13,IF(I15&gt;=Settings!$E$14,Settings!$G$14,Settings!$G$15)))))</f>
        <v/>
      </c>
    </row>
    <row r="16" customFormat="false" ht="19.5" hidden="false" customHeight="true" outlineLevel="0" collapsed="false">
      <c r="A16" s="52"/>
      <c r="B16" s="89" t="str">
        <f aca="false">IF(A16="","",IFERROR(INDEX(Students!$B$5:$B$304,MATCH(A16,Students!$A$5:$A$304,0)),"ID not found"))</f>
        <v/>
      </c>
      <c r="C16" s="85" t="str">
        <f aca="false">IF(A16="","",IFERROR(INDEX(Students!$E$5:$E$304,MATCH(A16,Students!$A$5:$A$304,0)),""))</f>
        <v/>
      </c>
      <c r="D16" s="85" t="str">
        <f aca="false">IF(A16="","",IFERROR(INDEX(Students!$F$5:$F$304,MATCH(A16,Students!$A$5:$A$304,0)),""))</f>
        <v/>
      </c>
      <c r="E16" s="86"/>
      <c r="F16" s="52"/>
      <c r="G16" s="52"/>
      <c r="H16" s="52"/>
      <c r="I16" s="93" t="str">
        <f aca="false">IF(COUNT(G16:H16)=0,"",IF(COUNT(G16:H16)=1,SUM(G16:H16),ROUND(G16*Settings!$B$8+H16*(1-Settings!$B$8),1)))</f>
        <v/>
      </c>
      <c r="J16" s="85" t="str">
        <f aca="false">IF(I16="","",IF(I16&gt;=Settings!$E$11,Settings!$F$11,IF(I16&gt;=Settings!$E$12,Settings!$F$12,IF(I16&gt;=Settings!$E$13,Settings!$F$13,IF(I16&gt;=Settings!$E$14,Settings!$F$14,Settings!$F$15)))))</f>
        <v/>
      </c>
      <c r="K16" s="85" t="str">
        <f aca="false">IF(I16="","",IF(I16&gt;=Settings!$E$11,Settings!$G$11,IF(I16&gt;=Settings!$E$12,Settings!$G$12,IF(I16&gt;=Settings!$E$13,Settings!$G$13,IF(I16&gt;=Settings!$E$14,Settings!$G$14,Settings!$G$15)))))</f>
        <v/>
      </c>
    </row>
    <row r="17" customFormat="false" ht="19.5" hidden="false" customHeight="true" outlineLevel="0" collapsed="false">
      <c r="A17" s="52"/>
      <c r="B17" s="89" t="str">
        <f aca="false">IF(A17="","",IFERROR(INDEX(Students!$B$5:$B$304,MATCH(A17,Students!$A$5:$A$304,0)),"ID not found"))</f>
        <v/>
      </c>
      <c r="C17" s="85" t="str">
        <f aca="false">IF(A17="","",IFERROR(INDEX(Students!$E$5:$E$304,MATCH(A17,Students!$A$5:$A$304,0)),""))</f>
        <v/>
      </c>
      <c r="D17" s="85" t="str">
        <f aca="false">IF(A17="","",IFERROR(INDEX(Students!$F$5:$F$304,MATCH(A17,Students!$A$5:$A$304,0)),""))</f>
        <v/>
      </c>
      <c r="E17" s="86"/>
      <c r="F17" s="52"/>
      <c r="G17" s="52"/>
      <c r="H17" s="52"/>
      <c r="I17" s="93" t="str">
        <f aca="false">IF(COUNT(G17:H17)=0,"",IF(COUNT(G17:H17)=1,SUM(G17:H17),ROUND(G17*Settings!$B$8+H17*(1-Settings!$B$8),1)))</f>
        <v/>
      </c>
      <c r="J17" s="85" t="str">
        <f aca="false">IF(I17="","",IF(I17&gt;=Settings!$E$11,Settings!$F$11,IF(I17&gt;=Settings!$E$12,Settings!$F$12,IF(I17&gt;=Settings!$E$13,Settings!$F$13,IF(I17&gt;=Settings!$E$14,Settings!$F$14,Settings!$F$15)))))</f>
        <v/>
      </c>
      <c r="K17" s="85" t="str">
        <f aca="false">IF(I17="","",IF(I17&gt;=Settings!$E$11,Settings!$G$11,IF(I17&gt;=Settings!$E$12,Settings!$G$12,IF(I17&gt;=Settings!$E$13,Settings!$G$13,IF(I17&gt;=Settings!$E$14,Settings!$G$14,Settings!$G$15)))))</f>
        <v/>
      </c>
    </row>
    <row r="18" customFormat="false" ht="19.5" hidden="false" customHeight="true" outlineLevel="0" collapsed="false">
      <c r="A18" s="52"/>
      <c r="B18" s="89" t="str">
        <f aca="false">IF(A18="","",IFERROR(INDEX(Students!$B$5:$B$304,MATCH(A18,Students!$A$5:$A$304,0)),"ID not found"))</f>
        <v/>
      </c>
      <c r="C18" s="85" t="str">
        <f aca="false">IF(A18="","",IFERROR(INDEX(Students!$E$5:$E$304,MATCH(A18,Students!$A$5:$A$304,0)),""))</f>
        <v/>
      </c>
      <c r="D18" s="85" t="str">
        <f aca="false">IF(A18="","",IFERROR(INDEX(Students!$F$5:$F$304,MATCH(A18,Students!$A$5:$A$304,0)),""))</f>
        <v/>
      </c>
      <c r="E18" s="86"/>
      <c r="F18" s="52"/>
      <c r="G18" s="52"/>
      <c r="H18" s="52"/>
      <c r="I18" s="93" t="str">
        <f aca="false">IF(COUNT(G18:H18)=0,"",IF(COUNT(G18:H18)=1,SUM(G18:H18),ROUND(G18*Settings!$B$8+H18*(1-Settings!$B$8),1)))</f>
        <v/>
      </c>
      <c r="J18" s="85" t="str">
        <f aca="false">IF(I18="","",IF(I18&gt;=Settings!$E$11,Settings!$F$11,IF(I18&gt;=Settings!$E$12,Settings!$F$12,IF(I18&gt;=Settings!$E$13,Settings!$F$13,IF(I18&gt;=Settings!$E$14,Settings!$F$14,Settings!$F$15)))))</f>
        <v/>
      </c>
      <c r="K18" s="85" t="str">
        <f aca="false">IF(I18="","",IF(I18&gt;=Settings!$E$11,Settings!$G$11,IF(I18&gt;=Settings!$E$12,Settings!$G$12,IF(I18&gt;=Settings!$E$13,Settings!$G$13,IF(I18&gt;=Settings!$E$14,Settings!$G$14,Settings!$G$15)))))</f>
        <v/>
      </c>
    </row>
    <row r="19" customFormat="false" ht="19.5" hidden="false" customHeight="true" outlineLevel="0" collapsed="false">
      <c r="A19" s="52"/>
      <c r="B19" s="89" t="str">
        <f aca="false">IF(A19="","",IFERROR(INDEX(Students!$B$5:$B$304,MATCH(A19,Students!$A$5:$A$304,0)),"ID not found"))</f>
        <v/>
      </c>
      <c r="C19" s="85" t="str">
        <f aca="false">IF(A19="","",IFERROR(INDEX(Students!$E$5:$E$304,MATCH(A19,Students!$A$5:$A$304,0)),""))</f>
        <v/>
      </c>
      <c r="D19" s="85" t="str">
        <f aca="false">IF(A19="","",IFERROR(INDEX(Students!$F$5:$F$304,MATCH(A19,Students!$A$5:$A$304,0)),""))</f>
        <v/>
      </c>
      <c r="E19" s="86"/>
      <c r="F19" s="52"/>
      <c r="G19" s="52"/>
      <c r="H19" s="52"/>
      <c r="I19" s="93" t="str">
        <f aca="false">IF(COUNT(G19:H19)=0,"",IF(COUNT(G19:H19)=1,SUM(G19:H19),ROUND(G19*Settings!$B$8+H19*(1-Settings!$B$8),1)))</f>
        <v/>
      </c>
      <c r="J19" s="85" t="str">
        <f aca="false">IF(I19="","",IF(I19&gt;=Settings!$E$11,Settings!$F$11,IF(I19&gt;=Settings!$E$12,Settings!$F$12,IF(I19&gt;=Settings!$E$13,Settings!$F$13,IF(I19&gt;=Settings!$E$14,Settings!$F$14,Settings!$F$15)))))</f>
        <v/>
      </c>
      <c r="K19" s="85" t="str">
        <f aca="false">IF(I19="","",IF(I19&gt;=Settings!$E$11,Settings!$G$11,IF(I19&gt;=Settings!$E$12,Settings!$G$12,IF(I19&gt;=Settings!$E$13,Settings!$G$13,IF(I19&gt;=Settings!$E$14,Settings!$G$14,Settings!$G$15)))))</f>
        <v/>
      </c>
    </row>
    <row r="20" customFormat="false" ht="19.5" hidden="false" customHeight="true" outlineLevel="0" collapsed="false">
      <c r="A20" s="52"/>
      <c r="B20" s="89" t="str">
        <f aca="false">IF(A20="","",IFERROR(INDEX(Students!$B$5:$B$304,MATCH(A20,Students!$A$5:$A$304,0)),"ID not found"))</f>
        <v/>
      </c>
      <c r="C20" s="85" t="str">
        <f aca="false">IF(A20="","",IFERROR(INDEX(Students!$E$5:$E$304,MATCH(A20,Students!$A$5:$A$304,0)),""))</f>
        <v/>
      </c>
      <c r="D20" s="85" t="str">
        <f aca="false">IF(A20="","",IFERROR(INDEX(Students!$F$5:$F$304,MATCH(A20,Students!$A$5:$A$304,0)),""))</f>
        <v/>
      </c>
      <c r="E20" s="86"/>
      <c r="F20" s="52"/>
      <c r="G20" s="52"/>
      <c r="H20" s="52"/>
      <c r="I20" s="93" t="str">
        <f aca="false">IF(COUNT(G20:H20)=0,"",IF(COUNT(G20:H20)=1,SUM(G20:H20),ROUND(G20*Settings!$B$8+H20*(1-Settings!$B$8),1)))</f>
        <v/>
      </c>
      <c r="J20" s="85" t="str">
        <f aca="false">IF(I20="","",IF(I20&gt;=Settings!$E$11,Settings!$F$11,IF(I20&gt;=Settings!$E$12,Settings!$F$12,IF(I20&gt;=Settings!$E$13,Settings!$F$13,IF(I20&gt;=Settings!$E$14,Settings!$F$14,Settings!$F$15)))))</f>
        <v/>
      </c>
      <c r="K20" s="85" t="str">
        <f aca="false">IF(I20="","",IF(I20&gt;=Settings!$E$11,Settings!$G$11,IF(I20&gt;=Settings!$E$12,Settings!$G$12,IF(I20&gt;=Settings!$E$13,Settings!$G$13,IF(I20&gt;=Settings!$E$14,Settings!$G$14,Settings!$G$15)))))</f>
        <v/>
      </c>
    </row>
    <row r="21" customFormat="false" ht="19.5" hidden="false" customHeight="true" outlineLevel="0" collapsed="false">
      <c r="A21" s="52"/>
      <c r="B21" s="89" t="str">
        <f aca="false">IF(A21="","",IFERROR(INDEX(Students!$B$5:$B$304,MATCH(A21,Students!$A$5:$A$304,0)),"ID not found"))</f>
        <v/>
      </c>
      <c r="C21" s="85" t="str">
        <f aca="false">IF(A21="","",IFERROR(INDEX(Students!$E$5:$E$304,MATCH(A21,Students!$A$5:$A$304,0)),""))</f>
        <v/>
      </c>
      <c r="D21" s="85" t="str">
        <f aca="false">IF(A21="","",IFERROR(INDEX(Students!$F$5:$F$304,MATCH(A21,Students!$A$5:$A$304,0)),""))</f>
        <v/>
      </c>
      <c r="E21" s="86"/>
      <c r="F21" s="52"/>
      <c r="G21" s="52"/>
      <c r="H21" s="52"/>
      <c r="I21" s="93" t="str">
        <f aca="false">IF(COUNT(G21:H21)=0,"",IF(COUNT(G21:H21)=1,SUM(G21:H21),ROUND(G21*Settings!$B$8+H21*(1-Settings!$B$8),1)))</f>
        <v/>
      </c>
      <c r="J21" s="85" t="str">
        <f aca="false">IF(I21="","",IF(I21&gt;=Settings!$E$11,Settings!$F$11,IF(I21&gt;=Settings!$E$12,Settings!$F$12,IF(I21&gt;=Settings!$E$13,Settings!$F$13,IF(I21&gt;=Settings!$E$14,Settings!$F$14,Settings!$F$15)))))</f>
        <v/>
      </c>
      <c r="K21" s="85" t="str">
        <f aca="false">IF(I21="","",IF(I21&gt;=Settings!$E$11,Settings!$G$11,IF(I21&gt;=Settings!$E$12,Settings!$G$12,IF(I21&gt;=Settings!$E$13,Settings!$G$13,IF(I21&gt;=Settings!$E$14,Settings!$G$14,Settings!$G$15)))))</f>
        <v/>
      </c>
    </row>
    <row r="22" customFormat="false" ht="19.5" hidden="false" customHeight="true" outlineLevel="0" collapsed="false">
      <c r="A22" s="52"/>
      <c r="B22" s="89" t="str">
        <f aca="false">IF(A22="","",IFERROR(INDEX(Students!$B$5:$B$304,MATCH(A22,Students!$A$5:$A$304,0)),"ID not found"))</f>
        <v/>
      </c>
      <c r="C22" s="85" t="str">
        <f aca="false">IF(A22="","",IFERROR(INDEX(Students!$E$5:$E$304,MATCH(A22,Students!$A$5:$A$304,0)),""))</f>
        <v/>
      </c>
      <c r="D22" s="85" t="str">
        <f aca="false">IF(A22="","",IFERROR(INDEX(Students!$F$5:$F$304,MATCH(A22,Students!$A$5:$A$304,0)),""))</f>
        <v/>
      </c>
      <c r="E22" s="86"/>
      <c r="F22" s="52"/>
      <c r="G22" s="52"/>
      <c r="H22" s="52"/>
      <c r="I22" s="93" t="str">
        <f aca="false">IF(COUNT(G22:H22)=0,"",IF(COUNT(G22:H22)=1,SUM(G22:H22),ROUND(G22*Settings!$B$8+H22*(1-Settings!$B$8),1)))</f>
        <v/>
      </c>
      <c r="J22" s="85" t="str">
        <f aca="false">IF(I22="","",IF(I22&gt;=Settings!$E$11,Settings!$F$11,IF(I22&gt;=Settings!$E$12,Settings!$F$12,IF(I22&gt;=Settings!$E$13,Settings!$F$13,IF(I22&gt;=Settings!$E$14,Settings!$F$14,Settings!$F$15)))))</f>
        <v/>
      </c>
      <c r="K22" s="85" t="str">
        <f aca="false">IF(I22="","",IF(I22&gt;=Settings!$E$11,Settings!$G$11,IF(I22&gt;=Settings!$E$12,Settings!$G$12,IF(I22&gt;=Settings!$E$13,Settings!$G$13,IF(I22&gt;=Settings!$E$14,Settings!$G$14,Settings!$G$15)))))</f>
        <v/>
      </c>
    </row>
    <row r="23" customFormat="false" ht="19.5" hidden="false" customHeight="true" outlineLevel="0" collapsed="false">
      <c r="A23" s="52"/>
      <c r="B23" s="89" t="str">
        <f aca="false">IF(A23="","",IFERROR(INDEX(Students!$B$5:$B$304,MATCH(A23,Students!$A$5:$A$304,0)),"ID not found"))</f>
        <v/>
      </c>
      <c r="C23" s="85" t="str">
        <f aca="false">IF(A23="","",IFERROR(INDEX(Students!$E$5:$E$304,MATCH(A23,Students!$A$5:$A$304,0)),""))</f>
        <v/>
      </c>
      <c r="D23" s="85" t="str">
        <f aca="false">IF(A23="","",IFERROR(INDEX(Students!$F$5:$F$304,MATCH(A23,Students!$A$5:$A$304,0)),""))</f>
        <v/>
      </c>
      <c r="E23" s="86"/>
      <c r="F23" s="52"/>
      <c r="G23" s="52"/>
      <c r="H23" s="52"/>
      <c r="I23" s="93" t="str">
        <f aca="false">IF(COUNT(G23:H23)=0,"",IF(COUNT(G23:H23)=1,SUM(G23:H23),ROUND(G23*Settings!$B$8+H23*(1-Settings!$B$8),1)))</f>
        <v/>
      </c>
      <c r="J23" s="85" t="str">
        <f aca="false">IF(I23="","",IF(I23&gt;=Settings!$E$11,Settings!$F$11,IF(I23&gt;=Settings!$E$12,Settings!$F$12,IF(I23&gt;=Settings!$E$13,Settings!$F$13,IF(I23&gt;=Settings!$E$14,Settings!$F$14,Settings!$F$15)))))</f>
        <v/>
      </c>
      <c r="K23" s="85" t="str">
        <f aca="false">IF(I23="","",IF(I23&gt;=Settings!$E$11,Settings!$G$11,IF(I23&gt;=Settings!$E$12,Settings!$G$12,IF(I23&gt;=Settings!$E$13,Settings!$G$13,IF(I23&gt;=Settings!$E$14,Settings!$G$14,Settings!$G$15)))))</f>
        <v/>
      </c>
    </row>
    <row r="24" customFormat="false" ht="19.5" hidden="false" customHeight="true" outlineLevel="0" collapsed="false">
      <c r="A24" s="52"/>
      <c r="B24" s="89" t="str">
        <f aca="false">IF(A24="","",IFERROR(INDEX(Students!$B$5:$B$304,MATCH(A24,Students!$A$5:$A$304,0)),"ID not found"))</f>
        <v/>
      </c>
      <c r="C24" s="85" t="str">
        <f aca="false">IF(A24="","",IFERROR(INDEX(Students!$E$5:$E$304,MATCH(A24,Students!$A$5:$A$304,0)),""))</f>
        <v/>
      </c>
      <c r="D24" s="85" t="str">
        <f aca="false">IF(A24="","",IFERROR(INDEX(Students!$F$5:$F$304,MATCH(A24,Students!$A$5:$A$304,0)),""))</f>
        <v/>
      </c>
      <c r="E24" s="86"/>
      <c r="F24" s="52"/>
      <c r="G24" s="52"/>
      <c r="H24" s="52"/>
      <c r="I24" s="93" t="str">
        <f aca="false">IF(COUNT(G24:H24)=0,"",IF(COUNT(G24:H24)=1,SUM(G24:H24),ROUND(G24*Settings!$B$8+H24*(1-Settings!$B$8),1)))</f>
        <v/>
      </c>
      <c r="J24" s="85" t="str">
        <f aca="false">IF(I24="","",IF(I24&gt;=Settings!$E$11,Settings!$F$11,IF(I24&gt;=Settings!$E$12,Settings!$F$12,IF(I24&gt;=Settings!$E$13,Settings!$F$13,IF(I24&gt;=Settings!$E$14,Settings!$F$14,Settings!$F$15)))))</f>
        <v/>
      </c>
      <c r="K24" s="85" t="str">
        <f aca="false">IF(I24="","",IF(I24&gt;=Settings!$E$11,Settings!$G$11,IF(I24&gt;=Settings!$E$12,Settings!$G$12,IF(I24&gt;=Settings!$E$13,Settings!$G$13,IF(I24&gt;=Settings!$E$14,Settings!$G$14,Settings!$G$15)))))</f>
        <v/>
      </c>
    </row>
    <row r="25" customFormat="false" ht="19.5" hidden="false" customHeight="true" outlineLevel="0" collapsed="false">
      <c r="A25" s="52"/>
      <c r="B25" s="89" t="str">
        <f aca="false">IF(A25="","",IFERROR(INDEX(Students!$B$5:$B$304,MATCH(A25,Students!$A$5:$A$304,0)),"ID not found"))</f>
        <v/>
      </c>
      <c r="C25" s="85" t="str">
        <f aca="false">IF(A25="","",IFERROR(INDEX(Students!$E$5:$E$304,MATCH(A25,Students!$A$5:$A$304,0)),""))</f>
        <v/>
      </c>
      <c r="D25" s="85" t="str">
        <f aca="false">IF(A25="","",IFERROR(INDEX(Students!$F$5:$F$304,MATCH(A25,Students!$A$5:$A$304,0)),""))</f>
        <v/>
      </c>
      <c r="E25" s="86"/>
      <c r="F25" s="52"/>
      <c r="G25" s="52"/>
      <c r="H25" s="52"/>
      <c r="I25" s="93" t="str">
        <f aca="false">IF(COUNT(G25:H25)=0,"",IF(COUNT(G25:H25)=1,SUM(G25:H25),ROUND(G25*Settings!$B$8+H25*(1-Settings!$B$8),1)))</f>
        <v/>
      </c>
      <c r="J25" s="85" t="str">
        <f aca="false">IF(I25="","",IF(I25&gt;=Settings!$E$11,Settings!$F$11,IF(I25&gt;=Settings!$E$12,Settings!$F$12,IF(I25&gt;=Settings!$E$13,Settings!$F$13,IF(I25&gt;=Settings!$E$14,Settings!$F$14,Settings!$F$15)))))</f>
        <v/>
      </c>
      <c r="K25" s="85" t="str">
        <f aca="false">IF(I25="","",IF(I25&gt;=Settings!$E$11,Settings!$G$11,IF(I25&gt;=Settings!$E$12,Settings!$G$12,IF(I25&gt;=Settings!$E$13,Settings!$G$13,IF(I25&gt;=Settings!$E$14,Settings!$G$14,Settings!$G$15)))))</f>
        <v/>
      </c>
    </row>
    <row r="26" customFormat="false" ht="19.5" hidden="false" customHeight="true" outlineLevel="0" collapsed="false">
      <c r="A26" s="52"/>
      <c r="B26" s="89" t="str">
        <f aca="false">IF(A26="","",IFERROR(INDEX(Students!$B$5:$B$304,MATCH(A26,Students!$A$5:$A$304,0)),"ID not found"))</f>
        <v/>
      </c>
      <c r="C26" s="85" t="str">
        <f aca="false">IF(A26="","",IFERROR(INDEX(Students!$E$5:$E$304,MATCH(A26,Students!$A$5:$A$304,0)),""))</f>
        <v/>
      </c>
      <c r="D26" s="85" t="str">
        <f aca="false">IF(A26="","",IFERROR(INDEX(Students!$F$5:$F$304,MATCH(A26,Students!$A$5:$A$304,0)),""))</f>
        <v/>
      </c>
      <c r="E26" s="86"/>
      <c r="F26" s="52"/>
      <c r="G26" s="52"/>
      <c r="H26" s="52"/>
      <c r="I26" s="93" t="str">
        <f aca="false">IF(COUNT(G26:H26)=0,"",IF(COUNT(G26:H26)=1,SUM(G26:H26),ROUND(G26*Settings!$B$8+H26*(1-Settings!$B$8),1)))</f>
        <v/>
      </c>
      <c r="J26" s="85" t="str">
        <f aca="false">IF(I26="","",IF(I26&gt;=Settings!$E$11,Settings!$F$11,IF(I26&gt;=Settings!$E$12,Settings!$F$12,IF(I26&gt;=Settings!$E$13,Settings!$F$13,IF(I26&gt;=Settings!$E$14,Settings!$F$14,Settings!$F$15)))))</f>
        <v/>
      </c>
      <c r="K26" s="85" t="str">
        <f aca="false">IF(I26="","",IF(I26&gt;=Settings!$E$11,Settings!$G$11,IF(I26&gt;=Settings!$E$12,Settings!$G$12,IF(I26&gt;=Settings!$E$13,Settings!$G$13,IF(I26&gt;=Settings!$E$14,Settings!$G$14,Settings!$G$15)))))</f>
        <v/>
      </c>
    </row>
    <row r="27" customFormat="false" ht="19.5" hidden="false" customHeight="true" outlineLevel="0" collapsed="false">
      <c r="A27" s="52"/>
      <c r="B27" s="89" t="str">
        <f aca="false">IF(A27="","",IFERROR(INDEX(Students!$B$5:$B$304,MATCH(A27,Students!$A$5:$A$304,0)),"ID not found"))</f>
        <v/>
      </c>
      <c r="C27" s="85" t="str">
        <f aca="false">IF(A27="","",IFERROR(INDEX(Students!$E$5:$E$304,MATCH(A27,Students!$A$5:$A$304,0)),""))</f>
        <v/>
      </c>
      <c r="D27" s="85" t="str">
        <f aca="false">IF(A27="","",IFERROR(INDEX(Students!$F$5:$F$304,MATCH(A27,Students!$A$5:$A$304,0)),""))</f>
        <v/>
      </c>
      <c r="E27" s="86"/>
      <c r="F27" s="52"/>
      <c r="G27" s="52"/>
      <c r="H27" s="52"/>
      <c r="I27" s="93" t="str">
        <f aca="false">IF(COUNT(G27:H27)=0,"",IF(COUNT(G27:H27)=1,SUM(G27:H27),ROUND(G27*Settings!$B$8+H27*(1-Settings!$B$8),1)))</f>
        <v/>
      </c>
      <c r="J27" s="85" t="str">
        <f aca="false">IF(I27="","",IF(I27&gt;=Settings!$E$11,Settings!$F$11,IF(I27&gt;=Settings!$E$12,Settings!$F$12,IF(I27&gt;=Settings!$E$13,Settings!$F$13,IF(I27&gt;=Settings!$E$14,Settings!$F$14,Settings!$F$15)))))</f>
        <v/>
      </c>
      <c r="K27" s="85" t="str">
        <f aca="false">IF(I27="","",IF(I27&gt;=Settings!$E$11,Settings!$G$11,IF(I27&gt;=Settings!$E$12,Settings!$G$12,IF(I27&gt;=Settings!$E$13,Settings!$G$13,IF(I27&gt;=Settings!$E$14,Settings!$G$14,Settings!$G$15)))))</f>
        <v/>
      </c>
    </row>
    <row r="28" customFormat="false" ht="19.5" hidden="false" customHeight="true" outlineLevel="0" collapsed="false">
      <c r="A28" s="52"/>
      <c r="B28" s="89" t="str">
        <f aca="false">IF(A28="","",IFERROR(INDEX(Students!$B$5:$B$304,MATCH(A28,Students!$A$5:$A$304,0)),"ID not found"))</f>
        <v/>
      </c>
      <c r="C28" s="85" t="str">
        <f aca="false">IF(A28="","",IFERROR(INDEX(Students!$E$5:$E$304,MATCH(A28,Students!$A$5:$A$304,0)),""))</f>
        <v/>
      </c>
      <c r="D28" s="85" t="str">
        <f aca="false">IF(A28="","",IFERROR(INDEX(Students!$F$5:$F$304,MATCH(A28,Students!$A$5:$A$304,0)),""))</f>
        <v/>
      </c>
      <c r="E28" s="86"/>
      <c r="F28" s="52"/>
      <c r="G28" s="52"/>
      <c r="H28" s="52"/>
      <c r="I28" s="93" t="str">
        <f aca="false">IF(COUNT(G28:H28)=0,"",IF(COUNT(G28:H28)=1,SUM(G28:H28),ROUND(G28*Settings!$B$8+H28*(1-Settings!$B$8),1)))</f>
        <v/>
      </c>
      <c r="J28" s="85" t="str">
        <f aca="false">IF(I28="","",IF(I28&gt;=Settings!$E$11,Settings!$F$11,IF(I28&gt;=Settings!$E$12,Settings!$F$12,IF(I28&gt;=Settings!$E$13,Settings!$F$13,IF(I28&gt;=Settings!$E$14,Settings!$F$14,Settings!$F$15)))))</f>
        <v/>
      </c>
      <c r="K28" s="85" t="str">
        <f aca="false">IF(I28="","",IF(I28&gt;=Settings!$E$11,Settings!$G$11,IF(I28&gt;=Settings!$E$12,Settings!$G$12,IF(I28&gt;=Settings!$E$13,Settings!$G$13,IF(I28&gt;=Settings!$E$14,Settings!$G$14,Settings!$G$15)))))</f>
        <v/>
      </c>
    </row>
    <row r="29" customFormat="false" ht="19.5" hidden="false" customHeight="true" outlineLevel="0" collapsed="false">
      <c r="A29" s="52"/>
      <c r="B29" s="89" t="str">
        <f aca="false">IF(A29="","",IFERROR(INDEX(Students!$B$5:$B$304,MATCH(A29,Students!$A$5:$A$304,0)),"ID not found"))</f>
        <v/>
      </c>
      <c r="C29" s="85" t="str">
        <f aca="false">IF(A29="","",IFERROR(INDEX(Students!$E$5:$E$304,MATCH(A29,Students!$A$5:$A$304,0)),""))</f>
        <v/>
      </c>
      <c r="D29" s="85" t="str">
        <f aca="false">IF(A29="","",IFERROR(INDEX(Students!$F$5:$F$304,MATCH(A29,Students!$A$5:$A$304,0)),""))</f>
        <v/>
      </c>
      <c r="E29" s="86"/>
      <c r="F29" s="52"/>
      <c r="G29" s="52"/>
      <c r="H29" s="52"/>
      <c r="I29" s="93" t="str">
        <f aca="false">IF(COUNT(G29:H29)=0,"",IF(COUNT(G29:H29)=1,SUM(G29:H29),ROUND(G29*Settings!$B$8+H29*(1-Settings!$B$8),1)))</f>
        <v/>
      </c>
      <c r="J29" s="85" t="str">
        <f aca="false">IF(I29="","",IF(I29&gt;=Settings!$E$11,Settings!$F$11,IF(I29&gt;=Settings!$E$12,Settings!$F$12,IF(I29&gt;=Settings!$E$13,Settings!$F$13,IF(I29&gt;=Settings!$E$14,Settings!$F$14,Settings!$F$15)))))</f>
        <v/>
      </c>
      <c r="K29" s="85" t="str">
        <f aca="false">IF(I29="","",IF(I29&gt;=Settings!$E$11,Settings!$G$11,IF(I29&gt;=Settings!$E$12,Settings!$G$12,IF(I29&gt;=Settings!$E$13,Settings!$G$13,IF(I29&gt;=Settings!$E$14,Settings!$G$14,Settings!$G$15)))))</f>
        <v/>
      </c>
    </row>
    <row r="30" customFormat="false" ht="19.5" hidden="false" customHeight="true" outlineLevel="0" collapsed="false">
      <c r="A30" s="52"/>
      <c r="B30" s="89" t="str">
        <f aca="false">IF(A30="","",IFERROR(INDEX(Students!$B$5:$B$304,MATCH(A30,Students!$A$5:$A$304,0)),"ID not found"))</f>
        <v/>
      </c>
      <c r="C30" s="85" t="str">
        <f aca="false">IF(A30="","",IFERROR(INDEX(Students!$E$5:$E$304,MATCH(A30,Students!$A$5:$A$304,0)),""))</f>
        <v/>
      </c>
      <c r="D30" s="85" t="str">
        <f aca="false">IF(A30="","",IFERROR(INDEX(Students!$F$5:$F$304,MATCH(A30,Students!$A$5:$A$304,0)),""))</f>
        <v/>
      </c>
      <c r="E30" s="86"/>
      <c r="F30" s="52"/>
      <c r="G30" s="52"/>
      <c r="H30" s="52"/>
      <c r="I30" s="93" t="str">
        <f aca="false">IF(COUNT(G30:H30)=0,"",IF(COUNT(G30:H30)=1,SUM(G30:H30),ROUND(G30*Settings!$B$8+H30*(1-Settings!$B$8),1)))</f>
        <v/>
      </c>
      <c r="J30" s="85" t="str">
        <f aca="false">IF(I30="","",IF(I30&gt;=Settings!$E$11,Settings!$F$11,IF(I30&gt;=Settings!$E$12,Settings!$F$12,IF(I30&gt;=Settings!$E$13,Settings!$F$13,IF(I30&gt;=Settings!$E$14,Settings!$F$14,Settings!$F$15)))))</f>
        <v/>
      </c>
      <c r="K30" s="85" t="str">
        <f aca="false">IF(I30="","",IF(I30&gt;=Settings!$E$11,Settings!$G$11,IF(I30&gt;=Settings!$E$12,Settings!$G$12,IF(I30&gt;=Settings!$E$13,Settings!$G$13,IF(I30&gt;=Settings!$E$14,Settings!$G$14,Settings!$G$15)))))</f>
        <v/>
      </c>
    </row>
    <row r="31" customFormat="false" ht="19.5" hidden="false" customHeight="true" outlineLevel="0" collapsed="false">
      <c r="A31" s="52"/>
      <c r="B31" s="89" t="str">
        <f aca="false">IF(A31="","",IFERROR(INDEX(Students!$B$5:$B$304,MATCH(A31,Students!$A$5:$A$304,0)),"ID not found"))</f>
        <v/>
      </c>
      <c r="C31" s="85" t="str">
        <f aca="false">IF(A31="","",IFERROR(INDEX(Students!$E$5:$E$304,MATCH(A31,Students!$A$5:$A$304,0)),""))</f>
        <v/>
      </c>
      <c r="D31" s="85" t="str">
        <f aca="false">IF(A31="","",IFERROR(INDEX(Students!$F$5:$F$304,MATCH(A31,Students!$A$5:$A$304,0)),""))</f>
        <v/>
      </c>
      <c r="E31" s="86"/>
      <c r="F31" s="52"/>
      <c r="G31" s="52"/>
      <c r="H31" s="52"/>
      <c r="I31" s="93" t="str">
        <f aca="false">IF(COUNT(G31:H31)=0,"",IF(COUNT(G31:H31)=1,SUM(G31:H31),ROUND(G31*Settings!$B$8+H31*(1-Settings!$B$8),1)))</f>
        <v/>
      </c>
      <c r="J31" s="85" t="str">
        <f aca="false">IF(I31="","",IF(I31&gt;=Settings!$E$11,Settings!$F$11,IF(I31&gt;=Settings!$E$12,Settings!$F$12,IF(I31&gt;=Settings!$E$13,Settings!$F$13,IF(I31&gt;=Settings!$E$14,Settings!$F$14,Settings!$F$15)))))</f>
        <v/>
      </c>
      <c r="K31" s="85" t="str">
        <f aca="false">IF(I31="","",IF(I31&gt;=Settings!$E$11,Settings!$G$11,IF(I31&gt;=Settings!$E$12,Settings!$G$12,IF(I31&gt;=Settings!$E$13,Settings!$G$13,IF(I31&gt;=Settings!$E$14,Settings!$G$14,Settings!$G$15)))))</f>
        <v/>
      </c>
    </row>
    <row r="32" customFormat="false" ht="19.5" hidden="false" customHeight="true" outlineLevel="0" collapsed="false">
      <c r="A32" s="52"/>
      <c r="B32" s="89" t="str">
        <f aca="false">IF(A32="","",IFERROR(INDEX(Students!$B$5:$B$304,MATCH(A32,Students!$A$5:$A$304,0)),"ID not found"))</f>
        <v/>
      </c>
      <c r="C32" s="85" t="str">
        <f aca="false">IF(A32="","",IFERROR(INDEX(Students!$E$5:$E$304,MATCH(A32,Students!$A$5:$A$304,0)),""))</f>
        <v/>
      </c>
      <c r="D32" s="85" t="str">
        <f aca="false">IF(A32="","",IFERROR(INDEX(Students!$F$5:$F$304,MATCH(A32,Students!$A$5:$A$304,0)),""))</f>
        <v/>
      </c>
      <c r="E32" s="86"/>
      <c r="F32" s="52"/>
      <c r="G32" s="52"/>
      <c r="H32" s="52"/>
      <c r="I32" s="93" t="str">
        <f aca="false">IF(COUNT(G32:H32)=0,"",IF(COUNT(G32:H32)=1,SUM(G32:H32),ROUND(G32*Settings!$B$8+H32*(1-Settings!$B$8),1)))</f>
        <v/>
      </c>
      <c r="J32" s="85" t="str">
        <f aca="false">IF(I32="","",IF(I32&gt;=Settings!$E$11,Settings!$F$11,IF(I32&gt;=Settings!$E$12,Settings!$F$12,IF(I32&gt;=Settings!$E$13,Settings!$F$13,IF(I32&gt;=Settings!$E$14,Settings!$F$14,Settings!$F$15)))))</f>
        <v/>
      </c>
      <c r="K32" s="85" t="str">
        <f aca="false">IF(I32="","",IF(I32&gt;=Settings!$E$11,Settings!$G$11,IF(I32&gt;=Settings!$E$12,Settings!$G$12,IF(I32&gt;=Settings!$E$13,Settings!$G$13,IF(I32&gt;=Settings!$E$14,Settings!$G$14,Settings!$G$15)))))</f>
        <v/>
      </c>
    </row>
    <row r="33" customFormat="false" ht="19.5" hidden="false" customHeight="true" outlineLevel="0" collapsed="false">
      <c r="A33" s="52"/>
      <c r="B33" s="89" t="str">
        <f aca="false">IF(A33="","",IFERROR(INDEX(Students!$B$5:$B$304,MATCH(A33,Students!$A$5:$A$304,0)),"ID not found"))</f>
        <v/>
      </c>
      <c r="C33" s="85" t="str">
        <f aca="false">IF(A33="","",IFERROR(INDEX(Students!$E$5:$E$304,MATCH(A33,Students!$A$5:$A$304,0)),""))</f>
        <v/>
      </c>
      <c r="D33" s="85" t="str">
        <f aca="false">IF(A33="","",IFERROR(INDEX(Students!$F$5:$F$304,MATCH(A33,Students!$A$5:$A$304,0)),""))</f>
        <v/>
      </c>
      <c r="E33" s="86"/>
      <c r="F33" s="52"/>
      <c r="G33" s="52"/>
      <c r="H33" s="52"/>
      <c r="I33" s="93" t="str">
        <f aca="false">IF(COUNT(G33:H33)=0,"",IF(COUNT(G33:H33)=1,SUM(G33:H33),ROUND(G33*Settings!$B$8+H33*(1-Settings!$B$8),1)))</f>
        <v/>
      </c>
      <c r="J33" s="85" t="str">
        <f aca="false">IF(I33="","",IF(I33&gt;=Settings!$E$11,Settings!$F$11,IF(I33&gt;=Settings!$E$12,Settings!$F$12,IF(I33&gt;=Settings!$E$13,Settings!$F$13,IF(I33&gt;=Settings!$E$14,Settings!$F$14,Settings!$F$15)))))</f>
        <v/>
      </c>
      <c r="K33" s="85" t="str">
        <f aca="false">IF(I33="","",IF(I33&gt;=Settings!$E$11,Settings!$G$11,IF(I33&gt;=Settings!$E$12,Settings!$G$12,IF(I33&gt;=Settings!$E$13,Settings!$G$13,IF(I33&gt;=Settings!$E$14,Settings!$G$14,Settings!$G$15)))))</f>
        <v/>
      </c>
    </row>
    <row r="34" customFormat="false" ht="19.5" hidden="false" customHeight="true" outlineLevel="0" collapsed="false">
      <c r="A34" s="52"/>
      <c r="B34" s="89" t="str">
        <f aca="false">IF(A34="","",IFERROR(INDEX(Students!$B$5:$B$304,MATCH(A34,Students!$A$5:$A$304,0)),"ID not found"))</f>
        <v/>
      </c>
      <c r="C34" s="85" t="str">
        <f aca="false">IF(A34="","",IFERROR(INDEX(Students!$E$5:$E$304,MATCH(A34,Students!$A$5:$A$304,0)),""))</f>
        <v/>
      </c>
      <c r="D34" s="85" t="str">
        <f aca="false">IF(A34="","",IFERROR(INDEX(Students!$F$5:$F$304,MATCH(A34,Students!$A$5:$A$304,0)),""))</f>
        <v/>
      </c>
      <c r="E34" s="86"/>
      <c r="F34" s="52"/>
      <c r="G34" s="52"/>
      <c r="H34" s="52"/>
      <c r="I34" s="93" t="str">
        <f aca="false">IF(COUNT(G34:H34)=0,"",IF(COUNT(G34:H34)=1,SUM(G34:H34),ROUND(G34*Settings!$B$8+H34*(1-Settings!$B$8),1)))</f>
        <v/>
      </c>
      <c r="J34" s="85" t="str">
        <f aca="false">IF(I34="","",IF(I34&gt;=Settings!$E$11,Settings!$F$11,IF(I34&gt;=Settings!$E$12,Settings!$F$12,IF(I34&gt;=Settings!$E$13,Settings!$F$13,IF(I34&gt;=Settings!$E$14,Settings!$F$14,Settings!$F$15)))))</f>
        <v/>
      </c>
      <c r="K34" s="85" t="str">
        <f aca="false">IF(I34="","",IF(I34&gt;=Settings!$E$11,Settings!$G$11,IF(I34&gt;=Settings!$E$12,Settings!$G$12,IF(I34&gt;=Settings!$E$13,Settings!$G$13,IF(I34&gt;=Settings!$E$14,Settings!$G$14,Settings!$G$15)))))</f>
        <v/>
      </c>
    </row>
    <row r="35" customFormat="false" ht="19.5" hidden="false" customHeight="true" outlineLevel="0" collapsed="false">
      <c r="A35" s="52"/>
      <c r="B35" s="89" t="str">
        <f aca="false">IF(A35="","",IFERROR(INDEX(Students!$B$5:$B$304,MATCH(A35,Students!$A$5:$A$304,0)),"ID not found"))</f>
        <v/>
      </c>
      <c r="C35" s="85" t="str">
        <f aca="false">IF(A35="","",IFERROR(INDEX(Students!$E$5:$E$304,MATCH(A35,Students!$A$5:$A$304,0)),""))</f>
        <v/>
      </c>
      <c r="D35" s="85" t="str">
        <f aca="false">IF(A35="","",IFERROR(INDEX(Students!$F$5:$F$304,MATCH(A35,Students!$A$5:$A$304,0)),""))</f>
        <v/>
      </c>
      <c r="E35" s="86"/>
      <c r="F35" s="52"/>
      <c r="G35" s="52"/>
      <c r="H35" s="52"/>
      <c r="I35" s="93" t="str">
        <f aca="false">IF(COUNT(G35:H35)=0,"",IF(COUNT(G35:H35)=1,SUM(G35:H35),ROUND(G35*Settings!$B$8+H35*(1-Settings!$B$8),1)))</f>
        <v/>
      </c>
      <c r="J35" s="85" t="str">
        <f aca="false">IF(I35="","",IF(I35&gt;=Settings!$E$11,Settings!$F$11,IF(I35&gt;=Settings!$E$12,Settings!$F$12,IF(I35&gt;=Settings!$E$13,Settings!$F$13,IF(I35&gt;=Settings!$E$14,Settings!$F$14,Settings!$F$15)))))</f>
        <v/>
      </c>
      <c r="K35" s="85" t="str">
        <f aca="false">IF(I35="","",IF(I35&gt;=Settings!$E$11,Settings!$G$11,IF(I35&gt;=Settings!$E$12,Settings!$G$12,IF(I35&gt;=Settings!$E$13,Settings!$G$13,IF(I35&gt;=Settings!$E$14,Settings!$G$14,Settings!$G$15)))))</f>
        <v/>
      </c>
    </row>
    <row r="36" customFormat="false" ht="19.5" hidden="false" customHeight="true" outlineLevel="0" collapsed="false">
      <c r="A36" s="52"/>
      <c r="B36" s="89" t="str">
        <f aca="false">IF(A36="","",IFERROR(INDEX(Students!$B$5:$B$304,MATCH(A36,Students!$A$5:$A$304,0)),"ID not found"))</f>
        <v/>
      </c>
      <c r="C36" s="85" t="str">
        <f aca="false">IF(A36="","",IFERROR(INDEX(Students!$E$5:$E$304,MATCH(A36,Students!$A$5:$A$304,0)),""))</f>
        <v/>
      </c>
      <c r="D36" s="85" t="str">
        <f aca="false">IF(A36="","",IFERROR(INDEX(Students!$F$5:$F$304,MATCH(A36,Students!$A$5:$A$304,0)),""))</f>
        <v/>
      </c>
      <c r="E36" s="86"/>
      <c r="F36" s="52"/>
      <c r="G36" s="52"/>
      <c r="H36" s="52"/>
      <c r="I36" s="93" t="str">
        <f aca="false">IF(COUNT(G36:H36)=0,"",IF(COUNT(G36:H36)=1,SUM(G36:H36),ROUND(G36*Settings!$B$8+H36*(1-Settings!$B$8),1)))</f>
        <v/>
      </c>
      <c r="J36" s="85" t="str">
        <f aca="false">IF(I36="","",IF(I36&gt;=Settings!$E$11,Settings!$F$11,IF(I36&gt;=Settings!$E$12,Settings!$F$12,IF(I36&gt;=Settings!$E$13,Settings!$F$13,IF(I36&gt;=Settings!$E$14,Settings!$F$14,Settings!$F$15)))))</f>
        <v/>
      </c>
      <c r="K36" s="85" t="str">
        <f aca="false">IF(I36="","",IF(I36&gt;=Settings!$E$11,Settings!$G$11,IF(I36&gt;=Settings!$E$12,Settings!$G$12,IF(I36&gt;=Settings!$E$13,Settings!$G$13,IF(I36&gt;=Settings!$E$14,Settings!$G$14,Settings!$G$15)))))</f>
        <v/>
      </c>
    </row>
    <row r="37" customFormat="false" ht="19.5" hidden="false" customHeight="true" outlineLevel="0" collapsed="false">
      <c r="A37" s="52"/>
      <c r="B37" s="89" t="str">
        <f aca="false">IF(A37="","",IFERROR(INDEX(Students!$B$5:$B$304,MATCH(A37,Students!$A$5:$A$304,0)),"ID not found"))</f>
        <v/>
      </c>
      <c r="C37" s="85" t="str">
        <f aca="false">IF(A37="","",IFERROR(INDEX(Students!$E$5:$E$304,MATCH(A37,Students!$A$5:$A$304,0)),""))</f>
        <v/>
      </c>
      <c r="D37" s="85" t="str">
        <f aca="false">IF(A37="","",IFERROR(INDEX(Students!$F$5:$F$304,MATCH(A37,Students!$A$5:$A$304,0)),""))</f>
        <v/>
      </c>
      <c r="E37" s="86"/>
      <c r="F37" s="52"/>
      <c r="G37" s="52"/>
      <c r="H37" s="52"/>
      <c r="I37" s="93" t="str">
        <f aca="false">IF(COUNT(G37:H37)=0,"",IF(COUNT(G37:H37)=1,SUM(G37:H37),ROUND(G37*Settings!$B$8+H37*(1-Settings!$B$8),1)))</f>
        <v/>
      </c>
      <c r="J37" s="85" t="str">
        <f aca="false">IF(I37="","",IF(I37&gt;=Settings!$E$11,Settings!$F$11,IF(I37&gt;=Settings!$E$12,Settings!$F$12,IF(I37&gt;=Settings!$E$13,Settings!$F$13,IF(I37&gt;=Settings!$E$14,Settings!$F$14,Settings!$F$15)))))</f>
        <v/>
      </c>
      <c r="K37" s="85" t="str">
        <f aca="false">IF(I37="","",IF(I37&gt;=Settings!$E$11,Settings!$G$11,IF(I37&gt;=Settings!$E$12,Settings!$G$12,IF(I37&gt;=Settings!$E$13,Settings!$G$13,IF(I37&gt;=Settings!$E$14,Settings!$G$14,Settings!$G$15)))))</f>
        <v/>
      </c>
    </row>
    <row r="38" customFormat="false" ht="19.5" hidden="false" customHeight="true" outlineLevel="0" collapsed="false">
      <c r="A38" s="52"/>
      <c r="B38" s="89" t="str">
        <f aca="false">IF(A38="","",IFERROR(INDEX(Students!$B$5:$B$304,MATCH(A38,Students!$A$5:$A$304,0)),"ID not found"))</f>
        <v/>
      </c>
      <c r="C38" s="85" t="str">
        <f aca="false">IF(A38="","",IFERROR(INDEX(Students!$E$5:$E$304,MATCH(A38,Students!$A$5:$A$304,0)),""))</f>
        <v/>
      </c>
      <c r="D38" s="85" t="str">
        <f aca="false">IF(A38="","",IFERROR(INDEX(Students!$F$5:$F$304,MATCH(A38,Students!$A$5:$A$304,0)),""))</f>
        <v/>
      </c>
      <c r="E38" s="86"/>
      <c r="F38" s="52"/>
      <c r="G38" s="52"/>
      <c r="H38" s="52"/>
      <c r="I38" s="93" t="str">
        <f aca="false">IF(COUNT(G38:H38)=0,"",IF(COUNT(G38:H38)=1,SUM(G38:H38),ROUND(G38*Settings!$B$8+H38*(1-Settings!$B$8),1)))</f>
        <v/>
      </c>
      <c r="J38" s="85" t="str">
        <f aca="false">IF(I38="","",IF(I38&gt;=Settings!$E$11,Settings!$F$11,IF(I38&gt;=Settings!$E$12,Settings!$F$12,IF(I38&gt;=Settings!$E$13,Settings!$F$13,IF(I38&gt;=Settings!$E$14,Settings!$F$14,Settings!$F$15)))))</f>
        <v/>
      </c>
      <c r="K38" s="85" t="str">
        <f aca="false">IF(I38="","",IF(I38&gt;=Settings!$E$11,Settings!$G$11,IF(I38&gt;=Settings!$E$12,Settings!$G$12,IF(I38&gt;=Settings!$E$13,Settings!$G$13,IF(I38&gt;=Settings!$E$14,Settings!$G$14,Settings!$G$15)))))</f>
        <v/>
      </c>
    </row>
    <row r="39" customFormat="false" ht="19.5" hidden="false" customHeight="true" outlineLevel="0" collapsed="false">
      <c r="A39" s="52"/>
      <c r="B39" s="89" t="str">
        <f aca="false">IF(A39="","",IFERROR(INDEX(Students!$B$5:$B$304,MATCH(A39,Students!$A$5:$A$304,0)),"ID not found"))</f>
        <v/>
      </c>
      <c r="C39" s="85" t="str">
        <f aca="false">IF(A39="","",IFERROR(INDEX(Students!$E$5:$E$304,MATCH(A39,Students!$A$5:$A$304,0)),""))</f>
        <v/>
      </c>
      <c r="D39" s="85" t="str">
        <f aca="false">IF(A39="","",IFERROR(INDEX(Students!$F$5:$F$304,MATCH(A39,Students!$A$5:$A$304,0)),""))</f>
        <v/>
      </c>
      <c r="E39" s="86"/>
      <c r="F39" s="52"/>
      <c r="G39" s="52"/>
      <c r="H39" s="52"/>
      <c r="I39" s="93" t="str">
        <f aca="false">IF(COUNT(G39:H39)=0,"",IF(COUNT(G39:H39)=1,SUM(G39:H39),ROUND(G39*Settings!$B$8+H39*(1-Settings!$B$8),1)))</f>
        <v/>
      </c>
      <c r="J39" s="85" t="str">
        <f aca="false">IF(I39="","",IF(I39&gt;=Settings!$E$11,Settings!$F$11,IF(I39&gt;=Settings!$E$12,Settings!$F$12,IF(I39&gt;=Settings!$E$13,Settings!$F$13,IF(I39&gt;=Settings!$E$14,Settings!$F$14,Settings!$F$15)))))</f>
        <v/>
      </c>
      <c r="K39" s="85" t="str">
        <f aca="false">IF(I39="","",IF(I39&gt;=Settings!$E$11,Settings!$G$11,IF(I39&gt;=Settings!$E$12,Settings!$G$12,IF(I39&gt;=Settings!$E$13,Settings!$G$13,IF(I39&gt;=Settings!$E$14,Settings!$G$14,Settings!$G$15)))))</f>
        <v/>
      </c>
    </row>
    <row r="40" customFormat="false" ht="19.5" hidden="false" customHeight="true" outlineLevel="0" collapsed="false">
      <c r="A40" s="52"/>
      <c r="B40" s="89" t="str">
        <f aca="false">IF(A40="","",IFERROR(INDEX(Students!$B$5:$B$304,MATCH(A40,Students!$A$5:$A$304,0)),"ID not found"))</f>
        <v/>
      </c>
      <c r="C40" s="85" t="str">
        <f aca="false">IF(A40="","",IFERROR(INDEX(Students!$E$5:$E$304,MATCH(A40,Students!$A$5:$A$304,0)),""))</f>
        <v/>
      </c>
      <c r="D40" s="85" t="str">
        <f aca="false">IF(A40="","",IFERROR(INDEX(Students!$F$5:$F$304,MATCH(A40,Students!$A$5:$A$304,0)),""))</f>
        <v/>
      </c>
      <c r="E40" s="86"/>
      <c r="F40" s="52"/>
      <c r="G40" s="52"/>
      <c r="H40" s="52"/>
      <c r="I40" s="93" t="str">
        <f aca="false">IF(COUNT(G40:H40)=0,"",IF(COUNT(G40:H40)=1,SUM(G40:H40),ROUND(G40*Settings!$B$8+H40*(1-Settings!$B$8),1)))</f>
        <v/>
      </c>
      <c r="J40" s="85" t="str">
        <f aca="false">IF(I40="","",IF(I40&gt;=Settings!$E$11,Settings!$F$11,IF(I40&gt;=Settings!$E$12,Settings!$F$12,IF(I40&gt;=Settings!$E$13,Settings!$F$13,IF(I40&gt;=Settings!$E$14,Settings!$F$14,Settings!$F$15)))))</f>
        <v/>
      </c>
      <c r="K40" s="85" t="str">
        <f aca="false">IF(I40="","",IF(I40&gt;=Settings!$E$11,Settings!$G$11,IF(I40&gt;=Settings!$E$12,Settings!$G$12,IF(I40&gt;=Settings!$E$13,Settings!$G$13,IF(I40&gt;=Settings!$E$14,Settings!$G$14,Settings!$G$15)))))</f>
        <v/>
      </c>
    </row>
    <row r="41" customFormat="false" ht="19.5" hidden="false" customHeight="true" outlineLevel="0" collapsed="false">
      <c r="A41" s="52"/>
      <c r="B41" s="89" t="str">
        <f aca="false">IF(A41="","",IFERROR(INDEX(Students!$B$5:$B$304,MATCH(A41,Students!$A$5:$A$304,0)),"ID not found"))</f>
        <v/>
      </c>
      <c r="C41" s="85" t="str">
        <f aca="false">IF(A41="","",IFERROR(INDEX(Students!$E$5:$E$304,MATCH(A41,Students!$A$5:$A$304,0)),""))</f>
        <v/>
      </c>
      <c r="D41" s="85" t="str">
        <f aca="false">IF(A41="","",IFERROR(INDEX(Students!$F$5:$F$304,MATCH(A41,Students!$A$5:$A$304,0)),""))</f>
        <v/>
      </c>
      <c r="E41" s="86"/>
      <c r="F41" s="52"/>
      <c r="G41" s="52"/>
      <c r="H41" s="52"/>
      <c r="I41" s="93" t="str">
        <f aca="false">IF(COUNT(G41:H41)=0,"",IF(COUNT(G41:H41)=1,SUM(G41:H41),ROUND(G41*Settings!$B$8+H41*(1-Settings!$B$8),1)))</f>
        <v/>
      </c>
      <c r="J41" s="85" t="str">
        <f aca="false">IF(I41="","",IF(I41&gt;=Settings!$E$11,Settings!$F$11,IF(I41&gt;=Settings!$E$12,Settings!$F$12,IF(I41&gt;=Settings!$E$13,Settings!$F$13,IF(I41&gt;=Settings!$E$14,Settings!$F$14,Settings!$F$15)))))</f>
        <v/>
      </c>
      <c r="K41" s="85" t="str">
        <f aca="false">IF(I41="","",IF(I41&gt;=Settings!$E$11,Settings!$G$11,IF(I41&gt;=Settings!$E$12,Settings!$G$12,IF(I41&gt;=Settings!$E$13,Settings!$G$13,IF(I41&gt;=Settings!$E$14,Settings!$G$14,Settings!$G$15)))))</f>
        <v/>
      </c>
    </row>
    <row r="42" customFormat="false" ht="19.5" hidden="false" customHeight="true" outlineLevel="0" collapsed="false">
      <c r="A42" s="52"/>
      <c r="B42" s="89" t="str">
        <f aca="false">IF(A42="","",IFERROR(INDEX(Students!$B$5:$B$304,MATCH(A42,Students!$A$5:$A$304,0)),"ID not found"))</f>
        <v/>
      </c>
      <c r="C42" s="85" t="str">
        <f aca="false">IF(A42="","",IFERROR(INDEX(Students!$E$5:$E$304,MATCH(A42,Students!$A$5:$A$304,0)),""))</f>
        <v/>
      </c>
      <c r="D42" s="85" t="str">
        <f aca="false">IF(A42="","",IFERROR(INDEX(Students!$F$5:$F$304,MATCH(A42,Students!$A$5:$A$304,0)),""))</f>
        <v/>
      </c>
      <c r="E42" s="86"/>
      <c r="F42" s="52"/>
      <c r="G42" s="52"/>
      <c r="H42" s="52"/>
      <c r="I42" s="93" t="str">
        <f aca="false">IF(COUNT(G42:H42)=0,"",IF(COUNT(G42:H42)=1,SUM(G42:H42),ROUND(G42*Settings!$B$8+H42*(1-Settings!$B$8),1)))</f>
        <v/>
      </c>
      <c r="J42" s="85" t="str">
        <f aca="false">IF(I42="","",IF(I42&gt;=Settings!$E$11,Settings!$F$11,IF(I42&gt;=Settings!$E$12,Settings!$F$12,IF(I42&gt;=Settings!$E$13,Settings!$F$13,IF(I42&gt;=Settings!$E$14,Settings!$F$14,Settings!$F$15)))))</f>
        <v/>
      </c>
      <c r="K42" s="85" t="str">
        <f aca="false">IF(I42="","",IF(I42&gt;=Settings!$E$11,Settings!$G$11,IF(I42&gt;=Settings!$E$12,Settings!$G$12,IF(I42&gt;=Settings!$E$13,Settings!$G$13,IF(I42&gt;=Settings!$E$14,Settings!$G$14,Settings!$G$15)))))</f>
        <v/>
      </c>
    </row>
    <row r="43" customFormat="false" ht="19.5" hidden="false" customHeight="true" outlineLevel="0" collapsed="false">
      <c r="A43" s="52"/>
      <c r="B43" s="89" t="str">
        <f aca="false">IF(A43="","",IFERROR(INDEX(Students!$B$5:$B$304,MATCH(A43,Students!$A$5:$A$304,0)),"ID not found"))</f>
        <v/>
      </c>
      <c r="C43" s="85" t="str">
        <f aca="false">IF(A43="","",IFERROR(INDEX(Students!$E$5:$E$304,MATCH(A43,Students!$A$5:$A$304,0)),""))</f>
        <v/>
      </c>
      <c r="D43" s="85" t="str">
        <f aca="false">IF(A43="","",IFERROR(INDEX(Students!$F$5:$F$304,MATCH(A43,Students!$A$5:$A$304,0)),""))</f>
        <v/>
      </c>
      <c r="E43" s="86"/>
      <c r="F43" s="52"/>
      <c r="G43" s="52"/>
      <c r="H43" s="52"/>
      <c r="I43" s="93" t="str">
        <f aca="false">IF(COUNT(G43:H43)=0,"",IF(COUNT(G43:H43)=1,SUM(G43:H43),ROUND(G43*Settings!$B$8+H43*(1-Settings!$B$8),1)))</f>
        <v/>
      </c>
      <c r="J43" s="85" t="str">
        <f aca="false">IF(I43="","",IF(I43&gt;=Settings!$E$11,Settings!$F$11,IF(I43&gt;=Settings!$E$12,Settings!$F$12,IF(I43&gt;=Settings!$E$13,Settings!$F$13,IF(I43&gt;=Settings!$E$14,Settings!$F$14,Settings!$F$15)))))</f>
        <v/>
      </c>
      <c r="K43" s="85" t="str">
        <f aca="false">IF(I43="","",IF(I43&gt;=Settings!$E$11,Settings!$G$11,IF(I43&gt;=Settings!$E$12,Settings!$G$12,IF(I43&gt;=Settings!$E$13,Settings!$G$13,IF(I43&gt;=Settings!$E$14,Settings!$G$14,Settings!$G$15)))))</f>
        <v/>
      </c>
    </row>
    <row r="44" customFormat="false" ht="19.5" hidden="false" customHeight="true" outlineLevel="0" collapsed="false">
      <c r="A44" s="52"/>
      <c r="B44" s="89" t="str">
        <f aca="false">IF(A44="","",IFERROR(INDEX(Students!$B$5:$B$304,MATCH(A44,Students!$A$5:$A$304,0)),"ID not found"))</f>
        <v/>
      </c>
      <c r="C44" s="85" t="str">
        <f aca="false">IF(A44="","",IFERROR(INDEX(Students!$E$5:$E$304,MATCH(A44,Students!$A$5:$A$304,0)),""))</f>
        <v/>
      </c>
      <c r="D44" s="85" t="str">
        <f aca="false">IF(A44="","",IFERROR(INDEX(Students!$F$5:$F$304,MATCH(A44,Students!$A$5:$A$304,0)),""))</f>
        <v/>
      </c>
      <c r="E44" s="86"/>
      <c r="F44" s="52"/>
      <c r="G44" s="52"/>
      <c r="H44" s="52"/>
      <c r="I44" s="93" t="str">
        <f aca="false">IF(COUNT(G44:H44)=0,"",IF(COUNT(G44:H44)=1,SUM(G44:H44),ROUND(G44*Settings!$B$8+H44*(1-Settings!$B$8),1)))</f>
        <v/>
      </c>
      <c r="J44" s="85" t="str">
        <f aca="false">IF(I44="","",IF(I44&gt;=Settings!$E$11,Settings!$F$11,IF(I44&gt;=Settings!$E$12,Settings!$F$12,IF(I44&gt;=Settings!$E$13,Settings!$F$13,IF(I44&gt;=Settings!$E$14,Settings!$F$14,Settings!$F$15)))))</f>
        <v/>
      </c>
      <c r="K44" s="85" t="str">
        <f aca="false">IF(I44="","",IF(I44&gt;=Settings!$E$11,Settings!$G$11,IF(I44&gt;=Settings!$E$12,Settings!$G$12,IF(I44&gt;=Settings!$E$13,Settings!$G$13,IF(I44&gt;=Settings!$E$14,Settings!$G$14,Settings!$G$15)))))</f>
        <v/>
      </c>
    </row>
    <row r="45" customFormat="false" ht="19.5" hidden="false" customHeight="true" outlineLevel="0" collapsed="false">
      <c r="A45" s="52"/>
      <c r="B45" s="89" t="str">
        <f aca="false">IF(A45="","",IFERROR(INDEX(Students!$B$5:$B$304,MATCH(A45,Students!$A$5:$A$304,0)),"ID not found"))</f>
        <v/>
      </c>
      <c r="C45" s="85" t="str">
        <f aca="false">IF(A45="","",IFERROR(INDEX(Students!$E$5:$E$304,MATCH(A45,Students!$A$5:$A$304,0)),""))</f>
        <v/>
      </c>
      <c r="D45" s="85" t="str">
        <f aca="false">IF(A45="","",IFERROR(INDEX(Students!$F$5:$F$304,MATCH(A45,Students!$A$5:$A$304,0)),""))</f>
        <v/>
      </c>
      <c r="E45" s="86"/>
      <c r="F45" s="52"/>
      <c r="G45" s="52"/>
      <c r="H45" s="52"/>
      <c r="I45" s="93" t="str">
        <f aca="false">IF(COUNT(G45:H45)=0,"",IF(COUNT(G45:H45)=1,SUM(G45:H45),ROUND(G45*Settings!$B$8+H45*(1-Settings!$B$8),1)))</f>
        <v/>
      </c>
      <c r="J45" s="85" t="str">
        <f aca="false">IF(I45="","",IF(I45&gt;=Settings!$E$11,Settings!$F$11,IF(I45&gt;=Settings!$E$12,Settings!$F$12,IF(I45&gt;=Settings!$E$13,Settings!$F$13,IF(I45&gt;=Settings!$E$14,Settings!$F$14,Settings!$F$15)))))</f>
        <v/>
      </c>
      <c r="K45" s="85" t="str">
        <f aca="false">IF(I45="","",IF(I45&gt;=Settings!$E$11,Settings!$G$11,IF(I45&gt;=Settings!$E$12,Settings!$G$12,IF(I45&gt;=Settings!$E$13,Settings!$G$13,IF(I45&gt;=Settings!$E$14,Settings!$G$14,Settings!$G$15)))))</f>
        <v/>
      </c>
    </row>
    <row r="46" customFormat="false" ht="19.5" hidden="false" customHeight="true" outlineLevel="0" collapsed="false">
      <c r="A46" s="52"/>
      <c r="B46" s="89" t="str">
        <f aca="false">IF(A46="","",IFERROR(INDEX(Students!$B$5:$B$304,MATCH(A46,Students!$A$5:$A$304,0)),"ID not found"))</f>
        <v/>
      </c>
      <c r="C46" s="85" t="str">
        <f aca="false">IF(A46="","",IFERROR(INDEX(Students!$E$5:$E$304,MATCH(A46,Students!$A$5:$A$304,0)),""))</f>
        <v/>
      </c>
      <c r="D46" s="85" t="str">
        <f aca="false">IF(A46="","",IFERROR(INDEX(Students!$F$5:$F$304,MATCH(A46,Students!$A$5:$A$304,0)),""))</f>
        <v/>
      </c>
      <c r="E46" s="86"/>
      <c r="F46" s="52"/>
      <c r="G46" s="52"/>
      <c r="H46" s="52"/>
      <c r="I46" s="93" t="str">
        <f aca="false">IF(COUNT(G46:H46)=0,"",IF(COUNT(G46:H46)=1,SUM(G46:H46),ROUND(G46*Settings!$B$8+H46*(1-Settings!$B$8),1)))</f>
        <v/>
      </c>
      <c r="J46" s="85" t="str">
        <f aca="false">IF(I46="","",IF(I46&gt;=Settings!$E$11,Settings!$F$11,IF(I46&gt;=Settings!$E$12,Settings!$F$12,IF(I46&gt;=Settings!$E$13,Settings!$F$13,IF(I46&gt;=Settings!$E$14,Settings!$F$14,Settings!$F$15)))))</f>
        <v/>
      </c>
      <c r="K46" s="85" t="str">
        <f aca="false">IF(I46="","",IF(I46&gt;=Settings!$E$11,Settings!$G$11,IF(I46&gt;=Settings!$E$12,Settings!$G$12,IF(I46&gt;=Settings!$E$13,Settings!$G$13,IF(I46&gt;=Settings!$E$14,Settings!$G$14,Settings!$G$15)))))</f>
        <v/>
      </c>
    </row>
    <row r="47" customFormat="false" ht="19.5" hidden="false" customHeight="true" outlineLevel="0" collapsed="false">
      <c r="A47" s="52"/>
      <c r="B47" s="89" t="str">
        <f aca="false">IF(A47="","",IFERROR(INDEX(Students!$B$5:$B$304,MATCH(A47,Students!$A$5:$A$304,0)),"ID not found"))</f>
        <v/>
      </c>
      <c r="C47" s="85" t="str">
        <f aca="false">IF(A47="","",IFERROR(INDEX(Students!$E$5:$E$304,MATCH(A47,Students!$A$5:$A$304,0)),""))</f>
        <v/>
      </c>
      <c r="D47" s="85" t="str">
        <f aca="false">IF(A47="","",IFERROR(INDEX(Students!$F$5:$F$304,MATCH(A47,Students!$A$5:$A$304,0)),""))</f>
        <v/>
      </c>
      <c r="E47" s="86"/>
      <c r="F47" s="52"/>
      <c r="G47" s="52"/>
      <c r="H47" s="52"/>
      <c r="I47" s="93" t="str">
        <f aca="false">IF(COUNT(G47:H47)=0,"",IF(COUNT(G47:H47)=1,SUM(G47:H47),ROUND(G47*Settings!$B$8+H47*(1-Settings!$B$8),1)))</f>
        <v/>
      </c>
      <c r="J47" s="85" t="str">
        <f aca="false">IF(I47="","",IF(I47&gt;=Settings!$E$11,Settings!$F$11,IF(I47&gt;=Settings!$E$12,Settings!$F$12,IF(I47&gt;=Settings!$E$13,Settings!$F$13,IF(I47&gt;=Settings!$E$14,Settings!$F$14,Settings!$F$15)))))</f>
        <v/>
      </c>
      <c r="K47" s="85" t="str">
        <f aca="false">IF(I47="","",IF(I47&gt;=Settings!$E$11,Settings!$G$11,IF(I47&gt;=Settings!$E$12,Settings!$G$12,IF(I47&gt;=Settings!$E$13,Settings!$G$13,IF(I47&gt;=Settings!$E$14,Settings!$G$14,Settings!$G$15)))))</f>
        <v/>
      </c>
    </row>
    <row r="48" customFormat="false" ht="19.5" hidden="false" customHeight="true" outlineLevel="0" collapsed="false">
      <c r="A48" s="52"/>
      <c r="B48" s="89" t="str">
        <f aca="false">IF(A48="","",IFERROR(INDEX(Students!$B$5:$B$304,MATCH(A48,Students!$A$5:$A$304,0)),"ID not found"))</f>
        <v/>
      </c>
      <c r="C48" s="85" t="str">
        <f aca="false">IF(A48="","",IFERROR(INDEX(Students!$E$5:$E$304,MATCH(A48,Students!$A$5:$A$304,0)),""))</f>
        <v/>
      </c>
      <c r="D48" s="85" t="str">
        <f aca="false">IF(A48="","",IFERROR(INDEX(Students!$F$5:$F$304,MATCH(A48,Students!$A$5:$A$304,0)),""))</f>
        <v/>
      </c>
      <c r="E48" s="86"/>
      <c r="F48" s="52"/>
      <c r="G48" s="52"/>
      <c r="H48" s="52"/>
      <c r="I48" s="93" t="str">
        <f aca="false">IF(COUNT(G48:H48)=0,"",IF(COUNT(G48:H48)=1,SUM(G48:H48),ROUND(G48*Settings!$B$8+H48*(1-Settings!$B$8),1)))</f>
        <v/>
      </c>
      <c r="J48" s="85" t="str">
        <f aca="false">IF(I48="","",IF(I48&gt;=Settings!$E$11,Settings!$F$11,IF(I48&gt;=Settings!$E$12,Settings!$F$12,IF(I48&gt;=Settings!$E$13,Settings!$F$13,IF(I48&gt;=Settings!$E$14,Settings!$F$14,Settings!$F$15)))))</f>
        <v/>
      </c>
      <c r="K48" s="85" t="str">
        <f aca="false">IF(I48="","",IF(I48&gt;=Settings!$E$11,Settings!$G$11,IF(I48&gt;=Settings!$E$12,Settings!$G$12,IF(I48&gt;=Settings!$E$13,Settings!$G$13,IF(I48&gt;=Settings!$E$14,Settings!$G$14,Settings!$G$15)))))</f>
        <v/>
      </c>
    </row>
    <row r="49" customFormat="false" ht="19.5" hidden="false" customHeight="true" outlineLevel="0" collapsed="false">
      <c r="A49" s="52"/>
      <c r="B49" s="89" t="str">
        <f aca="false">IF(A49="","",IFERROR(INDEX(Students!$B$5:$B$304,MATCH(A49,Students!$A$5:$A$304,0)),"ID not found"))</f>
        <v/>
      </c>
      <c r="C49" s="85" t="str">
        <f aca="false">IF(A49="","",IFERROR(INDEX(Students!$E$5:$E$304,MATCH(A49,Students!$A$5:$A$304,0)),""))</f>
        <v/>
      </c>
      <c r="D49" s="85" t="str">
        <f aca="false">IF(A49="","",IFERROR(INDEX(Students!$F$5:$F$304,MATCH(A49,Students!$A$5:$A$304,0)),""))</f>
        <v/>
      </c>
      <c r="E49" s="86"/>
      <c r="F49" s="52"/>
      <c r="G49" s="52"/>
      <c r="H49" s="52"/>
      <c r="I49" s="93" t="str">
        <f aca="false">IF(COUNT(G49:H49)=0,"",IF(COUNT(G49:H49)=1,SUM(G49:H49),ROUND(G49*Settings!$B$8+H49*(1-Settings!$B$8),1)))</f>
        <v/>
      </c>
      <c r="J49" s="85" t="str">
        <f aca="false">IF(I49="","",IF(I49&gt;=Settings!$E$11,Settings!$F$11,IF(I49&gt;=Settings!$E$12,Settings!$F$12,IF(I49&gt;=Settings!$E$13,Settings!$F$13,IF(I49&gt;=Settings!$E$14,Settings!$F$14,Settings!$F$15)))))</f>
        <v/>
      </c>
      <c r="K49" s="85" t="str">
        <f aca="false">IF(I49="","",IF(I49&gt;=Settings!$E$11,Settings!$G$11,IF(I49&gt;=Settings!$E$12,Settings!$G$12,IF(I49&gt;=Settings!$E$13,Settings!$G$13,IF(I49&gt;=Settings!$E$14,Settings!$G$14,Settings!$G$15)))))</f>
        <v/>
      </c>
    </row>
    <row r="50" customFormat="false" ht="19.5" hidden="false" customHeight="true" outlineLevel="0" collapsed="false">
      <c r="A50" s="52"/>
      <c r="B50" s="89" t="str">
        <f aca="false">IF(A50="","",IFERROR(INDEX(Students!$B$5:$B$304,MATCH(A50,Students!$A$5:$A$304,0)),"ID not found"))</f>
        <v/>
      </c>
      <c r="C50" s="85" t="str">
        <f aca="false">IF(A50="","",IFERROR(INDEX(Students!$E$5:$E$304,MATCH(A50,Students!$A$5:$A$304,0)),""))</f>
        <v/>
      </c>
      <c r="D50" s="85" t="str">
        <f aca="false">IF(A50="","",IFERROR(INDEX(Students!$F$5:$F$304,MATCH(A50,Students!$A$5:$A$304,0)),""))</f>
        <v/>
      </c>
      <c r="E50" s="86"/>
      <c r="F50" s="52"/>
      <c r="G50" s="52"/>
      <c r="H50" s="52"/>
      <c r="I50" s="93" t="str">
        <f aca="false">IF(COUNT(G50:H50)=0,"",IF(COUNT(G50:H50)=1,SUM(G50:H50),ROUND(G50*Settings!$B$8+H50*(1-Settings!$B$8),1)))</f>
        <v/>
      </c>
      <c r="J50" s="85" t="str">
        <f aca="false">IF(I50="","",IF(I50&gt;=Settings!$E$11,Settings!$F$11,IF(I50&gt;=Settings!$E$12,Settings!$F$12,IF(I50&gt;=Settings!$E$13,Settings!$F$13,IF(I50&gt;=Settings!$E$14,Settings!$F$14,Settings!$F$15)))))</f>
        <v/>
      </c>
      <c r="K50" s="85" t="str">
        <f aca="false">IF(I50="","",IF(I50&gt;=Settings!$E$11,Settings!$G$11,IF(I50&gt;=Settings!$E$12,Settings!$G$12,IF(I50&gt;=Settings!$E$13,Settings!$G$13,IF(I50&gt;=Settings!$E$14,Settings!$G$14,Settings!$G$15)))))</f>
        <v/>
      </c>
    </row>
    <row r="51" customFormat="false" ht="19.5" hidden="false" customHeight="true" outlineLevel="0" collapsed="false">
      <c r="A51" s="52"/>
      <c r="B51" s="89" t="str">
        <f aca="false">IF(A51="","",IFERROR(INDEX(Students!$B$5:$B$304,MATCH(A51,Students!$A$5:$A$304,0)),"ID not found"))</f>
        <v/>
      </c>
      <c r="C51" s="85" t="str">
        <f aca="false">IF(A51="","",IFERROR(INDEX(Students!$E$5:$E$304,MATCH(A51,Students!$A$5:$A$304,0)),""))</f>
        <v/>
      </c>
      <c r="D51" s="85" t="str">
        <f aca="false">IF(A51="","",IFERROR(INDEX(Students!$F$5:$F$304,MATCH(A51,Students!$A$5:$A$304,0)),""))</f>
        <v/>
      </c>
      <c r="E51" s="86"/>
      <c r="F51" s="52"/>
      <c r="G51" s="52"/>
      <c r="H51" s="52"/>
      <c r="I51" s="93" t="str">
        <f aca="false">IF(COUNT(G51:H51)=0,"",IF(COUNT(G51:H51)=1,SUM(G51:H51),ROUND(G51*Settings!$B$8+H51*(1-Settings!$B$8),1)))</f>
        <v/>
      </c>
      <c r="J51" s="85" t="str">
        <f aca="false">IF(I51="","",IF(I51&gt;=Settings!$E$11,Settings!$F$11,IF(I51&gt;=Settings!$E$12,Settings!$F$12,IF(I51&gt;=Settings!$E$13,Settings!$F$13,IF(I51&gt;=Settings!$E$14,Settings!$F$14,Settings!$F$15)))))</f>
        <v/>
      </c>
      <c r="K51" s="85" t="str">
        <f aca="false">IF(I51="","",IF(I51&gt;=Settings!$E$11,Settings!$G$11,IF(I51&gt;=Settings!$E$12,Settings!$G$12,IF(I51&gt;=Settings!$E$13,Settings!$G$13,IF(I51&gt;=Settings!$E$14,Settings!$G$14,Settings!$G$15)))))</f>
        <v/>
      </c>
    </row>
    <row r="52" customFormat="false" ht="19.5" hidden="false" customHeight="true" outlineLevel="0" collapsed="false">
      <c r="A52" s="52"/>
      <c r="B52" s="89" t="str">
        <f aca="false">IF(A52="","",IFERROR(INDEX(Students!$B$5:$B$304,MATCH(A52,Students!$A$5:$A$304,0)),"ID not found"))</f>
        <v/>
      </c>
      <c r="C52" s="85" t="str">
        <f aca="false">IF(A52="","",IFERROR(INDEX(Students!$E$5:$E$304,MATCH(A52,Students!$A$5:$A$304,0)),""))</f>
        <v/>
      </c>
      <c r="D52" s="85" t="str">
        <f aca="false">IF(A52="","",IFERROR(INDEX(Students!$F$5:$F$304,MATCH(A52,Students!$A$5:$A$304,0)),""))</f>
        <v/>
      </c>
      <c r="E52" s="86"/>
      <c r="F52" s="52"/>
      <c r="G52" s="52"/>
      <c r="H52" s="52"/>
      <c r="I52" s="93" t="str">
        <f aca="false">IF(COUNT(G52:H52)=0,"",IF(COUNT(G52:H52)=1,SUM(G52:H52),ROUND(G52*Settings!$B$8+H52*(1-Settings!$B$8),1)))</f>
        <v/>
      </c>
      <c r="J52" s="85" t="str">
        <f aca="false">IF(I52="","",IF(I52&gt;=Settings!$E$11,Settings!$F$11,IF(I52&gt;=Settings!$E$12,Settings!$F$12,IF(I52&gt;=Settings!$E$13,Settings!$F$13,IF(I52&gt;=Settings!$E$14,Settings!$F$14,Settings!$F$15)))))</f>
        <v/>
      </c>
      <c r="K52" s="85" t="str">
        <f aca="false">IF(I52="","",IF(I52&gt;=Settings!$E$11,Settings!$G$11,IF(I52&gt;=Settings!$E$12,Settings!$G$12,IF(I52&gt;=Settings!$E$13,Settings!$G$13,IF(I52&gt;=Settings!$E$14,Settings!$G$14,Settings!$G$15)))))</f>
        <v/>
      </c>
    </row>
    <row r="53" customFormat="false" ht="19.5" hidden="false" customHeight="true" outlineLevel="0" collapsed="false">
      <c r="A53" s="52"/>
      <c r="B53" s="89" t="str">
        <f aca="false">IF(A53="","",IFERROR(INDEX(Students!$B$5:$B$304,MATCH(A53,Students!$A$5:$A$304,0)),"ID not found"))</f>
        <v/>
      </c>
      <c r="C53" s="85" t="str">
        <f aca="false">IF(A53="","",IFERROR(INDEX(Students!$E$5:$E$304,MATCH(A53,Students!$A$5:$A$304,0)),""))</f>
        <v/>
      </c>
      <c r="D53" s="85" t="str">
        <f aca="false">IF(A53="","",IFERROR(INDEX(Students!$F$5:$F$304,MATCH(A53,Students!$A$5:$A$304,0)),""))</f>
        <v/>
      </c>
      <c r="E53" s="86"/>
      <c r="F53" s="52"/>
      <c r="G53" s="52"/>
      <c r="H53" s="52"/>
      <c r="I53" s="93" t="str">
        <f aca="false">IF(COUNT(G53:H53)=0,"",IF(COUNT(G53:H53)=1,SUM(G53:H53),ROUND(G53*Settings!$B$8+H53*(1-Settings!$B$8),1)))</f>
        <v/>
      </c>
      <c r="J53" s="85" t="str">
        <f aca="false">IF(I53="","",IF(I53&gt;=Settings!$E$11,Settings!$F$11,IF(I53&gt;=Settings!$E$12,Settings!$F$12,IF(I53&gt;=Settings!$E$13,Settings!$F$13,IF(I53&gt;=Settings!$E$14,Settings!$F$14,Settings!$F$15)))))</f>
        <v/>
      </c>
      <c r="K53" s="85" t="str">
        <f aca="false">IF(I53="","",IF(I53&gt;=Settings!$E$11,Settings!$G$11,IF(I53&gt;=Settings!$E$12,Settings!$G$12,IF(I53&gt;=Settings!$E$13,Settings!$G$13,IF(I53&gt;=Settings!$E$14,Settings!$G$14,Settings!$G$15)))))</f>
        <v/>
      </c>
    </row>
    <row r="54" customFormat="false" ht="19.5" hidden="false" customHeight="true" outlineLevel="0" collapsed="false">
      <c r="A54" s="52"/>
      <c r="B54" s="89" t="str">
        <f aca="false">IF(A54="","",IFERROR(INDEX(Students!$B$5:$B$304,MATCH(A54,Students!$A$5:$A$304,0)),"ID not found"))</f>
        <v/>
      </c>
      <c r="C54" s="85" t="str">
        <f aca="false">IF(A54="","",IFERROR(INDEX(Students!$E$5:$E$304,MATCH(A54,Students!$A$5:$A$304,0)),""))</f>
        <v/>
      </c>
      <c r="D54" s="85" t="str">
        <f aca="false">IF(A54="","",IFERROR(INDEX(Students!$F$5:$F$304,MATCH(A54,Students!$A$5:$A$304,0)),""))</f>
        <v/>
      </c>
      <c r="E54" s="86"/>
      <c r="F54" s="52"/>
      <c r="G54" s="52"/>
      <c r="H54" s="52"/>
      <c r="I54" s="93" t="str">
        <f aca="false">IF(COUNT(G54:H54)=0,"",IF(COUNT(G54:H54)=1,SUM(G54:H54),ROUND(G54*Settings!$B$8+H54*(1-Settings!$B$8),1)))</f>
        <v/>
      </c>
      <c r="J54" s="85" t="str">
        <f aca="false">IF(I54="","",IF(I54&gt;=Settings!$E$11,Settings!$F$11,IF(I54&gt;=Settings!$E$12,Settings!$F$12,IF(I54&gt;=Settings!$E$13,Settings!$F$13,IF(I54&gt;=Settings!$E$14,Settings!$F$14,Settings!$F$15)))))</f>
        <v/>
      </c>
      <c r="K54" s="85" t="str">
        <f aca="false">IF(I54="","",IF(I54&gt;=Settings!$E$11,Settings!$G$11,IF(I54&gt;=Settings!$E$12,Settings!$G$12,IF(I54&gt;=Settings!$E$13,Settings!$G$13,IF(I54&gt;=Settings!$E$14,Settings!$G$14,Settings!$G$15)))))</f>
        <v/>
      </c>
    </row>
    <row r="55" customFormat="false" ht="19.5" hidden="false" customHeight="true" outlineLevel="0" collapsed="false">
      <c r="A55" s="52"/>
      <c r="B55" s="89" t="str">
        <f aca="false">IF(A55="","",IFERROR(INDEX(Students!$B$5:$B$304,MATCH(A55,Students!$A$5:$A$304,0)),"ID not found"))</f>
        <v/>
      </c>
      <c r="C55" s="85" t="str">
        <f aca="false">IF(A55="","",IFERROR(INDEX(Students!$E$5:$E$304,MATCH(A55,Students!$A$5:$A$304,0)),""))</f>
        <v/>
      </c>
      <c r="D55" s="85" t="str">
        <f aca="false">IF(A55="","",IFERROR(INDEX(Students!$F$5:$F$304,MATCH(A55,Students!$A$5:$A$304,0)),""))</f>
        <v/>
      </c>
      <c r="E55" s="86"/>
      <c r="F55" s="52"/>
      <c r="G55" s="52"/>
      <c r="H55" s="52"/>
      <c r="I55" s="93" t="str">
        <f aca="false">IF(COUNT(G55:H55)=0,"",IF(COUNT(G55:H55)=1,SUM(G55:H55),ROUND(G55*Settings!$B$8+H55*(1-Settings!$B$8),1)))</f>
        <v/>
      </c>
      <c r="J55" s="85" t="str">
        <f aca="false">IF(I55="","",IF(I55&gt;=Settings!$E$11,Settings!$F$11,IF(I55&gt;=Settings!$E$12,Settings!$F$12,IF(I55&gt;=Settings!$E$13,Settings!$F$13,IF(I55&gt;=Settings!$E$14,Settings!$F$14,Settings!$F$15)))))</f>
        <v/>
      </c>
      <c r="K55" s="85" t="str">
        <f aca="false">IF(I55="","",IF(I55&gt;=Settings!$E$11,Settings!$G$11,IF(I55&gt;=Settings!$E$12,Settings!$G$12,IF(I55&gt;=Settings!$E$13,Settings!$G$13,IF(I55&gt;=Settings!$E$14,Settings!$G$14,Settings!$G$15)))))</f>
        <v/>
      </c>
    </row>
    <row r="56" customFormat="false" ht="19.5" hidden="false" customHeight="true" outlineLevel="0" collapsed="false">
      <c r="A56" s="52"/>
      <c r="B56" s="89" t="str">
        <f aca="false">IF(A56="","",IFERROR(INDEX(Students!$B$5:$B$304,MATCH(A56,Students!$A$5:$A$304,0)),"ID not found"))</f>
        <v/>
      </c>
      <c r="C56" s="85" t="str">
        <f aca="false">IF(A56="","",IFERROR(INDEX(Students!$E$5:$E$304,MATCH(A56,Students!$A$5:$A$304,0)),""))</f>
        <v/>
      </c>
      <c r="D56" s="85" t="str">
        <f aca="false">IF(A56="","",IFERROR(INDEX(Students!$F$5:$F$304,MATCH(A56,Students!$A$5:$A$304,0)),""))</f>
        <v/>
      </c>
      <c r="E56" s="86"/>
      <c r="F56" s="52"/>
      <c r="G56" s="52"/>
      <c r="H56" s="52"/>
      <c r="I56" s="93" t="str">
        <f aca="false">IF(COUNT(G56:H56)=0,"",IF(COUNT(G56:H56)=1,SUM(G56:H56),ROUND(G56*Settings!$B$8+H56*(1-Settings!$B$8),1)))</f>
        <v/>
      </c>
      <c r="J56" s="85" t="str">
        <f aca="false">IF(I56="","",IF(I56&gt;=Settings!$E$11,Settings!$F$11,IF(I56&gt;=Settings!$E$12,Settings!$F$12,IF(I56&gt;=Settings!$E$13,Settings!$F$13,IF(I56&gt;=Settings!$E$14,Settings!$F$14,Settings!$F$15)))))</f>
        <v/>
      </c>
      <c r="K56" s="85" t="str">
        <f aca="false">IF(I56="","",IF(I56&gt;=Settings!$E$11,Settings!$G$11,IF(I56&gt;=Settings!$E$12,Settings!$G$12,IF(I56&gt;=Settings!$E$13,Settings!$G$13,IF(I56&gt;=Settings!$E$14,Settings!$G$14,Settings!$G$15)))))</f>
        <v/>
      </c>
    </row>
    <row r="57" customFormat="false" ht="19.5" hidden="false" customHeight="true" outlineLevel="0" collapsed="false">
      <c r="A57" s="52"/>
      <c r="B57" s="89" t="str">
        <f aca="false">IF(A57="","",IFERROR(INDEX(Students!$B$5:$B$304,MATCH(A57,Students!$A$5:$A$304,0)),"ID not found"))</f>
        <v/>
      </c>
      <c r="C57" s="85" t="str">
        <f aca="false">IF(A57="","",IFERROR(INDEX(Students!$E$5:$E$304,MATCH(A57,Students!$A$5:$A$304,0)),""))</f>
        <v/>
      </c>
      <c r="D57" s="85" t="str">
        <f aca="false">IF(A57="","",IFERROR(INDEX(Students!$F$5:$F$304,MATCH(A57,Students!$A$5:$A$304,0)),""))</f>
        <v/>
      </c>
      <c r="E57" s="86"/>
      <c r="F57" s="52"/>
      <c r="G57" s="52"/>
      <c r="H57" s="52"/>
      <c r="I57" s="93" t="str">
        <f aca="false">IF(COUNT(G57:H57)=0,"",IF(COUNT(G57:H57)=1,SUM(G57:H57),ROUND(G57*Settings!$B$8+H57*(1-Settings!$B$8),1)))</f>
        <v/>
      </c>
      <c r="J57" s="85" t="str">
        <f aca="false">IF(I57="","",IF(I57&gt;=Settings!$E$11,Settings!$F$11,IF(I57&gt;=Settings!$E$12,Settings!$F$12,IF(I57&gt;=Settings!$E$13,Settings!$F$13,IF(I57&gt;=Settings!$E$14,Settings!$F$14,Settings!$F$15)))))</f>
        <v/>
      </c>
      <c r="K57" s="85" t="str">
        <f aca="false">IF(I57="","",IF(I57&gt;=Settings!$E$11,Settings!$G$11,IF(I57&gt;=Settings!$E$12,Settings!$G$12,IF(I57&gt;=Settings!$E$13,Settings!$G$13,IF(I57&gt;=Settings!$E$14,Settings!$G$14,Settings!$G$15)))))</f>
        <v/>
      </c>
    </row>
    <row r="58" customFormat="false" ht="19.5" hidden="false" customHeight="true" outlineLevel="0" collapsed="false">
      <c r="A58" s="52"/>
      <c r="B58" s="89" t="str">
        <f aca="false">IF(A58="","",IFERROR(INDEX(Students!$B$5:$B$304,MATCH(A58,Students!$A$5:$A$304,0)),"ID not found"))</f>
        <v/>
      </c>
      <c r="C58" s="85" t="str">
        <f aca="false">IF(A58="","",IFERROR(INDEX(Students!$E$5:$E$304,MATCH(A58,Students!$A$5:$A$304,0)),""))</f>
        <v/>
      </c>
      <c r="D58" s="85" t="str">
        <f aca="false">IF(A58="","",IFERROR(INDEX(Students!$F$5:$F$304,MATCH(A58,Students!$A$5:$A$304,0)),""))</f>
        <v/>
      </c>
      <c r="E58" s="86"/>
      <c r="F58" s="52"/>
      <c r="G58" s="52"/>
      <c r="H58" s="52"/>
      <c r="I58" s="93" t="str">
        <f aca="false">IF(COUNT(G58:H58)=0,"",IF(COUNT(G58:H58)=1,SUM(G58:H58),ROUND(G58*Settings!$B$8+H58*(1-Settings!$B$8),1)))</f>
        <v/>
      </c>
      <c r="J58" s="85" t="str">
        <f aca="false">IF(I58="","",IF(I58&gt;=Settings!$E$11,Settings!$F$11,IF(I58&gt;=Settings!$E$12,Settings!$F$12,IF(I58&gt;=Settings!$E$13,Settings!$F$13,IF(I58&gt;=Settings!$E$14,Settings!$F$14,Settings!$F$15)))))</f>
        <v/>
      </c>
      <c r="K58" s="85" t="str">
        <f aca="false">IF(I58="","",IF(I58&gt;=Settings!$E$11,Settings!$G$11,IF(I58&gt;=Settings!$E$12,Settings!$G$12,IF(I58&gt;=Settings!$E$13,Settings!$G$13,IF(I58&gt;=Settings!$E$14,Settings!$G$14,Settings!$G$15)))))</f>
        <v/>
      </c>
    </row>
    <row r="59" customFormat="false" ht="19.5" hidden="false" customHeight="true" outlineLevel="0" collapsed="false">
      <c r="A59" s="52"/>
      <c r="B59" s="89" t="str">
        <f aca="false">IF(A59="","",IFERROR(INDEX(Students!$B$5:$B$304,MATCH(A59,Students!$A$5:$A$304,0)),"ID not found"))</f>
        <v/>
      </c>
      <c r="C59" s="85" t="str">
        <f aca="false">IF(A59="","",IFERROR(INDEX(Students!$E$5:$E$304,MATCH(A59,Students!$A$5:$A$304,0)),""))</f>
        <v/>
      </c>
      <c r="D59" s="85" t="str">
        <f aca="false">IF(A59="","",IFERROR(INDEX(Students!$F$5:$F$304,MATCH(A59,Students!$A$5:$A$304,0)),""))</f>
        <v/>
      </c>
      <c r="E59" s="86"/>
      <c r="F59" s="52"/>
      <c r="G59" s="52"/>
      <c r="H59" s="52"/>
      <c r="I59" s="93" t="str">
        <f aca="false">IF(COUNT(G59:H59)=0,"",IF(COUNT(G59:H59)=1,SUM(G59:H59),ROUND(G59*Settings!$B$8+H59*(1-Settings!$B$8),1)))</f>
        <v/>
      </c>
      <c r="J59" s="85" t="str">
        <f aca="false">IF(I59="","",IF(I59&gt;=Settings!$E$11,Settings!$F$11,IF(I59&gt;=Settings!$E$12,Settings!$F$12,IF(I59&gt;=Settings!$E$13,Settings!$F$13,IF(I59&gt;=Settings!$E$14,Settings!$F$14,Settings!$F$15)))))</f>
        <v/>
      </c>
      <c r="K59" s="85" t="str">
        <f aca="false">IF(I59="","",IF(I59&gt;=Settings!$E$11,Settings!$G$11,IF(I59&gt;=Settings!$E$12,Settings!$G$12,IF(I59&gt;=Settings!$E$13,Settings!$G$13,IF(I59&gt;=Settings!$E$14,Settings!$G$14,Settings!$G$15)))))</f>
        <v/>
      </c>
    </row>
    <row r="60" customFormat="false" ht="19.5" hidden="false" customHeight="true" outlineLevel="0" collapsed="false">
      <c r="A60" s="52"/>
      <c r="B60" s="89" t="str">
        <f aca="false">IF(A60="","",IFERROR(INDEX(Students!$B$5:$B$304,MATCH(A60,Students!$A$5:$A$304,0)),"ID not found"))</f>
        <v/>
      </c>
      <c r="C60" s="85" t="str">
        <f aca="false">IF(A60="","",IFERROR(INDEX(Students!$E$5:$E$304,MATCH(A60,Students!$A$5:$A$304,0)),""))</f>
        <v/>
      </c>
      <c r="D60" s="85" t="str">
        <f aca="false">IF(A60="","",IFERROR(INDEX(Students!$F$5:$F$304,MATCH(A60,Students!$A$5:$A$304,0)),""))</f>
        <v/>
      </c>
      <c r="E60" s="86"/>
      <c r="F60" s="52"/>
      <c r="G60" s="52"/>
      <c r="H60" s="52"/>
      <c r="I60" s="93" t="str">
        <f aca="false">IF(COUNT(G60:H60)=0,"",IF(COUNT(G60:H60)=1,SUM(G60:H60),ROUND(G60*Settings!$B$8+H60*(1-Settings!$B$8),1)))</f>
        <v/>
      </c>
      <c r="J60" s="85" t="str">
        <f aca="false">IF(I60="","",IF(I60&gt;=Settings!$E$11,Settings!$F$11,IF(I60&gt;=Settings!$E$12,Settings!$F$12,IF(I60&gt;=Settings!$E$13,Settings!$F$13,IF(I60&gt;=Settings!$E$14,Settings!$F$14,Settings!$F$15)))))</f>
        <v/>
      </c>
      <c r="K60" s="85" t="str">
        <f aca="false">IF(I60="","",IF(I60&gt;=Settings!$E$11,Settings!$G$11,IF(I60&gt;=Settings!$E$12,Settings!$G$12,IF(I60&gt;=Settings!$E$13,Settings!$G$13,IF(I60&gt;=Settings!$E$14,Settings!$G$14,Settings!$G$15)))))</f>
        <v/>
      </c>
    </row>
    <row r="61" customFormat="false" ht="19.5" hidden="false" customHeight="true" outlineLevel="0" collapsed="false">
      <c r="A61" s="52"/>
      <c r="B61" s="89" t="str">
        <f aca="false">IF(A61="","",IFERROR(INDEX(Students!$B$5:$B$304,MATCH(A61,Students!$A$5:$A$304,0)),"ID not found"))</f>
        <v/>
      </c>
      <c r="C61" s="85" t="str">
        <f aca="false">IF(A61="","",IFERROR(INDEX(Students!$E$5:$E$304,MATCH(A61,Students!$A$5:$A$304,0)),""))</f>
        <v/>
      </c>
      <c r="D61" s="85" t="str">
        <f aca="false">IF(A61="","",IFERROR(INDEX(Students!$F$5:$F$304,MATCH(A61,Students!$A$5:$A$304,0)),""))</f>
        <v/>
      </c>
      <c r="E61" s="86"/>
      <c r="F61" s="52"/>
      <c r="G61" s="52"/>
      <c r="H61" s="52"/>
      <c r="I61" s="93" t="str">
        <f aca="false">IF(COUNT(G61:H61)=0,"",IF(COUNT(G61:H61)=1,SUM(G61:H61),ROUND(G61*Settings!$B$8+H61*(1-Settings!$B$8),1)))</f>
        <v/>
      </c>
      <c r="J61" s="85" t="str">
        <f aca="false">IF(I61="","",IF(I61&gt;=Settings!$E$11,Settings!$F$11,IF(I61&gt;=Settings!$E$12,Settings!$F$12,IF(I61&gt;=Settings!$E$13,Settings!$F$13,IF(I61&gt;=Settings!$E$14,Settings!$F$14,Settings!$F$15)))))</f>
        <v/>
      </c>
      <c r="K61" s="85" t="str">
        <f aca="false">IF(I61="","",IF(I61&gt;=Settings!$E$11,Settings!$G$11,IF(I61&gt;=Settings!$E$12,Settings!$G$12,IF(I61&gt;=Settings!$E$13,Settings!$G$13,IF(I61&gt;=Settings!$E$14,Settings!$G$14,Settings!$G$15)))))</f>
        <v/>
      </c>
    </row>
    <row r="62" customFormat="false" ht="19.5" hidden="false" customHeight="true" outlineLevel="0" collapsed="false">
      <c r="A62" s="52"/>
      <c r="B62" s="89" t="str">
        <f aca="false">IF(A62="","",IFERROR(INDEX(Students!$B$5:$B$304,MATCH(A62,Students!$A$5:$A$304,0)),"ID not found"))</f>
        <v/>
      </c>
      <c r="C62" s="85" t="str">
        <f aca="false">IF(A62="","",IFERROR(INDEX(Students!$E$5:$E$304,MATCH(A62,Students!$A$5:$A$304,0)),""))</f>
        <v/>
      </c>
      <c r="D62" s="85" t="str">
        <f aca="false">IF(A62="","",IFERROR(INDEX(Students!$F$5:$F$304,MATCH(A62,Students!$A$5:$A$304,0)),""))</f>
        <v/>
      </c>
      <c r="E62" s="86"/>
      <c r="F62" s="52"/>
      <c r="G62" s="52"/>
      <c r="H62" s="52"/>
      <c r="I62" s="93" t="str">
        <f aca="false">IF(COUNT(G62:H62)=0,"",IF(COUNT(G62:H62)=1,SUM(G62:H62),ROUND(G62*Settings!$B$8+H62*(1-Settings!$B$8),1)))</f>
        <v/>
      </c>
      <c r="J62" s="85" t="str">
        <f aca="false">IF(I62="","",IF(I62&gt;=Settings!$E$11,Settings!$F$11,IF(I62&gt;=Settings!$E$12,Settings!$F$12,IF(I62&gt;=Settings!$E$13,Settings!$F$13,IF(I62&gt;=Settings!$E$14,Settings!$F$14,Settings!$F$15)))))</f>
        <v/>
      </c>
      <c r="K62" s="85" t="str">
        <f aca="false">IF(I62="","",IF(I62&gt;=Settings!$E$11,Settings!$G$11,IF(I62&gt;=Settings!$E$12,Settings!$G$12,IF(I62&gt;=Settings!$E$13,Settings!$G$13,IF(I62&gt;=Settings!$E$14,Settings!$G$14,Settings!$G$15)))))</f>
        <v/>
      </c>
    </row>
    <row r="63" customFormat="false" ht="19.5" hidden="false" customHeight="true" outlineLevel="0" collapsed="false">
      <c r="A63" s="52"/>
      <c r="B63" s="89" t="str">
        <f aca="false">IF(A63="","",IFERROR(INDEX(Students!$B$5:$B$304,MATCH(A63,Students!$A$5:$A$304,0)),"ID not found"))</f>
        <v/>
      </c>
      <c r="C63" s="85" t="str">
        <f aca="false">IF(A63="","",IFERROR(INDEX(Students!$E$5:$E$304,MATCH(A63,Students!$A$5:$A$304,0)),""))</f>
        <v/>
      </c>
      <c r="D63" s="85" t="str">
        <f aca="false">IF(A63="","",IFERROR(INDEX(Students!$F$5:$F$304,MATCH(A63,Students!$A$5:$A$304,0)),""))</f>
        <v/>
      </c>
      <c r="E63" s="86"/>
      <c r="F63" s="52"/>
      <c r="G63" s="52"/>
      <c r="H63" s="52"/>
      <c r="I63" s="93" t="str">
        <f aca="false">IF(COUNT(G63:H63)=0,"",IF(COUNT(G63:H63)=1,SUM(G63:H63),ROUND(G63*Settings!$B$8+H63*(1-Settings!$B$8),1)))</f>
        <v/>
      </c>
      <c r="J63" s="85" t="str">
        <f aca="false">IF(I63="","",IF(I63&gt;=Settings!$E$11,Settings!$F$11,IF(I63&gt;=Settings!$E$12,Settings!$F$12,IF(I63&gt;=Settings!$E$13,Settings!$F$13,IF(I63&gt;=Settings!$E$14,Settings!$F$14,Settings!$F$15)))))</f>
        <v/>
      </c>
      <c r="K63" s="85" t="str">
        <f aca="false">IF(I63="","",IF(I63&gt;=Settings!$E$11,Settings!$G$11,IF(I63&gt;=Settings!$E$12,Settings!$G$12,IF(I63&gt;=Settings!$E$13,Settings!$G$13,IF(I63&gt;=Settings!$E$14,Settings!$G$14,Settings!$G$15)))))</f>
        <v/>
      </c>
    </row>
    <row r="64" customFormat="false" ht="19.5" hidden="false" customHeight="true" outlineLevel="0" collapsed="false">
      <c r="A64" s="52"/>
      <c r="B64" s="89" t="str">
        <f aca="false">IF(A64="","",IFERROR(INDEX(Students!$B$5:$B$304,MATCH(A64,Students!$A$5:$A$304,0)),"ID not found"))</f>
        <v/>
      </c>
      <c r="C64" s="85" t="str">
        <f aca="false">IF(A64="","",IFERROR(INDEX(Students!$E$5:$E$304,MATCH(A64,Students!$A$5:$A$304,0)),""))</f>
        <v/>
      </c>
      <c r="D64" s="85" t="str">
        <f aca="false">IF(A64="","",IFERROR(INDEX(Students!$F$5:$F$304,MATCH(A64,Students!$A$5:$A$304,0)),""))</f>
        <v/>
      </c>
      <c r="E64" s="86"/>
      <c r="F64" s="52"/>
      <c r="G64" s="52"/>
      <c r="H64" s="52"/>
      <c r="I64" s="93" t="str">
        <f aca="false">IF(COUNT(G64:H64)=0,"",IF(COUNT(G64:H64)=1,SUM(G64:H64),ROUND(G64*Settings!$B$8+H64*(1-Settings!$B$8),1)))</f>
        <v/>
      </c>
      <c r="J64" s="85" t="str">
        <f aca="false">IF(I64="","",IF(I64&gt;=Settings!$E$11,Settings!$F$11,IF(I64&gt;=Settings!$E$12,Settings!$F$12,IF(I64&gt;=Settings!$E$13,Settings!$F$13,IF(I64&gt;=Settings!$E$14,Settings!$F$14,Settings!$F$15)))))</f>
        <v/>
      </c>
      <c r="K64" s="85" t="str">
        <f aca="false">IF(I64="","",IF(I64&gt;=Settings!$E$11,Settings!$G$11,IF(I64&gt;=Settings!$E$12,Settings!$G$12,IF(I64&gt;=Settings!$E$13,Settings!$G$13,IF(I64&gt;=Settings!$E$14,Settings!$G$14,Settings!$G$15)))))</f>
        <v/>
      </c>
    </row>
    <row r="65" customFormat="false" ht="19.5" hidden="false" customHeight="true" outlineLevel="0" collapsed="false">
      <c r="A65" s="52"/>
      <c r="B65" s="89" t="str">
        <f aca="false">IF(A65="","",IFERROR(INDEX(Students!$B$5:$B$304,MATCH(A65,Students!$A$5:$A$304,0)),"ID not found"))</f>
        <v/>
      </c>
      <c r="C65" s="85" t="str">
        <f aca="false">IF(A65="","",IFERROR(INDEX(Students!$E$5:$E$304,MATCH(A65,Students!$A$5:$A$304,0)),""))</f>
        <v/>
      </c>
      <c r="D65" s="85" t="str">
        <f aca="false">IF(A65="","",IFERROR(INDEX(Students!$F$5:$F$304,MATCH(A65,Students!$A$5:$A$304,0)),""))</f>
        <v/>
      </c>
      <c r="E65" s="86"/>
      <c r="F65" s="52"/>
      <c r="G65" s="52"/>
      <c r="H65" s="52"/>
      <c r="I65" s="93" t="str">
        <f aca="false">IF(COUNT(G65:H65)=0,"",IF(COUNT(G65:H65)=1,SUM(G65:H65),ROUND(G65*Settings!$B$8+H65*(1-Settings!$B$8),1)))</f>
        <v/>
      </c>
      <c r="J65" s="85" t="str">
        <f aca="false">IF(I65="","",IF(I65&gt;=Settings!$E$11,Settings!$F$11,IF(I65&gt;=Settings!$E$12,Settings!$F$12,IF(I65&gt;=Settings!$E$13,Settings!$F$13,IF(I65&gt;=Settings!$E$14,Settings!$F$14,Settings!$F$15)))))</f>
        <v/>
      </c>
      <c r="K65" s="85" t="str">
        <f aca="false">IF(I65="","",IF(I65&gt;=Settings!$E$11,Settings!$G$11,IF(I65&gt;=Settings!$E$12,Settings!$G$12,IF(I65&gt;=Settings!$E$13,Settings!$G$13,IF(I65&gt;=Settings!$E$14,Settings!$G$14,Settings!$G$15)))))</f>
        <v/>
      </c>
    </row>
    <row r="66" customFormat="false" ht="19.5" hidden="false" customHeight="true" outlineLevel="0" collapsed="false">
      <c r="A66" s="52"/>
      <c r="B66" s="89" t="str">
        <f aca="false">IF(A66="","",IFERROR(INDEX(Students!$B$5:$B$304,MATCH(A66,Students!$A$5:$A$304,0)),"ID not found"))</f>
        <v/>
      </c>
      <c r="C66" s="85" t="str">
        <f aca="false">IF(A66="","",IFERROR(INDEX(Students!$E$5:$E$304,MATCH(A66,Students!$A$5:$A$304,0)),""))</f>
        <v/>
      </c>
      <c r="D66" s="85" t="str">
        <f aca="false">IF(A66="","",IFERROR(INDEX(Students!$F$5:$F$304,MATCH(A66,Students!$A$5:$A$304,0)),""))</f>
        <v/>
      </c>
      <c r="E66" s="86"/>
      <c r="F66" s="52"/>
      <c r="G66" s="52"/>
      <c r="H66" s="52"/>
      <c r="I66" s="93" t="str">
        <f aca="false">IF(COUNT(G66:H66)=0,"",IF(COUNT(G66:H66)=1,SUM(G66:H66),ROUND(G66*Settings!$B$8+H66*(1-Settings!$B$8),1)))</f>
        <v/>
      </c>
      <c r="J66" s="85" t="str">
        <f aca="false">IF(I66="","",IF(I66&gt;=Settings!$E$11,Settings!$F$11,IF(I66&gt;=Settings!$E$12,Settings!$F$12,IF(I66&gt;=Settings!$E$13,Settings!$F$13,IF(I66&gt;=Settings!$E$14,Settings!$F$14,Settings!$F$15)))))</f>
        <v/>
      </c>
      <c r="K66" s="85" t="str">
        <f aca="false">IF(I66="","",IF(I66&gt;=Settings!$E$11,Settings!$G$11,IF(I66&gt;=Settings!$E$12,Settings!$G$12,IF(I66&gt;=Settings!$E$13,Settings!$G$13,IF(I66&gt;=Settings!$E$14,Settings!$G$14,Settings!$G$15)))))</f>
        <v/>
      </c>
    </row>
    <row r="67" customFormat="false" ht="19.5" hidden="false" customHeight="true" outlineLevel="0" collapsed="false">
      <c r="A67" s="52"/>
      <c r="B67" s="89" t="str">
        <f aca="false">IF(A67="","",IFERROR(INDEX(Students!$B$5:$B$304,MATCH(A67,Students!$A$5:$A$304,0)),"ID not found"))</f>
        <v/>
      </c>
      <c r="C67" s="85" t="str">
        <f aca="false">IF(A67="","",IFERROR(INDEX(Students!$E$5:$E$304,MATCH(A67,Students!$A$5:$A$304,0)),""))</f>
        <v/>
      </c>
      <c r="D67" s="85" t="str">
        <f aca="false">IF(A67="","",IFERROR(INDEX(Students!$F$5:$F$304,MATCH(A67,Students!$A$5:$A$304,0)),""))</f>
        <v/>
      </c>
      <c r="E67" s="86"/>
      <c r="F67" s="52"/>
      <c r="G67" s="52"/>
      <c r="H67" s="52"/>
      <c r="I67" s="93" t="str">
        <f aca="false">IF(COUNT(G67:H67)=0,"",IF(COUNT(G67:H67)=1,SUM(G67:H67),ROUND(G67*Settings!$B$8+H67*(1-Settings!$B$8),1)))</f>
        <v/>
      </c>
      <c r="J67" s="85" t="str">
        <f aca="false">IF(I67="","",IF(I67&gt;=Settings!$E$11,Settings!$F$11,IF(I67&gt;=Settings!$E$12,Settings!$F$12,IF(I67&gt;=Settings!$E$13,Settings!$F$13,IF(I67&gt;=Settings!$E$14,Settings!$F$14,Settings!$F$15)))))</f>
        <v/>
      </c>
      <c r="K67" s="85" t="str">
        <f aca="false">IF(I67="","",IF(I67&gt;=Settings!$E$11,Settings!$G$11,IF(I67&gt;=Settings!$E$12,Settings!$G$12,IF(I67&gt;=Settings!$E$13,Settings!$G$13,IF(I67&gt;=Settings!$E$14,Settings!$G$14,Settings!$G$15)))))</f>
        <v/>
      </c>
    </row>
    <row r="68" customFormat="false" ht="19.5" hidden="false" customHeight="true" outlineLevel="0" collapsed="false">
      <c r="A68" s="52"/>
      <c r="B68" s="89" t="str">
        <f aca="false">IF(A68="","",IFERROR(INDEX(Students!$B$5:$B$304,MATCH(A68,Students!$A$5:$A$304,0)),"ID not found"))</f>
        <v/>
      </c>
      <c r="C68" s="85" t="str">
        <f aca="false">IF(A68="","",IFERROR(INDEX(Students!$E$5:$E$304,MATCH(A68,Students!$A$5:$A$304,0)),""))</f>
        <v/>
      </c>
      <c r="D68" s="85" t="str">
        <f aca="false">IF(A68="","",IFERROR(INDEX(Students!$F$5:$F$304,MATCH(A68,Students!$A$5:$A$304,0)),""))</f>
        <v/>
      </c>
      <c r="E68" s="86"/>
      <c r="F68" s="52"/>
      <c r="G68" s="52"/>
      <c r="H68" s="52"/>
      <c r="I68" s="93" t="str">
        <f aca="false">IF(COUNT(G68:H68)=0,"",IF(COUNT(G68:H68)=1,SUM(G68:H68),ROUND(G68*Settings!$B$8+H68*(1-Settings!$B$8),1)))</f>
        <v/>
      </c>
      <c r="J68" s="85" t="str">
        <f aca="false">IF(I68="","",IF(I68&gt;=Settings!$E$11,Settings!$F$11,IF(I68&gt;=Settings!$E$12,Settings!$F$12,IF(I68&gt;=Settings!$E$13,Settings!$F$13,IF(I68&gt;=Settings!$E$14,Settings!$F$14,Settings!$F$15)))))</f>
        <v/>
      </c>
      <c r="K68" s="85" t="str">
        <f aca="false">IF(I68="","",IF(I68&gt;=Settings!$E$11,Settings!$G$11,IF(I68&gt;=Settings!$E$12,Settings!$G$12,IF(I68&gt;=Settings!$E$13,Settings!$G$13,IF(I68&gt;=Settings!$E$14,Settings!$G$14,Settings!$G$15)))))</f>
        <v/>
      </c>
    </row>
    <row r="69" customFormat="false" ht="19.5" hidden="false" customHeight="true" outlineLevel="0" collapsed="false">
      <c r="A69" s="52"/>
      <c r="B69" s="89" t="str">
        <f aca="false">IF(A69="","",IFERROR(INDEX(Students!$B$5:$B$304,MATCH(A69,Students!$A$5:$A$304,0)),"ID not found"))</f>
        <v/>
      </c>
      <c r="C69" s="85" t="str">
        <f aca="false">IF(A69="","",IFERROR(INDEX(Students!$E$5:$E$304,MATCH(A69,Students!$A$5:$A$304,0)),""))</f>
        <v/>
      </c>
      <c r="D69" s="85" t="str">
        <f aca="false">IF(A69="","",IFERROR(INDEX(Students!$F$5:$F$304,MATCH(A69,Students!$A$5:$A$304,0)),""))</f>
        <v/>
      </c>
      <c r="E69" s="86"/>
      <c r="F69" s="52"/>
      <c r="G69" s="52"/>
      <c r="H69" s="52"/>
      <c r="I69" s="93" t="str">
        <f aca="false">IF(COUNT(G69:H69)=0,"",IF(COUNT(G69:H69)=1,SUM(G69:H69),ROUND(G69*Settings!$B$8+H69*(1-Settings!$B$8),1)))</f>
        <v/>
      </c>
      <c r="J69" s="85" t="str">
        <f aca="false">IF(I69="","",IF(I69&gt;=Settings!$E$11,Settings!$F$11,IF(I69&gt;=Settings!$E$12,Settings!$F$12,IF(I69&gt;=Settings!$E$13,Settings!$F$13,IF(I69&gt;=Settings!$E$14,Settings!$F$14,Settings!$F$15)))))</f>
        <v/>
      </c>
      <c r="K69" s="85" t="str">
        <f aca="false">IF(I69="","",IF(I69&gt;=Settings!$E$11,Settings!$G$11,IF(I69&gt;=Settings!$E$12,Settings!$G$12,IF(I69&gt;=Settings!$E$13,Settings!$G$13,IF(I69&gt;=Settings!$E$14,Settings!$G$14,Settings!$G$15)))))</f>
        <v/>
      </c>
    </row>
    <row r="70" customFormat="false" ht="19.5" hidden="false" customHeight="true" outlineLevel="0" collapsed="false">
      <c r="A70" s="52"/>
      <c r="B70" s="89" t="str">
        <f aca="false">IF(A70="","",IFERROR(INDEX(Students!$B$5:$B$304,MATCH(A70,Students!$A$5:$A$304,0)),"ID not found"))</f>
        <v/>
      </c>
      <c r="C70" s="85" t="str">
        <f aca="false">IF(A70="","",IFERROR(INDEX(Students!$E$5:$E$304,MATCH(A70,Students!$A$5:$A$304,0)),""))</f>
        <v/>
      </c>
      <c r="D70" s="85" t="str">
        <f aca="false">IF(A70="","",IFERROR(INDEX(Students!$F$5:$F$304,MATCH(A70,Students!$A$5:$A$304,0)),""))</f>
        <v/>
      </c>
      <c r="E70" s="86"/>
      <c r="F70" s="52"/>
      <c r="G70" s="52"/>
      <c r="H70" s="52"/>
      <c r="I70" s="93" t="str">
        <f aca="false">IF(COUNT(G70:H70)=0,"",IF(COUNT(G70:H70)=1,SUM(G70:H70),ROUND(G70*Settings!$B$8+H70*(1-Settings!$B$8),1)))</f>
        <v/>
      </c>
      <c r="J70" s="85" t="str">
        <f aca="false">IF(I70="","",IF(I70&gt;=Settings!$E$11,Settings!$F$11,IF(I70&gt;=Settings!$E$12,Settings!$F$12,IF(I70&gt;=Settings!$E$13,Settings!$F$13,IF(I70&gt;=Settings!$E$14,Settings!$F$14,Settings!$F$15)))))</f>
        <v/>
      </c>
      <c r="K70" s="85" t="str">
        <f aca="false">IF(I70="","",IF(I70&gt;=Settings!$E$11,Settings!$G$11,IF(I70&gt;=Settings!$E$12,Settings!$G$12,IF(I70&gt;=Settings!$E$13,Settings!$G$13,IF(I70&gt;=Settings!$E$14,Settings!$G$14,Settings!$G$15)))))</f>
        <v/>
      </c>
    </row>
    <row r="71" customFormat="false" ht="19.5" hidden="false" customHeight="true" outlineLevel="0" collapsed="false">
      <c r="A71" s="52"/>
      <c r="B71" s="89" t="str">
        <f aca="false">IF(A71="","",IFERROR(INDEX(Students!$B$5:$B$304,MATCH(A71,Students!$A$5:$A$304,0)),"ID not found"))</f>
        <v/>
      </c>
      <c r="C71" s="85" t="str">
        <f aca="false">IF(A71="","",IFERROR(INDEX(Students!$E$5:$E$304,MATCH(A71,Students!$A$5:$A$304,0)),""))</f>
        <v/>
      </c>
      <c r="D71" s="85" t="str">
        <f aca="false">IF(A71="","",IFERROR(INDEX(Students!$F$5:$F$304,MATCH(A71,Students!$A$5:$A$304,0)),""))</f>
        <v/>
      </c>
      <c r="E71" s="86"/>
      <c r="F71" s="52"/>
      <c r="G71" s="52"/>
      <c r="H71" s="52"/>
      <c r="I71" s="93" t="str">
        <f aca="false">IF(COUNT(G71:H71)=0,"",IF(COUNT(G71:H71)=1,SUM(G71:H71),ROUND(G71*Settings!$B$8+H71*(1-Settings!$B$8),1)))</f>
        <v/>
      </c>
      <c r="J71" s="85" t="str">
        <f aca="false">IF(I71="","",IF(I71&gt;=Settings!$E$11,Settings!$F$11,IF(I71&gt;=Settings!$E$12,Settings!$F$12,IF(I71&gt;=Settings!$E$13,Settings!$F$13,IF(I71&gt;=Settings!$E$14,Settings!$F$14,Settings!$F$15)))))</f>
        <v/>
      </c>
      <c r="K71" s="85" t="str">
        <f aca="false">IF(I71="","",IF(I71&gt;=Settings!$E$11,Settings!$G$11,IF(I71&gt;=Settings!$E$12,Settings!$G$12,IF(I71&gt;=Settings!$E$13,Settings!$G$13,IF(I71&gt;=Settings!$E$14,Settings!$G$14,Settings!$G$15)))))</f>
        <v/>
      </c>
    </row>
    <row r="72" customFormat="false" ht="19.5" hidden="false" customHeight="true" outlineLevel="0" collapsed="false">
      <c r="A72" s="52"/>
      <c r="B72" s="89" t="str">
        <f aca="false">IF(A72="","",IFERROR(INDEX(Students!$B$5:$B$304,MATCH(A72,Students!$A$5:$A$304,0)),"ID not found"))</f>
        <v/>
      </c>
      <c r="C72" s="85" t="str">
        <f aca="false">IF(A72="","",IFERROR(INDEX(Students!$E$5:$E$304,MATCH(A72,Students!$A$5:$A$304,0)),""))</f>
        <v/>
      </c>
      <c r="D72" s="85" t="str">
        <f aca="false">IF(A72="","",IFERROR(INDEX(Students!$F$5:$F$304,MATCH(A72,Students!$A$5:$A$304,0)),""))</f>
        <v/>
      </c>
      <c r="E72" s="86"/>
      <c r="F72" s="52"/>
      <c r="G72" s="52"/>
      <c r="H72" s="52"/>
      <c r="I72" s="93" t="str">
        <f aca="false">IF(COUNT(G72:H72)=0,"",IF(COUNT(G72:H72)=1,SUM(G72:H72),ROUND(G72*Settings!$B$8+H72*(1-Settings!$B$8),1)))</f>
        <v/>
      </c>
      <c r="J72" s="85" t="str">
        <f aca="false">IF(I72="","",IF(I72&gt;=Settings!$E$11,Settings!$F$11,IF(I72&gt;=Settings!$E$12,Settings!$F$12,IF(I72&gt;=Settings!$E$13,Settings!$F$13,IF(I72&gt;=Settings!$E$14,Settings!$F$14,Settings!$F$15)))))</f>
        <v/>
      </c>
      <c r="K72" s="85" t="str">
        <f aca="false">IF(I72="","",IF(I72&gt;=Settings!$E$11,Settings!$G$11,IF(I72&gt;=Settings!$E$12,Settings!$G$12,IF(I72&gt;=Settings!$E$13,Settings!$G$13,IF(I72&gt;=Settings!$E$14,Settings!$G$14,Settings!$G$15)))))</f>
        <v/>
      </c>
    </row>
    <row r="73" customFormat="false" ht="19.5" hidden="false" customHeight="true" outlineLevel="0" collapsed="false">
      <c r="A73" s="52"/>
      <c r="B73" s="89" t="str">
        <f aca="false">IF(A73="","",IFERROR(INDEX(Students!$B$5:$B$304,MATCH(A73,Students!$A$5:$A$304,0)),"ID not found"))</f>
        <v/>
      </c>
      <c r="C73" s="85" t="str">
        <f aca="false">IF(A73="","",IFERROR(INDEX(Students!$E$5:$E$304,MATCH(A73,Students!$A$5:$A$304,0)),""))</f>
        <v/>
      </c>
      <c r="D73" s="85" t="str">
        <f aca="false">IF(A73="","",IFERROR(INDEX(Students!$F$5:$F$304,MATCH(A73,Students!$A$5:$A$304,0)),""))</f>
        <v/>
      </c>
      <c r="E73" s="86"/>
      <c r="F73" s="52"/>
      <c r="G73" s="52"/>
      <c r="H73" s="52"/>
      <c r="I73" s="93" t="str">
        <f aca="false">IF(COUNT(G73:H73)=0,"",IF(COUNT(G73:H73)=1,SUM(G73:H73),ROUND(G73*Settings!$B$8+H73*(1-Settings!$B$8),1)))</f>
        <v/>
      </c>
      <c r="J73" s="85" t="str">
        <f aca="false">IF(I73="","",IF(I73&gt;=Settings!$E$11,Settings!$F$11,IF(I73&gt;=Settings!$E$12,Settings!$F$12,IF(I73&gt;=Settings!$E$13,Settings!$F$13,IF(I73&gt;=Settings!$E$14,Settings!$F$14,Settings!$F$15)))))</f>
        <v/>
      </c>
      <c r="K73" s="85" t="str">
        <f aca="false">IF(I73="","",IF(I73&gt;=Settings!$E$11,Settings!$G$11,IF(I73&gt;=Settings!$E$12,Settings!$G$12,IF(I73&gt;=Settings!$E$13,Settings!$G$13,IF(I73&gt;=Settings!$E$14,Settings!$G$14,Settings!$G$15)))))</f>
        <v/>
      </c>
    </row>
    <row r="74" customFormat="false" ht="19.5" hidden="false" customHeight="true" outlineLevel="0" collapsed="false">
      <c r="A74" s="52"/>
      <c r="B74" s="89" t="str">
        <f aca="false">IF(A74="","",IFERROR(INDEX(Students!$B$5:$B$304,MATCH(A74,Students!$A$5:$A$304,0)),"ID not found"))</f>
        <v/>
      </c>
      <c r="C74" s="85" t="str">
        <f aca="false">IF(A74="","",IFERROR(INDEX(Students!$E$5:$E$304,MATCH(A74,Students!$A$5:$A$304,0)),""))</f>
        <v/>
      </c>
      <c r="D74" s="85" t="str">
        <f aca="false">IF(A74="","",IFERROR(INDEX(Students!$F$5:$F$304,MATCH(A74,Students!$A$5:$A$304,0)),""))</f>
        <v/>
      </c>
      <c r="E74" s="86"/>
      <c r="F74" s="52"/>
      <c r="G74" s="52"/>
      <c r="H74" s="52"/>
      <c r="I74" s="93" t="str">
        <f aca="false">IF(COUNT(G74:H74)=0,"",IF(COUNT(G74:H74)=1,SUM(G74:H74),ROUND(G74*Settings!$B$8+H74*(1-Settings!$B$8),1)))</f>
        <v/>
      </c>
      <c r="J74" s="85" t="str">
        <f aca="false">IF(I74="","",IF(I74&gt;=Settings!$E$11,Settings!$F$11,IF(I74&gt;=Settings!$E$12,Settings!$F$12,IF(I74&gt;=Settings!$E$13,Settings!$F$13,IF(I74&gt;=Settings!$E$14,Settings!$F$14,Settings!$F$15)))))</f>
        <v/>
      </c>
      <c r="K74" s="85" t="str">
        <f aca="false">IF(I74="","",IF(I74&gt;=Settings!$E$11,Settings!$G$11,IF(I74&gt;=Settings!$E$12,Settings!$G$12,IF(I74&gt;=Settings!$E$13,Settings!$G$13,IF(I74&gt;=Settings!$E$14,Settings!$G$14,Settings!$G$15)))))</f>
        <v/>
      </c>
    </row>
    <row r="75" customFormat="false" ht="19.5" hidden="false" customHeight="true" outlineLevel="0" collapsed="false">
      <c r="A75" s="52"/>
      <c r="B75" s="89" t="str">
        <f aca="false">IF(A75="","",IFERROR(INDEX(Students!$B$5:$B$304,MATCH(A75,Students!$A$5:$A$304,0)),"ID not found"))</f>
        <v/>
      </c>
      <c r="C75" s="85" t="str">
        <f aca="false">IF(A75="","",IFERROR(INDEX(Students!$E$5:$E$304,MATCH(A75,Students!$A$5:$A$304,0)),""))</f>
        <v/>
      </c>
      <c r="D75" s="85" t="str">
        <f aca="false">IF(A75="","",IFERROR(INDEX(Students!$F$5:$F$304,MATCH(A75,Students!$A$5:$A$304,0)),""))</f>
        <v/>
      </c>
      <c r="E75" s="86"/>
      <c r="F75" s="52"/>
      <c r="G75" s="52"/>
      <c r="H75" s="52"/>
      <c r="I75" s="93" t="str">
        <f aca="false">IF(COUNT(G75:H75)=0,"",IF(COUNT(G75:H75)=1,SUM(G75:H75),ROUND(G75*Settings!$B$8+H75*(1-Settings!$B$8),1)))</f>
        <v/>
      </c>
      <c r="J75" s="85" t="str">
        <f aca="false">IF(I75="","",IF(I75&gt;=Settings!$E$11,Settings!$F$11,IF(I75&gt;=Settings!$E$12,Settings!$F$12,IF(I75&gt;=Settings!$E$13,Settings!$F$13,IF(I75&gt;=Settings!$E$14,Settings!$F$14,Settings!$F$15)))))</f>
        <v/>
      </c>
      <c r="K75" s="85" t="str">
        <f aca="false">IF(I75="","",IF(I75&gt;=Settings!$E$11,Settings!$G$11,IF(I75&gt;=Settings!$E$12,Settings!$G$12,IF(I75&gt;=Settings!$E$13,Settings!$G$13,IF(I75&gt;=Settings!$E$14,Settings!$G$14,Settings!$G$15)))))</f>
        <v/>
      </c>
    </row>
    <row r="76" customFormat="false" ht="19.5" hidden="false" customHeight="true" outlineLevel="0" collapsed="false">
      <c r="A76" s="52"/>
      <c r="B76" s="89" t="str">
        <f aca="false">IF(A76="","",IFERROR(INDEX(Students!$B$5:$B$304,MATCH(A76,Students!$A$5:$A$304,0)),"ID not found"))</f>
        <v/>
      </c>
      <c r="C76" s="85" t="str">
        <f aca="false">IF(A76="","",IFERROR(INDEX(Students!$E$5:$E$304,MATCH(A76,Students!$A$5:$A$304,0)),""))</f>
        <v/>
      </c>
      <c r="D76" s="85" t="str">
        <f aca="false">IF(A76="","",IFERROR(INDEX(Students!$F$5:$F$304,MATCH(A76,Students!$A$5:$A$304,0)),""))</f>
        <v/>
      </c>
      <c r="E76" s="86"/>
      <c r="F76" s="52"/>
      <c r="G76" s="52"/>
      <c r="H76" s="52"/>
      <c r="I76" s="93" t="str">
        <f aca="false">IF(COUNT(G76:H76)=0,"",IF(COUNT(G76:H76)=1,SUM(G76:H76),ROUND(G76*Settings!$B$8+H76*(1-Settings!$B$8),1)))</f>
        <v/>
      </c>
      <c r="J76" s="85" t="str">
        <f aca="false">IF(I76="","",IF(I76&gt;=Settings!$E$11,Settings!$F$11,IF(I76&gt;=Settings!$E$12,Settings!$F$12,IF(I76&gt;=Settings!$E$13,Settings!$F$13,IF(I76&gt;=Settings!$E$14,Settings!$F$14,Settings!$F$15)))))</f>
        <v/>
      </c>
      <c r="K76" s="85" t="str">
        <f aca="false">IF(I76="","",IF(I76&gt;=Settings!$E$11,Settings!$G$11,IF(I76&gt;=Settings!$E$12,Settings!$G$12,IF(I76&gt;=Settings!$E$13,Settings!$G$13,IF(I76&gt;=Settings!$E$14,Settings!$G$14,Settings!$G$15)))))</f>
        <v/>
      </c>
    </row>
    <row r="77" customFormat="false" ht="19.5" hidden="false" customHeight="true" outlineLevel="0" collapsed="false">
      <c r="A77" s="52"/>
      <c r="B77" s="89" t="str">
        <f aca="false">IF(A77="","",IFERROR(INDEX(Students!$B$5:$B$304,MATCH(A77,Students!$A$5:$A$304,0)),"ID not found"))</f>
        <v/>
      </c>
      <c r="C77" s="85" t="str">
        <f aca="false">IF(A77="","",IFERROR(INDEX(Students!$E$5:$E$304,MATCH(A77,Students!$A$5:$A$304,0)),""))</f>
        <v/>
      </c>
      <c r="D77" s="85" t="str">
        <f aca="false">IF(A77="","",IFERROR(INDEX(Students!$F$5:$F$304,MATCH(A77,Students!$A$5:$A$304,0)),""))</f>
        <v/>
      </c>
      <c r="E77" s="86"/>
      <c r="F77" s="52"/>
      <c r="G77" s="52"/>
      <c r="H77" s="52"/>
      <c r="I77" s="93" t="str">
        <f aca="false">IF(COUNT(G77:H77)=0,"",IF(COUNT(G77:H77)=1,SUM(G77:H77),ROUND(G77*Settings!$B$8+H77*(1-Settings!$B$8),1)))</f>
        <v/>
      </c>
      <c r="J77" s="85" t="str">
        <f aca="false">IF(I77="","",IF(I77&gt;=Settings!$E$11,Settings!$F$11,IF(I77&gt;=Settings!$E$12,Settings!$F$12,IF(I77&gt;=Settings!$E$13,Settings!$F$13,IF(I77&gt;=Settings!$E$14,Settings!$F$14,Settings!$F$15)))))</f>
        <v/>
      </c>
      <c r="K77" s="85" t="str">
        <f aca="false">IF(I77="","",IF(I77&gt;=Settings!$E$11,Settings!$G$11,IF(I77&gt;=Settings!$E$12,Settings!$G$12,IF(I77&gt;=Settings!$E$13,Settings!$G$13,IF(I77&gt;=Settings!$E$14,Settings!$G$14,Settings!$G$15)))))</f>
        <v/>
      </c>
    </row>
    <row r="78" customFormat="false" ht="19.5" hidden="false" customHeight="true" outlineLevel="0" collapsed="false">
      <c r="A78" s="52"/>
      <c r="B78" s="89" t="str">
        <f aca="false">IF(A78="","",IFERROR(INDEX(Students!$B$5:$B$304,MATCH(A78,Students!$A$5:$A$304,0)),"ID not found"))</f>
        <v/>
      </c>
      <c r="C78" s="85" t="str">
        <f aca="false">IF(A78="","",IFERROR(INDEX(Students!$E$5:$E$304,MATCH(A78,Students!$A$5:$A$304,0)),""))</f>
        <v/>
      </c>
      <c r="D78" s="85" t="str">
        <f aca="false">IF(A78="","",IFERROR(INDEX(Students!$F$5:$F$304,MATCH(A78,Students!$A$5:$A$304,0)),""))</f>
        <v/>
      </c>
      <c r="E78" s="86"/>
      <c r="F78" s="52"/>
      <c r="G78" s="52"/>
      <c r="H78" s="52"/>
      <c r="I78" s="93" t="str">
        <f aca="false">IF(COUNT(G78:H78)=0,"",IF(COUNT(G78:H78)=1,SUM(G78:H78),ROUND(G78*Settings!$B$8+H78*(1-Settings!$B$8),1)))</f>
        <v/>
      </c>
      <c r="J78" s="85" t="str">
        <f aca="false">IF(I78="","",IF(I78&gt;=Settings!$E$11,Settings!$F$11,IF(I78&gt;=Settings!$E$12,Settings!$F$12,IF(I78&gt;=Settings!$E$13,Settings!$F$13,IF(I78&gt;=Settings!$E$14,Settings!$F$14,Settings!$F$15)))))</f>
        <v/>
      </c>
      <c r="K78" s="85" t="str">
        <f aca="false">IF(I78="","",IF(I78&gt;=Settings!$E$11,Settings!$G$11,IF(I78&gt;=Settings!$E$12,Settings!$G$12,IF(I78&gt;=Settings!$E$13,Settings!$G$13,IF(I78&gt;=Settings!$E$14,Settings!$G$14,Settings!$G$15)))))</f>
        <v/>
      </c>
    </row>
    <row r="79" customFormat="false" ht="19.5" hidden="false" customHeight="true" outlineLevel="0" collapsed="false">
      <c r="A79" s="52"/>
      <c r="B79" s="89" t="str">
        <f aca="false">IF(A79="","",IFERROR(INDEX(Students!$B$5:$B$304,MATCH(A79,Students!$A$5:$A$304,0)),"ID not found"))</f>
        <v/>
      </c>
      <c r="C79" s="85" t="str">
        <f aca="false">IF(A79="","",IFERROR(INDEX(Students!$E$5:$E$304,MATCH(A79,Students!$A$5:$A$304,0)),""))</f>
        <v/>
      </c>
      <c r="D79" s="85" t="str">
        <f aca="false">IF(A79="","",IFERROR(INDEX(Students!$F$5:$F$304,MATCH(A79,Students!$A$5:$A$304,0)),""))</f>
        <v/>
      </c>
      <c r="E79" s="86"/>
      <c r="F79" s="52"/>
      <c r="G79" s="52"/>
      <c r="H79" s="52"/>
      <c r="I79" s="93" t="str">
        <f aca="false">IF(COUNT(G79:H79)=0,"",IF(COUNT(G79:H79)=1,SUM(G79:H79),ROUND(G79*Settings!$B$8+H79*(1-Settings!$B$8),1)))</f>
        <v/>
      </c>
      <c r="J79" s="85" t="str">
        <f aca="false">IF(I79="","",IF(I79&gt;=Settings!$E$11,Settings!$F$11,IF(I79&gt;=Settings!$E$12,Settings!$F$12,IF(I79&gt;=Settings!$E$13,Settings!$F$13,IF(I79&gt;=Settings!$E$14,Settings!$F$14,Settings!$F$15)))))</f>
        <v/>
      </c>
      <c r="K79" s="85" t="str">
        <f aca="false">IF(I79="","",IF(I79&gt;=Settings!$E$11,Settings!$G$11,IF(I79&gt;=Settings!$E$12,Settings!$G$12,IF(I79&gt;=Settings!$E$13,Settings!$G$13,IF(I79&gt;=Settings!$E$14,Settings!$G$14,Settings!$G$15)))))</f>
        <v/>
      </c>
    </row>
    <row r="80" customFormat="false" ht="19.5" hidden="false" customHeight="true" outlineLevel="0" collapsed="false">
      <c r="A80" s="52"/>
      <c r="B80" s="89" t="str">
        <f aca="false">IF(A80="","",IFERROR(INDEX(Students!$B$5:$B$304,MATCH(A80,Students!$A$5:$A$304,0)),"ID not found"))</f>
        <v/>
      </c>
      <c r="C80" s="85" t="str">
        <f aca="false">IF(A80="","",IFERROR(INDEX(Students!$E$5:$E$304,MATCH(A80,Students!$A$5:$A$304,0)),""))</f>
        <v/>
      </c>
      <c r="D80" s="85" t="str">
        <f aca="false">IF(A80="","",IFERROR(INDEX(Students!$F$5:$F$304,MATCH(A80,Students!$A$5:$A$304,0)),""))</f>
        <v/>
      </c>
      <c r="E80" s="86"/>
      <c r="F80" s="52"/>
      <c r="G80" s="52"/>
      <c r="H80" s="52"/>
      <c r="I80" s="93" t="str">
        <f aca="false">IF(COUNT(G80:H80)=0,"",IF(COUNT(G80:H80)=1,SUM(G80:H80),ROUND(G80*Settings!$B$8+H80*(1-Settings!$B$8),1)))</f>
        <v/>
      </c>
      <c r="J80" s="85" t="str">
        <f aca="false">IF(I80="","",IF(I80&gt;=Settings!$E$11,Settings!$F$11,IF(I80&gt;=Settings!$E$12,Settings!$F$12,IF(I80&gt;=Settings!$E$13,Settings!$F$13,IF(I80&gt;=Settings!$E$14,Settings!$F$14,Settings!$F$15)))))</f>
        <v/>
      </c>
      <c r="K80" s="85" t="str">
        <f aca="false">IF(I80="","",IF(I80&gt;=Settings!$E$11,Settings!$G$11,IF(I80&gt;=Settings!$E$12,Settings!$G$12,IF(I80&gt;=Settings!$E$13,Settings!$G$13,IF(I80&gt;=Settings!$E$14,Settings!$G$14,Settings!$G$15)))))</f>
        <v/>
      </c>
    </row>
    <row r="81" customFormat="false" ht="19.5" hidden="false" customHeight="true" outlineLevel="0" collapsed="false">
      <c r="A81" s="52"/>
      <c r="B81" s="89" t="str">
        <f aca="false">IF(A81="","",IFERROR(INDEX(Students!$B$5:$B$304,MATCH(A81,Students!$A$5:$A$304,0)),"ID not found"))</f>
        <v/>
      </c>
      <c r="C81" s="85" t="str">
        <f aca="false">IF(A81="","",IFERROR(INDEX(Students!$E$5:$E$304,MATCH(A81,Students!$A$5:$A$304,0)),""))</f>
        <v/>
      </c>
      <c r="D81" s="85" t="str">
        <f aca="false">IF(A81="","",IFERROR(INDEX(Students!$F$5:$F$304,MATCH(A81,Students!$A$5:$A$304,0)),""))</f>
        <v/>
      </c>
      <c r="E81" s="86"/>
      <c r="F81" s="52"/>
      <c r="G81" s="52"/>
      <c r="H81" s="52"/>
      <c r="I81" s="93" t="str">
        <f aca="false">IF(COUNT(G81:H81)=0,"",IF(COUNT(G81:H81)=1,SUM(G81:H81),ROUND(G81*Settings!$B$8+H81*(1-Settings!$B$8),1)))</f>
        <v/>
      </c>
      <c r="J81" s="85" t="str">
        <f aca="false">IF(I81="","",IF(I81&gt;=Settings!$E$11,Settings!$F$11,IF(I81&gt;=Settings!$E$12,Settings!$F$12,IF(I81&gt;=Settings!$E$13,Settings!$F$13,IF(I81&gt;=Settings!$E$14,Settings!$F$14,Settings!$F$15)))))</f>
        <v/>
      </c>
      <c r="K81" s="85" t="str">
        <f aca="false">IF(I81="","",IF(I81&gt;=Settings!$E$11,Settings!$G$11,IF(I81&gt;=Settings!$E$12,Settings!$G$12,IF(I81&gt;=Settings!$E$13,Settings!$G$13,IF(I81&gt;=Settings!$E$14,Settings!$G$14,Settings!$G$15)))))</f>
        <v/>
      </c>
    </row>
    <row r="82" customFormat="false" ht="19.5" hidden="false" customHeight="true" outlineLevel="0" collapsed="false">
      <c r="A82" s="52"/>
      <c r="B82" s="89" t="str">
        <f aca="false">IF(A82="","",IFERROR(INDEX(Students!$B$5:$B$304,MATCH(A82,Students!$A$5:$A$304,0)),"ID not found"))</f>
        <v/>
      </c>
      <c r="C82" s="85" t="str">
        <f aca="false">IF(A82="","",IFERROR(INDEX(Students!$E$5:$E$304,MATCH(A82,Students!$A$5:$A$304,0)),""))</f>
        <v/>
      </c>
      <c r="D82" s="85" t="str">
        <f aca="false">IF(A82="","",IFERROR(INDEX(Students!$F$5:$F$304,MATCH(A82,Students!$A$5:$A$304,0)),""))</f>
        <v/>
      </c>
      <c r="E82" s="86"/>
      <c r="F82" s="52"/>
      <c r="G82" s="52"/>
      <c r="H82" s="52"/>
      <c r="I82" s="93" t="str">
        <f aca="false">IF(COUNT(G82:H82)=0,"",IF(COUNT(G82:H82)=1,SUM(G82:H82),ROUND(G82*Settings!$B$8+H82*(1-Settings!$B$8),1)))</f>
        <v/>
      </c>
      <c r="J82" s="85" t="str">
        <f aca="false">IF(I82="","",IF(I82&gt;=Settings!$E$11,Settings!$F$11,IF(I82&gt;=Settings!$E$12,Settings!$F$12,IF(I82&gt;=Settings!$E$13,Settings!$F$13,IF(I82&gt;=Settings!$E$14,Settings!$F$14,Settings!$F$15)))))</f>
        <v/>
      </c>
      <c r="K82" s="85" t="str">
        <f aca="false">IF(I82="","",IF(I82&gt;=Settings!$E$11,Settings!$G$11,IF(I82&gt;=Settings!$E$12,Settings!$G$12,IF(I82&gt;=Settings!$E$13,Settings!$G$13,IF(I82&gt;=Settings!$E$14,Settings!$G$14,Settings!$G$15)))))</f>
        <v/>
      </c>
    </row>
    <row r="83" customFormat="false" ht="19.5" hidden="false" customHeight="true" outlineLevel="0" collapsed="false">
      <c r="A83" s="52"/>
      <c r="B83" s="89" t="str">
        <f aca="false">IF(A83="","",IFERROR(INDEX(Students!$B$5:$B$304,MATCH(A83,Students!$A$5:$A$304,0)),"ID not found"))</f>
        <v/>
      </c>
      <c r="C83" s="85" t="str">
        <f aca="false">IF(A83="","",IFERROR(INDEX(Students!$E$5:$E$304,MATCH(A83,Students!$A$5:$A$304,0)),""))</f>
        <v/>
      </c>
      <c r="D83" s="85" t="str">
        <f aca="false">IF(A83="","",IFERROR(INDEX(Students!$F$5:$F$304,MATCH(A83,Students!$A$5:$A$304,0)),""))</f>
        <v/>
      </c>
      <c r="E83" s="86"/>
      <c r="F83" s="52"/>
      <c r="G83" s="52"/>
      <c r="H83" s="52"/>
      <c r="I83" s="93" t="str">
        <f aca="false">IF(COUNT(G83:H83)=0,"",IF(COUNT(G83:H83)=1,SUM(G83:H83),ROUND(G83*Settings!$B$8+H83*(1-Settings!$B$8),1)))</f>
        <v/>
      </c>
      <c r="J83" s="85" t="str">
        <f aca="false">IF(I83="","",IF(I83&gt;=Settings!$E$11,Settings!$F$11,IF(I83&gt;=Settings!$E$12,Settings!$F$12,IF(I83&gt;=Settings!$E$13,Settings!$F$13,IF(I83&gt;=Settings!$E$14,Settings!$F$14,Settings!$F$15)))))</f>
        <v/>
      </c>
      <c r="K83" s="85" t="str">
        <f aca="false">IF(I83="","",IF(I83&gt;=Settings!$E$11,Settings!$G$11,IF(I83&gt;=Settings!$E$12,Settings!$G$12,IF(I83&gt;=Settings!$E$13,Settings!$G$13,IF(I83&gt;=Settings!$E$14,Settings!$G$14,Settings!$G$15)))))</f>
        <v/>
      </c>
    </row>
    <row r="84" customFormat="false" ht="19.5" hidden="false" customHeight="true" outlineLevel="0" collapsed="false">
      <c r="A84" s="52"/>
      <c r="B84" s="89" t="str">
        <f aca="false">IF(A84="","",IFERROR(INDEX(Students!$B$5:$B$304,MATCH(A84,Students!$A$5:$A$304,0)),"ID not found"))</f>
        <v/>
      </c>
      <c r="C84" s="85" t="str">
        <f aca="false">IF(A84="","",IFERROR(INDEX(Students!$E$5:$E$304,MATCH(A84,Students!$A$5:$A$304,0)),""))</f>
        <v/>
      </c>
      <c r="D84" s="85" t="str">
        <f aca="false">IF(A84="","",IFERROR(INDEX(Students!$F$5:$F$304,MATCH(A84,Students!$A$5:$A$304,0)),""))</f>
        <v/>
      </c>
      <c r="E84" s="86"/>
      <c r="F84" s="52"/>
      <c r="G84" s="52"/>
      <c r="H84" s="52"/>
      <c r="I84" s="93" t="str">
        <f aca="false">IF(COUNT(G84:H84)=0,"",IF(COUNT(G84:H84)=1,SUM(G84:H84),ROUND(G84*Settings!$B$8+H84*(1-Settings!$B$8),1)))</f>
        <v/>
      </c>
      <c r="J84" s="85" t="str">
        <f aca="false">IF(I84="","",IF(I84&gt;=Settings!$E$11,Settings!$F$11,IF(I84&gt;=Settings!$E$12,Settings!$F$12,IF(I84&gt;=Settings!$E$13,Settings!$F$13,IF(I84&gt;=Settings!$E$14,Settings!$F$14,Settings!$F$15)))))</f>
        <v/>
      </c>
      <c r="K84" s="85" t="str">
        <f aca="false">IF(I84="","",IF(I84&gt;=Settings!$E$11,Settings!$G$11,IF(I84&gt;=Settings!$E$12,Settings!$G$12,IF(I84&gt;=Settings!$E$13,Settings!$G$13,IF(I84&gt;=Settings!$E$14,Settings!$G$14,Settings!$G$15)))))</f>
        <v/>
      </c>
    </row>
    <row r="85" customFormat="false" ht="19.5" hidden="false" customHeight="true" outlineLevel="0" collapsed="false">
      <c r="A85" s="52"/>
      <c r="B85" s="89" t="str">
        <f aca="false">IF(A85="","",IFERROR(INDEX(Students!$B$5:$B$304,MATCH(A85,Students!$A$5:$A$304,0)),"ID not found"))</f>
        <v/>
      </c>
      <c r="C85" s="85" t="str">
        <f aca="false">IF(A85="","",IFERROR(INDEX(Students!$E$5:$E$304,MATCH(A85,Students!$A$5:$A$304,0)),""))</f>
        <v/>
      </c>
      <c r="D85" s="85" t="str">
        <f aca="false">IF(A85="","",IFERROR(INDEX(Students!$F$5:$F$304,MATCH(A85,Students!$A$5:$A$304,0)),""))</f>
        <v/>
      </c>
      <c r="E85" s="86"/>
      <c r="F85" s="52"/>
      <c r="G85" s="52"/>
      <c r="H85" s="52"/>
      <c r="I85" s="93" t="str">
        <f aca="false">IF(COUNT(G85:H85)=0,"",IF(COUNT(G85:H85)=1,SUM(G85:H85),ROUND(G85*Settings!$B$8+H85*(1-Settings!$B$8),1)))</f>
        <v/>
      </c>
      <c r="J85" s="85" t="str">
        <f aca="false">IF(I85="","",IF(I85&gt;=Settings!$E$11,Settings!$F$11,IF(I85&gt;=Settings!$E$12,Settings!$F$12,IF(I85&gt;=Settings!$E$13,Settings!$F$13,IF(I85&gt;=Settings!$E$14,Settings!$F$14,Settings!$F$15)))))</f>
        <v/>
      </c>
      <c r="K85" s="85" t="str">
        <f aca="false">IF(I85="","",IF(I85&gt;=Settings!$E$11,Settings!$G$11,IF(I85&gt;=Settings!$E$12,Settings!$G$12,IF(I85&gt;=Settings!$E$13,Settings!$G$13,IF(I85&gt;=Settings!$E$14,Settings!$G$14,Settings!$G$15)))))</f>
        <v/>
      </c>
    </row>
    <row r="86" customFormat="false" ht="19.5" hidden="false" customHeight="true" outlineLevel="0" collapsed="false">
      <c r="A86" s="52"/>
      <c r="B86" s="89" t="str">
        <f aca="false">IF(A86="","",IFERROR(INDEX(Students!$B$5:$B$304,MATCH(A86,Students!$A$5:$A$304,0)),"ID not found"))</f>
        <v/>
      </c>
      <c r="C86" s="85" t="str">
        <f aca="false">IF(A86="","",IFERROR(INDEX(Students!$E$5:$E$304,MATCH(A86,Students!$A$5:$A$304,0)),""))</f>
        <v/>
      </c>
      <c r="D86" s="85" t="str">
        <f aca="false">IF(A86="","",IFERROR(INDEX(Students!$F$5:$F$304,MATCH(A86,Students!$A$5:$A$304,0)),""))</f>
        <v/>
      </c>
      <c r="E86" s="86"/>
      <c r="F86" s="52"/>
      <c r="G86" s="52"/>
      <c r="H86" s="52"/>
      <c r="I86" s="93" t="str">
        <f aca="false">IF(COUNT(G86:H86)=0,"",IF(COUNT(G86:H86)=1,SUM(G86:H86),ROUND(G86*Settings!$B$8+H86*(1-Settings!$B$8),1)))</f>
        <v/>
      </c>
      <c r="J86" s="85" t="str">
        <f aca="false">IF(I86="","",IF(I86&gt;=Settings!$E$11,Settings!$F$11,IF(I86&gt;=Settings!$E$12,Settings!$F$12,IF(I86&gt;=Settings!$E$13,Settings!$F$13,IF(I86&gt;=Settings!$E$14,Settings!$F$14,Settings!$F$15)))))</f>
        <v/>
      </c>
      <c r="K86" s="85" t="str">
        <f aca="false">IF(I86="","",IF(I86&gt;=Settings!$E$11,Settings!$G$11,IF(I86&gt;=Settings!$E$12,Settings!$G$12,IF(I86&gt;=Settings!$E$13,Settings!$G$13,IF(I86&gt;=Settings!$E$14,Settings!$G$14,Settings!$G$15)))))</f>
        <v/>
      </c>
    </row>
    <row r="87" customFormat="false" ht="19.5" hidden="false" customHeight="true" outlineLevel="0" collapsed="false">
      <c r="A87" s="52"/>
      <c r="B87" s="89" t="str">
        <f aca="false">IF(A87="","",IFERROR(INDEX(Students!$B$5:$B$304,MATCH(A87,Students!$A$5:$A$304,0)),"ID not found"))</f>
        <v/>
      </c>
      <c r="C87" s="85" t="str">
        <f aca="false">IF(A87="","",IFERROR(INDEX(Students!$E$5:$E$304,MATCH(A87,Students!$A$5:$A$304,0)),""))</f>
        <v/>
      </c>
      <c r="D87" s="85" t="str">
        <f aca="false">IF(A87="","",IFERROR(INDEX(Students!$F$5:$F$304,MATCH(A87,Students!$A$5:$A$304,0)),""))</f>
        <v/>
      </c>
      <c r="E87" s="86"/>
      <c r="F87" s="52"/>
      <c r="G87" s="52"/>
      <c r="H87" s="52"/>
      <c r="I87" s="93" t="str">
        <f aca="false">IF(COUNT(G87:H87)=0,"",IF(COUNT(G87:H87)=1,SUM(G87:H87),ROUND(G87*Settings!$B$8+H87*(1-Settings!$B$8),1)))</f>
        <v/>
      </c>
      <c r="J87" s="85" t="str">
        <f aca="false">IF(I87="","",IF(I87&gt;=Settings!$E$11,Settings!$F$11,IF(I87&gt;=Settings!$E$12,Settings!$F$12,IF(I87&gt;=Settings!$E$13,Settings!$F$13,IF(I87&gt;=Settings!$E$14,Settings!$F$14,Settings!$F$15)))))</f>
        <v/>
      </c>
      <c r="K87" s="85" t="str">
        <f aca="false">IF(I87="","",IF(I87&gt;=Settings!$E$11,Settings!$G$11,IF(I87&gt;=Settings!$E$12,Settings!$G$12,IF(I87&gt;=Settings!$E$13,Settings!$G$13,IF(I87&gt;=Settings!$E$14,Settings!$G$14,Settings!$G$15)))))</f>
        <v/>
      </c>
    </row>
    <row r="88" customFormat="false" ht="19.5" hidden="false" customHeight="true" outlineLevel="0" collapsed="false">
      <c r="A88" s="52"/>
      <c r="B88" s="89" t="str">
        <f aca="false">IF(A88="","",IFERROR(INDEX(Students!$B$5:$B$304,MATCH(A88,Students!$A$5:$A$304,0)),"ID not found"))</f>
        <v/>
      </c>
      <c r="C88" s="85" t="str">
        <f aca="false">IF(A88="","",IFERROR(INDEX(Students!$E$5:$E$304,MATCH(A88,Students!$A$5:$A$304,0)),""))</f>
        <v/>
      </c>
      <c r="D88" s="85" t="str">
        <f aca="false">IF(A88="","",IFERROR(INDEX(Students!$F$5:$F$304,MATCH(A88,Students!$A$5:$A$304,0)),""))</f>
        <v/>
      </c>
      <c r="E88" s="86"/>
      <c r="F88" s="52"/>
      <c r="G88" s="52"/>
      <c r="H88" s="52"/>
      <c r="I88" s="93" t="str">
        <f aca="false">IF(COUNT(G88:H88)=0,"",IF(COUNT(G88:H88)=1,SUM(G88:H88),ROUND(G88*Settings!$B$8+H88*(1-Settings!$B$8),1)))</f>
        <v/>
      </c>
      <c r="J88" s="85" t="str">
        <f aca="false">IF(I88="","",IF(I88&gt;=Settings!$E$11,Settings!$F$11,IF(I88&gt;=Settings!$E$12,Settings!$F$12,IF(I88&gt;=Settings!$E$13,Settings!$F$13,IF(I88&gt;=Settings!$E$14,Settings!$F$14,Settings!$F$15)))))</f>
        <v/>
      </c>
      <c r="K88" s="85" t="str">
        <f aca="false">IF(I88="","",IF(I88&gt;=Settings!$E$11,Settings!$G$11,IF(I88&gt;=Settings!$E$12,Settings!$G$12,IF(I88&gt;=Settings!$E$13,Settings!$G$13,IF(I88&gt;=Settings!$E$14,Settings!$G$14,Settings!$G$15)))))</f>
        <v/>
      </c>
    </row>
    <row r="89" customFormat="false" ht="19.5" hidden="false" customHeight="true" outlineLevel="0" collapsed="false">
      <c r="A89" s="52"/>
      <c r="B89" s="89" t="str">
        <f aca="false">IF(A89="","",IFERROR(INDEX(Students!$B$5:$B$304,MATCH(A89,Students!$A$5:$A$304,0)),"ID not found"))</f>
        <v/>
      </c>
      <c r="C89" s="85" t="str">
        <f aca="false">IF(A89="","",IFERROR(INDEX(Students!$E$5:$E$304,MATCH(A89,Students!$A$5:$A$304,0)),""))</f>
        <v/>
      </c>
      <c r="D89" s="85" t="str">
        <f aca="false">IF(A89="","",IFERROR(INDEX(Students!$F$5:$F$304,MATCH(A89,Students!$A$5:$A$304,0)),""))</f>
        <v/>
      </c>
      <c r="E89" s="86"/>
      <c r="F89" s="52"/>
      <c r="G89" s="52"/>
      <c r="H89" s="52"/>
      <c r="I89" s="93" t="str">
        <f aca="false">IF(COUNT(G89:H89)=0,"",IF(COUNT(G89:H89)=1,SUM(G89:H89),ROUND(G89*Settings!$B$8+H89*(1-Settings!$B$8),1)))</f>
        <v/>
      </c>
      <c r="J89" s="85" t="str">
        <f aca="false">IF(I89="","",IF(I89&gt;=Settings!$E$11,Settings!$F$11,IF(I89&gt;=Settings!$E$12,Settings!$F$12,IF(I89&gt;=Settings!$E$13,Settings!$F$13,IF(I89&gt;=Settings!$E$14,Settings!$F$14,Settings!$F$15)))))</f>
        <v/>
      </c>
      <c r="K89" s="85" t="str">
        <f aca="false">IF(I89="","",IF(I89&gt;=Settings!$E$11,Settings!$G$11,IF(I89&gt;=Settings!$E$12,Settings!$G$12,IF(I89&gt;=Settings!$E$13,Settings!$G$13,IF(I89&gt;=Settings!$E$14,Settings!$G$14,Settings!$G$15)))))</f>
        <v/>
      </c>
    </row>
    <row r="90" customFormat="false" ht="19.5" hidden="false" customHeight="true" outlineLevel="0" collapsed="false">
      <c r="A90" s="52"/>
      <c r="B90" s="89" t="str">
        <f aca="false">IF(A90="","",IFERROR(INDEX(Students!$B$5:$B$304,MATCH(A90,Students!$A$5:$A$304,0)),"ID not found"))</f>
        <v/>
      </c>
      <c r="C90" s="85" t="str">
        <f aca="false">IF(A90="","",IFERROR(INDEX(Students!$E$5:$E$304,MATCH(A90,Students!$A$5:$A$304,0)),""))</f>
        <v/>
      </c>
      <c r="D90" s="85" t="str">
        <f aca="false">IF(A90="","",IFERROR(INDEX(Students!$F$5:$F$304,MATCH(A90,Students!$A$5:$A$304,0)),""))</f>
        <v/>
      </c>
      <c r="E90" s="86"/>
      <c r="F90" s="52"/>
      <c r="G90" s="52"/>
      <c r="H90" s="52"/>
      <c r="I90" s="93" t="str">
        <f aca="false">IF(COUNT(G90:H90)=0,"",IF(COUNT(G90:H90)=1,SUM(G90:H90),ROUND(G90*Settings!$B$8+H90*(1-Settings!$B$8),1)))</f>
        <v/>
      </c>
      <c r="J90" s="85" t="str">
        <f aca="false">IF(I90="","",IF(I90&gt;=Settings!$E$11,Settings!$F$11,IF(I90&gt;=Settings!$E$12,Settings!$F$12,IF(I90&gt;=Settings!$E$13,Settings!$F$13,IF(I90&gt;=Settings!$E$14,Settings!$F$14,Settings!$F$15)))))</f>
        <v/>
      </c>
      <c r="K90" s="85" t="str">
        <f aca="false">IF(I90="","",IF(I90&gt;=Settings!$E$11,Settings!$G$11,IF(I90&gt;=Settings!$E$12,Settings!$G$12,IF(I90&gt;=Settings!$E$13,Settings!$G$13,IF(I90&gt;=Settings!$E$14,Settings!$G$14,Settings!$G$15)))))</f>
        <v/>
      </c>
    </row>
    <row r="91" customFormat="false" ht="19.5" hidden="false" customHeight="true" outlineLevel="0" collapsed="false">
      <c r="A91" s="52"/>
      <c r="B91" s="89" t="str">
        <f aca="false">IF(A91="","",IFERROR(INDEX(Students!$B$5:$B$304,MATCH(A91,Students!$A$5:$A$304,0)),"ID not found"))</f>
        <v/>
      </c>
      <c r="C91" s="85" t="str">
        <f aca="false">IF(A91="","",IFERROR(INDEX(Students!$E$5:$E$304,MATCH(A91,Students!$A$5:$A$304,0)),""))</f>
        <v/>
      </c>
      <c r="D91" s="85" t="str">
        <f aca="false">IF(A91="","",IFERROR(INDEX(Students!$F$5:$F$304,MATCH(A91,Students!$A$5:$A$304,0)),""))</f>
        <v/>
      </c>
      <c r="E91" s="86"/>
      <c r="F91" s="52"/>
      <c r="G91" s="52"/>
      <c r="H91" s="52"/>
      <c r="I91" s="93" t="str">
        <f aca="false">IF(COUNT(G91:H91)=0,"",IF(COUNT(G91:H91)=1,SUM(G91:H91),ROUND(G91*Settings!$B$8+H91*(1-Settings!$B$8),1)))</f>
        <v/>
      </c>
      <c r="J91" s="85" t="str">
        <f aca="false">IF(I91="","",IF(I91&gt;=Settings!$E$11,Settings!$F$11,IF(I91&gt;=Settings!$E$12,Settings!$F$12,IF(I91&gt;=Settings!$E$13,Settings!$F$13,IF(I91&gt;=Settings!$E$14,Settings!$F$14,Settings!$F$15)))))</f>
        <v/>
      </c>
      <c r="K91" s="85" t="str">
        <f aca="false">IF(I91="","",IF(I91&gt;=Settings!$E$11,Settings!$G$11,IF(I91&gt;=Settings!$E$12,Settings!$G$12,IF(I91&gt;=Settings!$E$13,Settings!$G$13,IF(I91&gt;=Settings!$E$14,Settings!$G$14,Settings!$G$15)))))</f>
        <v/>
      </c>
    </row>
    <row r="92" customFormat="false" ht="19.5" hidden="false" customHeight="true" outlineLevel="0" collapsed="false">
      <c r="A92" s="52"/>
      <c r="B92" s="89" t="str">
        <f aca="false">IF(A92="","",IFERROR(INDEX(Students!$B$5:$B$304,MATCH(A92,Students!$A$5:$A$304,0)),"ID not found"))</f>
        <v/>
      </c>
      <c r="C92" s="85" t="str">
        <f aca="false">IF(A92="","",IFERROR(INDEX(Students!$E$5:$E$304,MATCH(A92,Students!$A$5:$A$304,0)),""))</f>
        <v/>
      </c>
      <c r="D92" s="85" t="str">
        <f aca="false">IF(A92="","",IFERROR(INDEX(Students!$F$5:$F$304,MATCH(A92,Students!$A$5:$A$304,0)),""))</f>
        <v/>
      </c>
      <c r="E92" s="86"/>
      <c r="F92" s="52"/>
      <c r="G92" s="52"/>
      <c r="H92" s="52"/>
      <c r="I92" s="93" t="str">
        <f aca="false">IF(COUNT(G92:H92)=0,"",IF(COUNT(G92:H92)=1,SUM(G92:H92),ROUND(G92*Settings!$B$8+H92*(1-Settings!$B$8),1)))</f>
        <v/>
      </c>
      <c r="J92" s="85" t="str">
        <f aca="false">IF(I92="","",IF(I92&gt;=Settings!$E$11,Settings!$F$11,IF(I92&gt;=Settings!$E$12,Settings!$F$12,IF(I92&gt;=Settings!$E$13,Settings!$F$13,IF(I92&gt;=Settings!$E$14,Settings!$F$14,Settings!$F$15)))))</f>
        <v/>
      </c>
      <c r="K92" s="85" t="str">
        <f aca="false">IF(I92="","",IF(I92&gt;=Settings!$E$11,Settings!$G$11,IF(I92&gt;=Settings!$E$12,Settings!$G$12,IF(I92&gt;=Settings!$E$13,Settings!$G$13,IF(I92&gt;=Settings!$E$14,Settings!$G$14,Settings!$G$15)))))</f>
        <v/>
      </c>
    </row>
    <row r="93" customFormat="false" ht="19.5" hidden="false" customHeight="true" outlineLevel="0" collapsed="false">
      <c r="A93" s="52"/>
      <c r="B93" s="89" t="str">
        <f aca="false">IF(A93="","",IFERROR(INDEX(Students!$B$5:$B$304,MATCH(A93,Students!$A$5:$A$304,0)),"ID not found"))</f>
        <v/>
      </c>
      <c r="C93" s="85" t="str">
        <f aca="false">IF(A93="","",IFERROR(INDEX(Students!$E$5:$E$304,MATCH(A93,Students!$A$5:$A$304,0)),""))</f>
        <v/>
      </c>
      <c r="D93" s="85" t="str">
        <f aca="false">IF(A93="","",IFERROR(INDEX(Students!$F$5:$F$304,MATCH(A93,Students!$A$5:$A$304,0)),""))</f>
        <v/>
      </c>
      <c r="E93" s="86"/>
      <c r="F93" s="52"/>
      <c r="G93" s="52"/>
      <c r="H93" s="52"/>
      <c r="I93" s="93" t="str">
        <f aca="false">IF(COUNT(G93:H93)=0,"",IF(COUNT(G93:H93)=1,SUM(G93:H93),ROUND(G93*Settings!$B$8+H93*(1-Settings!$B$8),1)))</f>
        <v/>
      </c>
      <c r="J93" s="85" t="str">
        <f aca="false">IF(I93="","",IF(I93&gt;=Settings!$E$11,Settings!$F$11,IF(I93&gt;=Settings!$E$12,Settings!$F$12,IF(I93&gt;=Settings!$E$13,Settings!$F$13,IF(I93&gt;=Settings!$E$14,Settings!$F$14,Settings!$F$15)))))</f>
        <v/>
      </c>
      <c r="K93" s="85" t="str">
        <f aca="false">IF(I93="","",IF(I93&gt;=Settings!$E$11,Settings!$G$11,IF(I93&gt;=Settings!$E$12,Settings!$G$12,IF(I93&gt;=Settings!$E$13,Settings!$G$13,IF(I93&gt;=Settings!$E$14,Settings!$G$14,Settings!$G$15)))))</f>
        <v/>
      </c>
    </row>
    <row r="94" customFormat="false" ht="19.5" hidden="false" customHeight="true" outlineLevel="0" collapsed="false">
      <c r="A94" s="52"/>
      <c r="B94" s="89" t="str">
        <f aca="false">IF(A94="","",IFERROR(INDEX(Students!$B$5:$B$304,MATCH(A94,Students!$A$5:$A$304,0)),"ID not found"))</f>
        <v/>
      </c>
      <c r="C94" s="85" t="str">
        <f aca="false">IF(A94="","",IFERROR(INDEX(Students!$E$5:$E$304,MATCH(A94,Students!$A$5:$A$304,0)),""))</f>
        <v/>
      </c>
      <c r="D94" s="85" t="str">
        <f aca="false">IF(A94="","",IFERROR(INDEX(Students!$F$5:$F$304,MATCH(A94,Students!$A$5:$A$304,0)),""))</f>
        <v/>
      </c>
      <c r="E94" s="86"/>
      <c r="F94" s="52"/>
      <c r="G94" s="52"/>
      <c r="H94" s="52"/>
      <c r="I94" s="93" t="str">
        <f aca="false">IF(COUNT(G94:H94)=0,"",IF(COUNT(G94:H94)=1,SUM(G94:H94),ROUND(G94*Settings!$B$8+H94*(1-Settings!$B$8),1)))</f>
        <v/>
      </c>
      <c r="J94" s="85" t="str">
        <f aca="false">IF(I94="","",IF(I94&gt;=Settings!$E$11,Settings!$F$11,IF(I94&gt;=Settings!$E$12,Settings!$F$12,IF(I94&gt;=Settings!$E$13,Settings!$F$13,IF(I94&gt;=Settings!$E$14,Settings!$F$14,Settings!$F$15)))))</f>
        <v/>
      </c>
      <c r="K94" s="85" t="str">
        <f aca="false">IF(I94="","",IF(I94&gt;=Settings!$E$11,Settings!$G$11,IF(I94&gt;=Settings!$E$12,Settings!$G$12,IF(I94&gt;=Settings!$E$13,Settings!$G$13,IF(I94&gt;=Settings!$E$14,Settings!$G$14,Settings!$G$15)))))</f>
        <v/>
      </c>
    </row>
    <row r="95" customFormat="false" ht="19.5" hidden="false" customHeight="true" outlineLevel="0" collapsed="false">
      <c r="A95" s="52"/>
      <c r="B95" s="89" t="str">
        <f aca="false">IF(A95="","",IFERROR(INDEX(Students!$B$5:$B$304,MATCH(A95,Students!$A$5:$A$304,0)),"ID not found"))</f>
        <v/>
      </c>
      <c r="C95" s="85" t="str">
        <f aca="false">IF(A95="","",IFERROR(INDEX(Students!$E$5:$E$304,MATCH(A95,Students!$A$5:$A$304,0)),""))</f>
        <v/>
      </c>
      <c r="D95" s="85" t="str">
        <f aca="false">IF(A95="","",IFERROR(INDEX(Students!$F$5:$F$304,MATCH(A95,Students!$A$5:$A$304,0)),""))</f>
        <v/>
      </c>
      <c r="E95" s="86"/>
      <c r="F95" s="52"/>
      <c r="G95" s="52"/>
      <c r="H95" s="52"/>
      <c r="I95" s="93" t="str">
        <f aca="false">IF(COUNT(G95:H95)=0,"",IF(COUNT(G95:H95)=1,SUM(G95:H95),ROUND(G95*Settings!$B$8+H95*(1-Settings!$B$8),1)))</f>
        <v/>
      </c>
      <c r="J95" s="85" t="str">
        <f aca="false">IF(I95="","",IF(I95&gt;=Settings!$E$11,Settings!$F$11,IF(I95&gt;=Settings!$E$12,Settings!$F$12,IF(I95&gt;=Settings!$E$13,Settings!$F$13,IF(I95&gt;=Settings!$E$14,Settings!$F$14,Settings!$F$15)))))</f>
        <v/>
      </c>
      <c r="K95" s="85" t="str">
        <f aca="false">IF(I95="","",IF(I95&gt;=Settings!$E$11,Settings!$G$11,IF(I95&gt;=Settings!$E$12,Settings!$G$12,IF(I95&gt;=Settings!$E$13,Settings!$G$13,IF(I95&gt;=Settings!$E$14,Settings!$G$14,Settings!$G$15)))))</f>
        <v/>
      </c>
    </row>
    <row r="96" customFormat="false" ht="19.5" hidden="false" customHeight="true" outlineLevel="0" collapsed="false">
      <c r="A96" s="52"/>
      <c r="B96" s="89" t="str">
        <f aca="false">IF(A96="","",IFERROR(INDEX(Students!$B$5:$B$304,MATCH(A96,Students!$A$5:$A$304,0)),"ID not found"))</f>
        <v/>
      </c>
      <c r="C96" s="85" t="str">
        <f aca="false">IF(A96="","",IFERROR(INDEX(Students!$E$5:$E$304,MATCH(A96,Students!$A$5:$A$304,0)),""))</f>
        <v/>
      </c>
      <c r="D96" s="85" t="str">
        <f aca="false">IF(A96="","",IFERROR(INDEX(Students!$F$5:$F$304,MATCH(A96,Students!$A$5:$A$304,0)),""))</f>
        <v/>
      </c>
      <c r="E96" s="86"/>
      <c r="F96" s="52"/>
      <c r="G96" s="52"/>
      <c r="H96" s="52"/>
      <c r="I96" s="93" t="str">
        <f aca="false">IF(COUNT(G96:H96)=0,"",IF(COUNT(G96:H96)=1,SUM(G96:H96),ROUND(G96*Settings!$B$8+H96*(1-Settings!$B$8),1)))</f>
        <v/>
      </c>
      <c r="J96" s="85" t="str">
        <f aca="false">IF(I96="","",IF(I96&gt;=Settings!$E$11,Settings!$F$11,IF(I96&gt;=Settings!$E$12,Settings!$F$12,IF(I96&gt;=Settings!$E$13,Settings!$F$13,IF(I96&gt;=Settings!$E$14,Settings!$F$14,Settings!$F$15)))))</f>
        <v/>
      </c>
      <c r="K96" s="85" t="str">
        <f aca="false">IF(I96="","",IF(I96&gt;=Settings!$E$11,Settings!$G$11,IF(I96&gt;=Settings!$E$12,Settings!$G$12,IF(I96&gt;=Settings!$E$13,Settings!$G$13,IF(I96&gt;=Settings!$E$14,Settings!$G$14,Settings!$G$15)))))</f>
        <v/>
      </c>
    </row>
    <row r="97" customFormat="false" ht="19.5" hidden="false" customHeight="true" outlineLevel="0" collapsed="false">
      <c r="A97" s="52"/>
      <c r="B97" s="89" t="str">
        <f aca="false">IF(A97="","",IFERROR(INDEX(Students!$B$5:$B$304,MATCH(A97,Students!$A$5:$A$304,0)),"ID not found"))</f>
        <v/>
      </c>
      <c r="C97" s="85" t="str">
        <f aca="false">IF(A97="","",IFERROR(INDEX(Students!$E$5:$E$304,MATCH(A97,Students!$A$5:$A$304,0)),""))</f>
        <v/>
      </c>
      <c r="D97" s="85" t="str">
        <f aca="false">IF(A97="","",IFERROR(INDEX(Students!$F$5:$F$304,MATCH(A97,Students!$A$5:$A$304,0)),""))</f>
        <v/>
      </c>
      <c r="E97" s="86"/>
      <c r="F97" s="52"/>
      <c r="G97" s="52"/>
      <c r="H97" s="52"/>
      <c r="I97" s="93" t="str">
        <f aca="false">IF(COUNT(G97:H97)=0,"",IF(COUNT(G97:H97)=1,SUM(G97:H97),ROUND(G97*Settings!$B$8+H97*(1-Settings!$B$8),1)))</f>
        <v/>
      </c>
      <c r="J97" s="85" t="str">
        <f aca="false">IF(I97="","",IF(I97&gt;=Settings!$E$11,Settings!$F$11,IF(I97&gt;=Settings!$E$12,Settings!$F$12,IF(I97&gt;=Settings!$E$13,Settings!$F$13,IF(I97&gt;=Settings!$E$14,Settings!$F$14,Settings!$F$15)))))</f>
        <v/>
      </c>
      <c r="K97" s="85" t="str">
        <f aca="false">IF(I97="","",IF(I97&gt;=Settings!$E$11,Settings!$G$11,IF(I97&gt;=Settings!$E$12,Settings!$G$12,IF(I97&gt;=Settings!$E$13,Settings!$G$13,IF(I97&gt;=Settings!$E$14,Settings!$G$14,Settings!$G$15)))))</f>
        <v/>
      </c>
    </row>
    <row r="98" customFormat="false" ht="19.5" hidden="false" customHeight="true" outlineLevel="0" collapsed="false">
      <c r="A98" s="52"/>
      <c r="B98" s="89" t="str">
        <f aca="false">IF(A98="","",IFERROR(INDEX(Students!$B$5:$B$304,MATCH(A98,Students!$A$5:$A$304,0)),"ID not found"))</f>
        <v/>
      </c>
      <c r="C98" s="85" t="str">
        <f aca="false">IF(A98="","",IFERROR(INDEX(Students!$E$5:$E$304,MATCH(A98,Students!$A$5:$A$304,0)),""))</f>
        <v/>
      </c>
      <c r="D98" s="85" t="str">
        <f aca="false">IF(A98="","",IFERROR(INDEX(Students!$F$5:$F$304,MATCH(A98,Students!$A$5:$A$304,0)),""))</f>
        <v/>
      </c>
      <c r="E98" s="86"/>
      <c r="F98" s="52"/>
      <c r="G98" s="52"/>
      <c r="H98" s="52"/>
      <c r="I98" s="93" t="str">
        <f aca="false">IF(COUNT(G98:H98)=0,"",IF(COUNT(G98:H98)=1,SUM(G98:H98),ROUND(G98*Settings!$B$8+H98*(1-Settings!$B$8),1)))</f>
        <v/>
      </c>
      <c r="J98" s="85" t="str">
        <f aca="false">IF(I98="","",IF(I98&gt;=Settings!$E$11,Settings!$F$11,IF(I98&gt;=Settings!$E$12,Settings!$F$12,IF(I98&gt;=Settings!$E$13,Settings!$F$13,IF(I98&gt;=Settings!$E$14,Settings!$F$14,Settings!$F$15)))))</f>
        <v/>
      </c>
      <c r="K98" s="85" t="str">
        <f aca="false">IF(I98="","",IF(I98&gt;=Settings!$E$11,Settings!$G$11,IF(I98&gt;=Settings!$E$12,Settings!$G$12,IF(I98&gt;=Settings!$E$13,Settings!$G$13,IF(I98&gt;=Settings!$E$14,Settings!$G$14,Settings!$G$15)))))</f>
        <v/>
      </c>
    </row>
    <row r="99" customFormat="false" ht="19.5" hidden="false" customHeight="true" outlineLevel="0" collapsed="false">
      <c r="A99" s="52"/>
      <c r="B99" s="89" t="str">
        <f aca="false">IF(A99="","",IFERROR(INDEX(Students!$B$5:$B$304,MATCH(A99,Students!$A$5:$A$304,0)),"ID not found"))</f>
        <v/>
      </c>
      <c r="C99" s="85" t="str">
        <f aca="false">IF(A99="","",IFERROR(INDEX(Students!$E$5:$E$304,MATCH(A99,Students!$A$5:$A$304,0)),""))</f>
        <v/>
      </c>
      <c r="D99" s="85" t="str">
        <f aca="false">IF(A99="","",IFERROR(INDEX(Students!$F$5:$F$304,MATCH(A99,Students!$A$5:$A$304,0)),""))</f>
        <v/>
      </c>
      <c r="E99" s="86"/>
      <c r="F99" s="52"/>
      <c r="G99" s="52"/>
      <c r="H99" s="52"/>
      <c r="I99" s="93" t="str">
        <f aca="false">IF(COUNT(G99:H99)=0,"",IF(COUNT(G99:H99)=1,SUM(G99:H99),ROUND(G99*Settings!$B$8+H99*(1-Settings!$B$8),1)))</f>
        <v/>
      </c>
      <c r="J99" s="85" t="str">
        <f aca="false">IF(I99="","",IF(I99&gt;=Settings!$E$11,Settings!$F$11,IF(I99&gt;=Settings!$E$12,Settings!$F$12,IF(I99&gt;=Settings!$E$13,Settings!$F$13,IF(I99&gt;=Settings!$E$14,Settings!$F$14,Settings!$F$15)))))</f>
        <v/>
      </c>
      <c r="K99" s="85" t="str">
        <f aca="false">IF(I99="","",IF(I99&gt;=Settings!$E$11,Settings!$G$11,IF(I99&gt;=Settings!$E$12,Settings!$G$12,IF(I99&gt;=Settings!$E$13,Settings!$G$13,IF(I99&gt;=Settings!$E$14,Settings!$G$14,Settings!$G$15)))))</f>
        <v/>
      </c>
    </row>
    <row r="100" customFormat="false" ht="19.5" hidden="false" customHeight="true" outlineLevel="0" collapsed="false">
      <c r="A100" s="52"/>
      <c r="B100" s="89" t="str">
        <f aca="false">IF(A100="","",IFERROR(INDEX(Students!$B$5:$B$304,MATCH(A100,Students!$A$5:$A$304,0)),"ID not found"))</f>
        <v/>
      </c>
      <c r="C100" s="85" t="str">
        <f aca="false">IF(A100="","",IFERROR(INDEX(Students!$E$5:$E$304,MATCH(A100,Students!$A$5:$A$304,0)),""))</f>
        <v/>
      </c>
      <c r="D100" s="85" t="str">
        <f aca="false">IF(A100="","",IFERROR(INDEX(Students!$F$5:$F$304,MATCH(A100,Students!$A$5:$A$304,0)),""))</f>
        <v/>
      </c>
      <c r="E100" s="86"/>
      <c r="F100" s="52"/>
      <c r="G100" s="52"/>
      <c r="H100" s="52"/>
      <c r="I100" s="93" t="str">
        <f aca="false">IF(COUNT(G100:H100)=0,"",IF(COUNT(G100:H100)=1,SUM(G100:H100),ROUND(G100*Settings!$B$8+H100*(1-Settings!$B$8),1)))</f>
        <v/>
      </c>
      <c r="J100" s="85" t="str">
        <f aca="false">IF(I100="","",IF(I100&gt;=Settings!$E$11,Settings!$F$11,IF(I100&gt;=Settings!$E$12,Settings!$F$12,IF(I100&gt;=Settings!$E$13,Settings!$F$13,IF(I100&gt;=Settings!$E$14,Settings!$F$14,Settings!$F$15)))))</f>
        <v/>
      </c>
      <c r="K100" s="85" t="str">
        <f aca="false">IF(I100="","",IF(I100&gt;=Settings!$E$11,Settings!$G$11,IF(I100&gt;=Settings!$E$12,Settings!$G$12,IF(I100&gt;=Settings!$E$13,Settings!$G$13,IF(I100&gt;=Settings!$E$14,Settings!$G$14,Settings!$G$15)))))</f>
        <v/>
      </c>
    </row>
    <row r="101" customFormat="false" ht="19.5" hidden="false" customHeight="true" outlineLevel="0" collapsed="false">
      <c r="A101" s="52"/>
      <c r="B101" s="89" t="str">
        <f aca="false">IF(A101="","",IFERROR(INDEX(Students!$B$5:$B$304,MATCH(A101,Students!$A$5:$A$304,0)),"ID not found"))</f>
        <v/>
      </c>
      <c r="C101" s="85" t="str">
        <f aca="false">IF(A101="","",IFERROR(INDEX(Students!$E$5:$E$304,MATCH(A101,Students!$A$5:$A$304,0)),""))</f>
        <v/>
      </c>
      <c r="D101" s="85" t="str">
        <f aca="false">IF(A101="","",IFERROR(INDEX(Students!$F$5:$F$304,MATCH(A101,Students!$A$5:$A$304,0)),""))</f>
        <v/>
      </c>
      <c r="E101" s="86"/>
      <c r="F101" s="52"/>
      <c r="G101" s="52"/>
      <c r="H101" s="52"/>
      <c r="I101" s="93" t="str">
        <f aca="false">IF(COUNT(G101:H101)=0,"",IF(COUNT(G101:H101)=1,SUM(G101:H101),ROUND(G101*Settings!$B$8+H101*(1-Settings!$B$8),1)))</f>
        <v/>
      </c>
      <c r="J101" s="85" t="str">
        <f aca="false">IF(I101="","",IF(I101&gt;=Settings!$E$11,Settings!$F$11,IF(I101&gt;=Settings!$E$12,Settings!$F$12,IF(I101&gt;=Settings!$E$13,Settings!$F$13,IF(I101&gt;=Settings!$E$14,Settings!$F$14,Settings!$F$15)))))</f>
        <v/>
      </c>
      <c r="K101" s="85" t="str">
        <f aca="false">IF(I101="","",IF(I101&gt;=Settings!$E$11,Settings!$G$11,IF(I101&gt;=Settings!$E$12,Settings!$G$12,IF(I101&gt;=Settings!$E$13,Settings!$G$13,IF(I101&gt;=Settings!$E$14,Settings!$G$14,Settings!$G$15)))))</f>
        <v/>
      </c>
    </row>
    <row r="102" customFormat="false" ht="19.5" hidden="false" customHeight="true" outlineLevel="0" collapsed="false">
      <c r="A102" s="52"/>
      <c r="B102" s="89" t="str">
        <f aca="false">IF(A102="","",IFERROR(INDEX(Students!$B$5:$B$304,MATCH(A102,Students!$A$5:$A$304,0)),"ID not found"))</f>
        <v/>
      </c>
      <c r="C102" s="85" t="str">
        <f aca="false">IF(A102="","",IFERROR(INDEX(Students!$E$5:$E$304,MATCH(A102,Students!$A$5:$A$304,0)),""))</f>
        <v/>
      </c>
      <c r="D102" s="85" t="str">
        <f aca="false">IF(A102="","",IFERROR(INDEX(Students!$F$5:$F$304,MATCH(A102,Students!$A$5:$A$304,0)),""))</f>
        <v/>
      </c>
      <c r="E102" s="86"/>
      <c r="F102" s="52"/>
      <c r="G102" s="52"/>
      <c r="H102" s="52"/>
      <c r="I102" s="93" t="str">
        <f aca="false">IF(COUNT(G102:H102)=0,"",IF(COUNT(G102:H102)=1,SUM(G102:H102),ROUND(G102*Settings!$B$8+H102*(1-Settings!$B$8),1)))</f>
        <v/>
      </c>
      <c r="J102" s="85" t="str">
        <f aca="false">IF(I102="","",IF(I102&gt;=Settings!$E$11,Settings!$F$11,IF(I102&gt;=Settings!$E$12,Settings!$F$12,IF(I102&gt;=Settings!$E$13,Settings!$F$13,IF(I102&gt;=Settings!$E$14,Settings!$F$14,Settings!$F$15)))))</f>
        <v/>
      </c>
      <c r="K102" s="85" t="str">
        <f aca="false">IF(I102="","",IF(I102&gt;=Settings!$E$11,Settings!$G$11,IF(I102&gt;=Settings!$E$12,Settings!$G$12,IF(I102&gt;=Settings!$E$13,Settings!$G$13,IF(I102&gt;=Settings!$E$14,Settings!$G$14,Settings!$G$15)))))</f>
        <v/>
      </c>
    </row>
    <row r="103" customFormat="false" ht="19.5" hidden="false" customHeight="true" outlineLevel="0" collapsed="false">
      <c r="A103" s="52"/>
      <c r="B103" s="89" t="str">
        <f aca="false">IF(A103="","",IFERROR(INDEX(Students!$B$5:$B$304,MATCH(A103,Students!$A$5:$A$304,0)),"ID not found"))</f>
        <v/>
      </c>
      <c r="C103" s="85" t="str">
        <f aca="false">IF(A103="","",IFERROR(INDEX(Students!$E$5:$E$304,MATCH(A103,Students!$A$5:$A$304,0)),""))</f>
        <v/>
      </c>
      <c r="D103" s="85" t="str">
        <f aca="false">IF(A103="","",IFERROR(INDEX(Students!$F$5:$F$304,MATCH(A103,Students!$A$5:$A$304,0)),""))</f>
        <v/>
      </c>
      <c r="E103" s="86"/>
      <c r="F103" s="52"/>
      <c r="G103" s="52"/>
      <c r="H103" s="52"/>
      <c r="I103" s="93" t="str">
        <f aca="false">IF(COUNT(G103:H103)=0,"",IF(COUNT(G103:H103)=1,SUM(G103:H103),ROUND(G103*Settings!$B$8+H103*(1-Settings!$B$8),1)))</f>
        <v/>
      </c>
      <c r="J103" s="85" t="str">
        <f aca="false">IF(I103="","",IF(I103&gt;=Settings!$E$11,Settings!$F$11,IF(I103&gt;=Settings!$E$12,Settings!$F$12,IF(I103&gt;=Settings!$E$13,Settings!$F$13,IF(I103&gt;=Settings!$E$14,Settings!$F$14,Settings!$F$15)))))</f>
        <v/>
      </c>
      <c r="K103" s="85" t="str">
        <f aca="false">IF(I103="","",IF(I103&gt;=Settings!$E$11,Settings!$G$11,IF(I103&gt;=Settings!$E$12,Settings!$G$12,IF(I103&gt;=Settings!$E$13,Settings!$G$13,IF(I103&gt;=Settings!$E$14,Settings!$G$14,Settings!$G$15)))))</f>
        <v/>
      </c>
    </row>
    <row r="104" customFormat="false" ht="19.5" hidden="false" customHeight="true" outlineLevel="0" collapsed="false">
      <c r="A104" s="52"/>
      <c r="B104" s="89" t="str">
        <f aca="false">IF(A104="","",IFERROR(INDEX(Students!$B$5:$B$304,MATCH(A104,Students!$A$5:$A$304,0)),"ID not found"))</f>
        <v/>
      </c>
      <c r="C104" s="85" t="str">
        <f aca="false">IF(A104="","",IFERROR(INDEX(Students!$E$5:$E$304,MATCH(A104,Students!$A$5:$A$304,0)),""))</f>
        <v/>
      </c>
      <c r="D104" s="85" t="str">
        <f aca="false">IF(A104="","",IFERROR(INDEX(Students!$F$5:$F$304,MATCH(A104,Students!$A$5:$A$304,0)),""))</f>
        <v/>
      </c>
      <c r="E104" s="86"/>
      <c r="F104" s="52"/>
      <c r="G104" s="52"/>
      <c r="H104" s="52"/>
      <c r="I104" s="93" t="str">
        <f aca="false">IF(COUNT(G104:H104)=0,"",IF(COUNT(G104:H104)=1,SUM(G104:H104),ROUND(G104*Settings!$B$8+H104*(1-Settings!$B$8),1)))</f>
        <v/>
      </c>
      <c r="J104" s="85" t="str">
        <f aca="false">IF(I104="","",IF(I104&gt;=Settings!$E$11,Settings!$F$11,IF(I104&gt;=Settings!$E$12,Settings!$F$12,IF(I104&gt;=Settings!$E$13,Settings!$F$13,IF(I104&gt;=Settings!$E$14,Settings!$F$14,Settings!$F$15)))))</f>
        <v/>
      </c>
      <c r="K104" s="85" t="str">
        <f aca="false">IF(I104="","",IF(I104&gt;=Settings!$E$11,Settings!$G$11,IF(I104&gt;=Settings!$E$12,Settings!$G$12,IF(I104&gt;=Settings!$E$13,Settings!$G$13,IF(I104&gt;=Settings!$E$14,Settings!$G$14,Settings!$G$15)))))</f>
        <v/>
      </c>
    </row>
    <row r="105" customFormat="false" ht="19.5" hidden="false" customHeight="true" outlineLevel="0" collapsed="false">
      <c r="A105" s="52"/>
      <c r="B105" s="89" t="str">
        <f aca="false">IF(A105="","",IFERROR(INDEX(Students!$B$5:$B$304,MATCH(A105,Students!$A$5:$A$304,0)),"ID not found"))</f>
        <v/>
      </c>
      <c r="C105" s="85" t="str">
        <f aca="false">IF(A105="","",IFERROR(INDEX(Students!$E$5:$E$304,MATCH(A105,Students!$A$5:$A$304,0)),""))</f>
        <v/>
      </c>
      <c r="D105" s="85" t="str">
        <f aca="false">IF(A105="","",IFERROR(INDEX(Students!$F$5:$F$304,MATCH(A105,Students!$A$5:$A$304,0)),""))</f>
        <v/>
      </c>
      <c r="E105" s="86"/>
      <c r="F105" s="52"/>
      <c r="G105" s="52"/>
      <c r="H105" s="52"/>
      <c r="I105" s="93" t="str">
        <f aca="false">IF(COUNT(G105:H105)=0,"",IF(COUNT(G105:H105)=1,SUM(G105:H105),ROUND(G105*Settings!$B$8+H105*(1-Settings!$B$8),1)))</f>
        <v/>
      </c>
      <c r="J105" s="85" t="str">
        <f aca="false">IF(I105="","",IF(I105&gt;=Settings!$E$11,Settings!$F$11,IF(I105&gt;=Settings!$E$12,Settings!$F$12,IF(I105&gt;=Settings!$E$13,Settings!$F$13,IF(I105&gt;=Settings!$E$14,Settings!$F$14,Settings!$F$15)))))</f>
        <v/>
      </c>
      <c r="K105" s="85" t="str">
        <f aca="false">IF(I105="","",IF(I105&gt;=Settings!$E$11,Settings!$G$11,IF(I105&gt;=Settings!$E$12,Settings!$G$12,IF(I105&gt;=Settings!$E$13,Settings!$G$13,IF(I105&gt;=Settings!$E$14,Settings!$G$14,Settings!$G$15)))))</f>
        <v/>
      </c>
    </row>
    <row r="106" customFormat="false" ht="19.5" hidden="false" customHeight="true" outlineLevel="0" collapsed="false">
      <c r="A106" s="52"/>
      <c r="B106" s="89" t="str">
        <f aca="false">IF(A106="","",IFERROR(INDEX(Students!$B$5:$B$304,MATCH(A106,Students!$A$5:$A$304,0)),"ID not found"))</f>
        <v/>
      </c>
      <c r="C106" s="85" t="str">
        <f aca="false">IF(A106="","",IFERROR(INDEX(Students!$E$5:$E$304,MATCH(A106,Students!$A$5:$A$304,0)),""))</f>
        <v/>
      </c>
      <c r="D106" s="85" t="str">
        <f aca="false">IF(A106="","",IFERROR(INDEX(Students!$F$5:$F$304,MATCH(A106,Students!$A$5:$A$304,0)),""))</f>
        <v/>
      </c>
      <c r="E106" s="86"/>
      <c r="F106" s="52"/>
      <c r="G106" s="52"/>
      <c r="H106" s="52"/>
      <c r="I106" s="93" t="str">
        <f aca="false">IF(COUNT(G106:H106)=0,"",IF(COUNT(G106:H106)=1,SUM(G106:H106),ROUND(G106*Settings!$B$8+H106*(1-Settings!$B$8),1)))</f>
        <v/>
      </c>
      <c r="J106" s="85" t="str">
        <f aca="false">IF(I106="","",IF(I106&gt;=Settings!$E$11,Settings!$F$11,IF(I106&gt;=Settings!$E$12,Settings!$F$12,IF(I106&gt;=Settings!$E$13,Settings!$F$13,IF(I106&gt;=Settings!$E$14,Settings!$F$14,Settings!$F$15)))))</f>
        <v/>
      </c>
      <c r="K106" s="85" t="str">
        <f aca="false">IF(I106="","",IF(I106&gt;=Settings!$E$11,Settings!$G$11,IF(I106&gt;=Settings!$E$12,Settings!$G$12,IF(I106&gt;=Settings!$E$13,Settings!$G$13,IF(I106&gt;=Settings!$E$14,Settings!$G$14,Settings!$G$15)))))</f>
        <v/>
      </c>
    </row>
    <row r="107" customFormat="false" ht="19.5" hidden="false" customHeight="true" outlineLevel="0" collapsed="false">
      <c r="A107" s="52"/>
      <c r="B107" s="89" t="str">
        <f aca="false">IF(A107="","",IFERROR(INDEX(Students!$B$5:$B$304,MATCH(A107,Students!$A$5:$A$304,0)),"ID not found"))</f>
        <v/>
      </c>
      <c r="C107" s="85" t="str">
        <f aca="false">IF(A107="","",IFERROR(INDEX(Students!$E$5:$E$304,MATCH(A107,Students!$A$5:$A$304,0)),""))</f>
        <v/>
      </c>
      <c r="D107" s="85" t="str">
        <f aca="false">IF(A107="","",IFERROR(INDEX(Students!$F$5:$F$304,MATCH(A107,Students!$A$5:$A$304,0)),""))</f>
        <v/>
      </c>
      <c r="E107" s="86"/>
      <c r="F107" s="52"/>
      <c r="G107" s="52"/>
      <c r="H107" s="52"/>
      <c r="I107" s="93" t="str">
        <f aca="false">IF(COUNT(G107:H107)=0,"",IF(COUNT(G107:H107)=1,SUM(G107:H107),ROUND(G107*Settings!$B$8+H107*(1-Settings!$B$8),1)))</f>
        <v/>
      </c>
      <c r="J107" s="85" t="str">
        <f aca="false">IF(I107="","",IF(I107&gt;=Settings!$E$11,Settings!$F$11,IF(I107&gt;=Settings!$E$12,Settings!$F$12,IF(I107&gt;=Settings!$E$13,Settings!$F$13,IF(I107&gt;=Settings!$E$14,Settings!$F$14,Settings!$F$15)))))</f>
        <v/>
      </c>
      <c r="K107" s="85" t="str">
        <f aca="false">IF(I107="","",IF(I107&gt;=Settings!$E$11,Settings!$G$11,IF(I107&gt;=Settings!$E$12,Settings!$G$12,IF(I107&gt;=Settings!$E$13,Settings!$G$13,IF(I107&gt;=Settings!$E$14,Settings!$G$14,Settings!$G$15)))))</f>
        <v/>
      </c>
    </row>
    <row r="108" customFormat="false" ht="19.5" hidden="false" customHeight="true" outlineLevel="0" collapsed="false">
      <c r="A108" s="52"/>
      <c r="B108" s="89" t="str">
        <f aca="false">IF(A108="","",IFERROR(INDEX(Students!$B$5:$B$304,MATCH(A108,Students!$A$5:$A$304,0)),"ID not found"))</f>
        <v/>
      </c>
      <c r="C108" s="85" t="str">
        <f aca="false">IF(A108="","",IFERROR(INDEX(Students!$E$5:$E$304,MATCH(A108,Students!$A$5:$A$304,0)),""))</f>
        <v/>
      </c>
      <c r="D108" s="85" t="str">
        <f aca="false">IF(A108="","",IFERROR(INDEX(Students!$F$5:$F$304,MATCH(A108,Students!$A$5:$A$304,0)),""))</f>
        <v/>
      </c>
      <c r="E108" s="86"/>
      <c r="F108" s="52"/>
      <c r="G108" s="52"/>
      <c r="H108" s="52"/>
      <c r="I108" s="93" t="str">
        <f aca="false">IF(COUNT(G108:H108)=0,"",IF(COUNT(G108:H108)=1,SUM(G108:H108),ROUND(G108*Settings!$B$8+H108*(1-Settings!$B$8),1)))</f>
        <v/>
      </c>
      <c r="J108" s="85" t="str">
        <f aca="false">IF(I108="","",IF(I108&gt;=Settings!$E$11,Settings!$F$11,IF(I108&gt;=Settings!$E$12,Settings!$F$12,IF(I108&gt;=Settings!$E$13,Settings!$F$13,IF(I108&gt;=Settings!$E$14,Settings!$F$14,Settings!$F$15)))))</f>
        <v/>
      </c>
      <c r="K108" s="85" t="str">
        <f aca="false">IF(I108="","",IF(I108&gt;=Settings!$E$11,Settings!$G$11,IF(I108&gt;=Settings!$E$12,Settings!$G$12,IF(I108&gt;=Settings!$E$13,Settings!$G$13,IF(I108&gt;=Settings!$E$14,Settings!$G$14,Settings!$G$15)))))</f>
        <v/>
      </c>
    </row>
    <row r="109" customFormat="false" ht="19.5" hidden="false" customHeight="true" outlineLevel="0" collapsed="false">
      <c r="A109" s="52"/>
      <c r="B109" s="89" t="str">
        <f aca="false">IF(A109="","",IFERROR(INDEX(Students!$B$5:$B$304,MATCH(A109,Students!$A$5:$A$304,0)),"ID not found"))</f>
        <v/>
      </c>
      <c r="C109" s="85" t="str">
        <f aca="false">IF(A109="","",IFERROR(INDEX(Students!$E$5:$E$304,MATCH(A109,Students!$A$5:$A$304,0)),""))</f>
        <v/>
      </c>
      <c r="D109" s="85" t="str">
        <f aca="false">IF(A109="","",IFERROR(INDEX(Students!$F$5:$F$304,MATCH(A109,Students!$A$5:$A$304,0)),""))</f>
        <v/>
      </c>
      <c r="E109" s="86"/>
      <c r="F109" s="52"/>
      <c r="G109" s="52"/>
      <c r="H109" s="52"/>
      <c r="I109" s="93" t="str">
        <f aca="false">IF(COUNT(G109:H109)=0,"",IF(COUNT(G109:H109)=1,SUM(G109:H109),ROUND(G109*Settings!$B$8+H109*(1-Settings!$B$8),1)))</f>
        <v/>
      </c>
      <c r="J109" s="85" t="str">
        <f aca="false">IF(I109="","",IF(I109&gt;=Settings!$E$11,Settings!$F$11,IF(I109&gt;=Settings!$E$12,Settings!$F$12,IF(I109&gt;=Settings!$E$13,Settings!$F$13,IF(I109&gt;=Settings!$E$14,Settings!$F$14,Settings!$F$15)))))</f>
        <v/>
      </c>
      <c r="K109" s="85" t="str">
        <f aca="false">IF(I109="","",IF(I109&gt;=Settings!$E$11,Settings!$G$11,IF(I109&gt;=Settings!$E$12,Settings!$G$12,IF(I109&gt;=Settings!$E$13,Settings!$G$13,IF(I109&gt;=Settings!$E$14,Settings!$G$14,Settings!$G$15)))))</f>
        <v/>
      </c>
    </row>
    <row r="110" customFormat="false" ht="19.5" hidden="false" customHeight="true" outlineLevel="0" collapsed="false">
      <c r="A110" s="52"/>
      <c r="B110" s="89" t="str">
        <f aca="false">IF(A110="","",IFERROR(INDEX(Students!$B$5:$B$304,MATCH(A110,Students!$A$5:$A$304,0)),"ID not found"))</f>
        <v/>
      </c>
      <c r="C110" s="85" t="str">
        <f aca="false">IF(A110="","",IFERROR(INDEX(Students!$E$5:$E$304,MATCH(A110,Students!$A$5:$A$304,0)),""))</f>
        <v/>
      </c>
      <c r="D110" s="85" t="str">
        <f aca="false">IF(A110="","",IFERROR(INDEX(Students!$F$5:$F$304,MATCH(A110,Students!$A$5:$A$304,0)),""))</f>
        <v/>
      </c>
      <c r="E110" s="86"/>
      <c r="F110" s="52"/>
      <c r="G110" s="52"/>
      <c r="H110" s="52"/>
      <c r="I110" s="93" t="str">
        <f aca="false">IF(COUNT(G110:H110)=0,"",IF(COUNT(G110:H110)=1,SUM(G110:H110),ROUND(G110*Settings!$B$8+H110*(1-Settings!$B$8),1)))</f>
        <v/>
      </c>
      <c r="J110" s="85" t="str">
        <f aca="false">IF(I110="","",IF(I110&gt;=Settings!$E$11,Settings!$F$11,IF(I110&gt;=Settings!$E$12,Settings!$F$12,IF(I110&gt;=Settings!$E$13,Settings!$F$13,IF(I110&gt;=Settings!$E$14,Settings!$F$14,Settings!$F$15)))))</f>
        <v/>
      </c>
      <c r="K110" s="85" t="str">
        <f aca="false">IF(I110="","",IF(I110&gt;=Settings!$E$11,Settings!$G$11,IF(I110&gt;=Settings!$E$12,Settings!$G$12,IF(I110&gt;=Settings!$E$13,Settings!$G$13,IF(I110&gt;=Settings!$E$14,Settings!$G$14,Settings!$G$15)))))</f>
        <v/>
      </c>
    </row>
    <row r="111" customFormat="false" ht="19.5" hidden="false" customHeight="true" outlineLevel="0" collapsed="false">
      <c r="A111" s="52"/>
      <c r="B111" s="89" t="str">
        <f aca="false">IF(A111="","",IFERROR(INDEX(Students!$B$5:$B$304,MATCH(A111,Students!$A$5:$A$304,0)),"ID not found"))</f>
        <v/>
      </c>
      <c r="C111" s="85" t="str">
        <f aca="false">IF(A111="","",IFERROR(INDEX(Students!$E$5:$E$304,MATCH(A111,Students!$A$5:$A$304,0)),""))</f>
        <v/>
      </c>
      <c r="D111" s="85" t="str">
        <f aca="false">IF(A111="","",IFERROR(INDEX(Students!$F$5:$F$304,MATCH(A111,Students!$A$5:$A$304,0)),""))</f>
        <v/>
      </c>
      <c r="E111" s="86"/>
      <c r="F111" s="52"/>
      <c r="G111" s="52"/>
      <c r="H111" s="52"/>
      <c r="I111" s="93" t="str">
        <f aca="false">IF(COUNT(G111:H111)=0,"",IF(COUNT(G111:H111)=1,SUM(G111:H111),ROUND(G111*Settings!$B$8+H111*(1-Settings!$B$8),1)))</f>
        <v/>
      </c>
      <c r="J111" s="85" t="str">
        <f aca="false">IF(I111="","",IF(I111&gt;=Settings!$E$11,Settings!$F$11,IF(I111&gt;=Settings!$E$12,Settings!$F$12,IF(I111&gt;=Settings!$E$13,Settings!$F$13,IF(I111&gt;=Settings!$E$14,Settings!$F$14,Settings!$F$15)))))</f>
        <v/>
      </c>
      <c r="K111" s="85" t="str">
        <f aca="false">IF(I111="","",IF(I111&gt;=Settings!$E$11,Settings!$G$11,IF(I111&gt;=Settings!$E$12,Settings!$G$12,IF(I111&gt;=Settings!$E$13,Settings!$G$13,IF(I111&gt;=Settings!$E$14,Settings!$G$14,Settings!$G$15)))))</f>
        <v/>
      </c>
    </row>
    <row r="112" customFormat="false" ht="19.5" hidden="false" customHeight="true" outlineLevel="0" collapsed="false">
      <c r="A112" s="52"/>
      <c r="B112" s="89" t="str">
        <f aca="false">IF(A112="","",IFERROR(INDEX(Students!$B$5:$B$304,MATCH(A112,Students!$A$5:$A$304,0)),"ID not found"))</f>
        <v/>
      </c>
      <c r="C112" s="85" t="str">
        <f aca="false">IF(A112="","",IFERROR(INDEX(Students!$E$5:$E$304,MATCH(A112,Students!$A$5:$A$304,0)),""))</f>
        <v/>
      </c>
      <c r="D112" s="85" t="str">
        <f aca="false">IF(A112="","",IFERROR(INDEX(Students!$F$5:$F$304,MATCH(A112,Students!$A$5:$A$304,0)),""))</f>
        <v/>
      </c>
      <c r="E112" s="86"/>
      <c r="F112" s="52"/>
      <c r="G112" s="52"/>
      <c r="H112" s="52"/>
      <c r="I112" s="93" t="str">
        <f aca="false">IF(COUNT(G112:H112)=0,"",IF(COUNT(G112:H112)=1,SUM(G112:H112),ROUND(G112*Settings!$B$8+H112*(1-Settings!$B$8),1)))</f>
        <v/>
      </c>
      <c r="J112" s="85" t="str">
        <f aca="false">IF(I112="","",IF(I112&gt;=Settings!$E$11,Settings!$F$11,IF(I112&gt;=Settings!$E$12,Settings!$F$12,IF(I112&gt;=Settings!$E$13,Settings!$F$13,IF(I112&gt;=Settings!$E$14,Settings!$F$14,Settings!$F$15)))))</f>
        <v/>
      </c>
      <c r="K112" s="85" t="str">
        <f aca="false">IF(I112="","",IF(I112&gt;=Settings!$E$11,Settings!$G$11,IF(I112&gt;=Settings!$E$12,Settings!$G$12,IF(I112&gt;=Settings!$E$13,Settings!$G$13,IF(I112&gt;=Settings!$E$14,Settings!$G$14,Settings!$G$15)))))</f>
        <v/>
      </c>
    </row>
    <row r="113" customFormat="false" ht="19.5" hidden="false" customHeight="true" outlineLevel="0" collapsed="false">
      <c r="A113" s="52"/>
      <c r="B113" s="89" t="str">
        <f aca="false">IF(A113="","",IFERROR(INDEX(Students!$B$5:$B$304,MATCH(A113,Students!$A$5:$A$304,0)),"ID not found"))</f>
        <v/>
      </c>
      <c r="C113" s="85" t="str">
        <f aca="false">IF(A113="","",IFERROR(INDEX(Students!$E$5:$E$304,MATCH(A113,Students!$A$5:$A$304,0)),""))</f>
        <v/>
      </c>
      <c r="D113" s="85" t="str">
        <f aca="false">IF(A113="","",IFERROR(INDEX(Students!$F$5:$F$304,MATCH(A113,Students!$A$5:$A$304,0)),""))</f>
        <v/>
      </c>
      <c r="E113" s="86"/>
      <c r="F113" s="52"/>
      <c r="G113" s="52"/>
      <c r="H113" s="52"/>
      <c r="I113" s="93" t="str">
        <f aca="false">IF(COUNT(G113:H113)=0,"",IF(COUNT(G113:H113)=1,SUM(G113:H113),ROUND(G113*Settings!$B$8+H113*(1-Settings!$B$8),1)))</f>
        <v/>
      </c>
      <c r="J113" s="85" t="str">
        <f aca="false">IF(I113="","",IF(I113&gt;=Settings!$E$11,Settings!$F$11,IF(I113&gt;=Settings!$E$12,Settings!$F$12,IF(I113&gt;=Settings!$E$13,Settings!$F$13,IF(I113&gt;=Settings!$E$14,Settings!$F$14,Settings!$F$15)))))</f>
        <v/>
      </c>
      <c r="K113" s="85" t="str">
        <f aca="false">IF(I113="","",IF(I113&gt;=Settings!$E$11,Settings!$G$11,IF(I113&gt;=Settings!$E$12,Settings!$G$12,IF(I113&gt;=Settings!$E$13,Settings!$G$13,IF(I113&gt;=Settings!$E$14,Settings!$G$14,Settings!$G$15)))))</f>
        <v/>
      </c>
    </row>
    <row r="114" customFormat="false" ht="19.5" hidden="false" customHeight="true" outlineLevel="0" collapsed="false">
      <c r="A114" s="52"/>
      <c r="B114" s="89" t="str">
        <f aca="false">IF(A114="","",IFERROR(INDEX(Students!$B$5:$B$304,MATCH(A114,Students!$A$5:$A$304,0)),"ID not found"))</f>
        <v/>
      </c>
      <c r="C114" s="85" t="str">
        <f aca="false">IF(A114="","",IFERROR(INDEX(Students!$E$5:$E$304,MATCH(A114,Students!$A$5:$A$304,0)),""))</f>
        <v/>
      </c>
      <c r="D114" s="85" t="str">
        <f aca="false">IF(A114="","",IFERROR(INDEX(Students!$F$5:$F$304,MATCH(A114,Students!$A$5:$A$304,0)),""))</f>
        <v/>
      </c>
      <c r="E114" s="86"/>
      <c r="F114" s="52"/>
      <c r="G114" s="52"/>
      <c r="H114" s="52"/>
      <c r="I114" s="93" t="str">
        <f aca="false">IF(COUNT(G114:H114)=0,"",IF(COUNT(G114:H114)=1,SUM(G114:H114),ROUND(G114*Settings!$B$8+H114*(1-Settings!$B$8),1)))</f>
        <v/>
      </c>
      <c r="J114" s="85" t="str">
        <f aca="false">IF(I114="","",IF(I114&gt;=Settings!$E$11,Settings!$F$11,IF(I114&gt;=Settings!$E$12,Settings!$F$12,IF(I114&gt;=Settings!$E$13,Settings!$F$13,IF(I114&gt;=Settings!$E$14,Settings!$F$14,Settings!$F$15)))))</f>
        <v/>
      </c>
      <c r="K114" s="85" t="str">
        <f aca="false">IF(I114="","",IF(I114&gt;=Settings!$E$11,Settings!$G$11,IF(I114&gt;=Settings!$E$12,Settings!$G$12,IF(I114&gt;=Settings!$E$13,Settings!$G$13,IF(I114&gt;=Settings!$E$14,Settings!$G$14,Settings!$G$15)))))</f>
        <v/>
      </c>
    </row>
    <row r="115" customFormat="false" ht="19.5" hidden="false" customHeight="true" outlineLevel="0" collapsed="false">
      <c r="A115" s="52"/>
      <c r="B115" s="89" t="str">
        <f aca="false">IF(A115="","",IFERROR(INDEX(Students!$B$5:$B$304,MATCH(A115,Students!$A$5:$A$304,0)),"ID not found"))</f>
        <v/>
      </c>
      <c r="C115" s="85" t="str">
        <f aca="false">IF(A115="","",IFERROR(INDEX(Students!$E$5:$E$304,MATCH(A115,Students!$A$5:$A$304,0)),""))</f>
        <v/>
      </c>
      <c r="D115" s="85" t="str">
        <f aca="false">IF(A115="","",IFERROR(INDEX(Students!$F$5:$F$304,MATCH(A115,Students!$A$5:$A$304,0)),""))</f>
        <v/>
      </c>
      <c r="E115" s="86"/>
      <c r="F115" s="52"/>
      <c r="G115" s="52"/>
      <c r="H115" s="52"/>
      <c r="I115" s="93" t="str">
        <f aca="false">IF(COUNT(G115:H115)=0,"",IF(COUNT(G115:H115)=1,SUM(G115:H115),ROUND(G115*Settings!$B$8+H115*(1-Settings!$B$8),1)))</f>
        <v/>
      </c>
      <c r="J115" s="85" t="str">
        <f aca="false">IF(I115="","",IF(I115&gt;=Settings!$E$11,Settings!$F$11,IF(I115&gt;=Settings!$E$12,Settings!$F$12,IF(I115&gt;=Settings!$E$13,Settings!$F$13,IF(I115&gt;=Settings!$E$14,Settings!$F$14,Settings!$F$15)))))</f>
        <v/>
      </c>
      <c r="K115" s="85" t="str">
        <f aca="false">IF(I115="","",IF(I115&gt;=Settings!$E$11,Settings!$G$11,IF(I115&gt;=Settings!$E$12,Settings!$G$12,IF(I115&gt;=Settings!$E$13,Settings!$G$13,IF(I115&gt;=Settings!$E$14,Settings!$G$14,Settings!$G$15)))))</f>
        <v/>
      </c>
    </row>
    <row r="116" customFormat="false" ht="19.5" hidden="false" customHeight="true" outlineLevel="0" collapsed="false">
      <c r="A116" s="52"/>
      <c r="B116" s="89" t="str">
        <f aca="false">IF(A116="","",IFERROR(INDEX(Students!$B$5:$B$304,MATCH(A116,Students!$A$5:$A$304,0)),"ID not found"))</f>
        <v/>
      </c>
      <c r="C116" s="85" t="str">
        <f aca="false">IF(A116="","",IFERROR(INDEX(Students!$E$5:$E$304,MATCH(A116,Students!$A$5:$A$304,0)),""))</f>
        <v/>
      </c>
      <c r="D116" s="85" t="str">
        <f aca="false">IF(A116="","",IFERROR(INDEX(Students!$F$5:$F$304,MATCH(A116,Students!$A$5:$A$304,0)),""))</f>
        <v/>
      </c>
      <c r="E116" s="86"/>
      <c r="F116" s="52"/>
      <c r="G116" s="52"/>
      <c r="H116" s="52"/>
      <c r="I116" s="93" t="str">
        <f aca="false">IF(COUNT(G116:H116)=0,"",IF(COUNT(G116:H116)=1,SUM(G116:H116),ROUND(G116*Settings!$B$8+H116*(1-Settings!$B$8),1)))</f>
        <v/>
      </c>
      <c r="J116" s="85" t="str">
        <f aca="false">IF(I116="","",IF(I116&gt;=Settings!$E$11,Settings!$F$11,IF(I116&gt;=Settings!$E$12,Settings!$F$12,IF(I116&gt;=Settings!$E$13,Settings!$F$13,IF(I116&gt;=Settings!$E$14,Settings!$F$14,Settings!$F$15)))))</f>
        <v/>
      </c>
      <c r="K116" s="85" t="str">
        <f aca="false">IF(I116="","",IF(I116&gt;=Settings!$E$11,Settings!$G$11,IF(I116&gt;=Settings!$E$12,Settings!$G$12,IF(I116&gt;=Settings!$E$13,Settings!$G$13,IF(I116&gt;=Settings!$E$14,Settings!$G$14,Settings!$G$15)))))</f>
        <v/>
      </c>
    </row>
    <row r="117" customFormat="false" ht="19.5" hidden="false" customHeight="true" outlineLevel="0" collapsed="false">
      <c r="A117" s="52"/>
      <c r="B117" s="89" t="str">
        <f aca="false">IF(A117="","",IFERROR(INDEX(Students!$B$5:$B$304,MATCH(A117,Students!$A$5:$A$304,0)),"ID not found"))</f>
        <v/>
      </c>
      <c r="C117" s="85" t="str">
        <f aca="false">IF(A117="","",IFERROR(INDEX(Students!$E$5:$E$304,MATCH(A117,Students!$A$5:$A$304,0)),""))</f>
        <v/>
      </c>
      <c r="D117" s="85" t="str">
        <f aca="false">IF(A117="","",IFERROR(INDEX(Students!$F$5:$F$304,MATCH(A117,Students!$A$5:$A$304,0)),""))</f>
        <v/>
      </c>
      <c r="E117" s="86"/>
      <c r="F117" s="52"/>
      <c r="G117" s="52"/>
      <c r="H117" s="52"/>
      <c r="I117" s="93" t="str">
        <f aca="false">IF(COUNT(G117:H117)=0,"",IF(COUNT(G117:H117)=1,SUM(G117:H117),ROUND(G117*Settings!$B$8+H117*(1-Settings!$B$8),1)))</f>
        <v/>
      </c>
      <c r="J117" s="85" t="str">
        <f aca="false">IF(I117="","",IF(I117&gt;=Settings!$E$11,Settings!$F$11,IF(I117&gt;=Settings!$E$12,Settings!$F$12,IF(I117&gt;=Settings!$E$13,Settings!$F$13,IF(I117&gt;=Settings!$E$14,Settings!$F$14,Settings!$F$15)))))</f>
        <v/>
      </c>
      <c r="K117" s="85" t="str">
        <f aca="false">IF(I117="","",IF(I117&gt;=Settings!$E$11,Settings!$G$11,IF(I117&gt;=Settings!$E$12,Settings!$G$12,IF(I117&gt;=Settings!$E$13,Settings!$G$13,IF(I117&gt;=Settings!$E$14,Settings!$G$14,Settings!$G$15)))))</f>
        <v/>
      </c>
    </row>
    <row r="118" customFormat="false" ht="19.5" hidden="false" customHeight="true" outlineLevel="0" collapsed="false">
      <c r="A118" s="52"/>
      <c r="B118" s="89" t="str">
        <f aca="false">IF(A118="","",IFERROR(INDEX(Students!$B$5:$B$304,MATCH(A118,Students!$A$5:$A$304,0)),"ID not found"))</f>
        <v/>
      </c>
      <c r="C118" s="85" t="str">
        <f aca="false">IF(A118="","",IFERROR(INDEX(Students!$E$5:$E$304,MATCH(A118,Students!$A$5:$A$304,0)),""))</f>
        <v/>
      </c>
      <c r="D118" s="85" t="str">
        <f aca="false">IF(A118="","",IFERROR(INDEX(Students!$F$5:$F$304,MATCH(A118,Students!$A$5:$A$304,0)),""))</f>
        <v/>
      </c>
      <c r="E118" s="86"/>
      <c r="F118" s="52"/>
      <c r="G118" s="52"/>
      <c r="H118" s="52"/>
      <c r="I118" s="93" t="str">
        <f aca="false">IF(COUNT(G118:H118)=0,"",IF(COUNT(G118:H118)=1,SUM(G118:H118),ROUND(G118*Settings!$B$8+H118*(1-Settings!$B$8),1)))</f>
        <v/>
      </c>
      <c r="J118" s="85" t="str">
        <f aca="false">IF(I118="","",IF(I118&gt;=Settings!$E$11,Settings!$F$11,IF(I118&gt;=Settings!$E$12,Settings!$F$12,IF(I118&gt;=Settings!$E$13,Settings!$F$13,IF(I118&gt;=Settings!$E$14,Settings!$F$14,Settings!$F$15)))))</f>
        <v/>
      </c>
      <c r="K118" s="85" t="str">
        <f aca="false">IF(I118="","",IF(I118&gt;=Settings!$E$11,Settings!$G$11,IF(I118&gt;=Settings!$E$12,Settings!$G$12,IF(I118&gt;=Settings!$E$13,Settings!$G$13,IF(I118&gt;=Settings!$E$14,Settings!$G$14,Settings!$G$15)))))</f>
        <v/>
      </c>
    </row>
    <row r="119" customFormat="false" ht="19.5" hidden="false" customHeight="true" outlineLevel="0" collapsed="false">
      <c r="A119" s="52"/>
      <c r="B119" s="89" t="str">
        <f aca="false">IF(A119="","",IFERROR(INDEX(Students!$B$5:$B$304,MATCH(A119,Students!$A$5:$A$304,0)),"ID not found"))</f>
        <v/>
      </c>
      <c r="C119" s="85" t="str">
        <f aca="false">IF(A119="","",IFERROR(INDEX(Students!$E$5:$E$304,MATCH(A119,Students!$A$5:$A$304,0)),""))</f>
        <v/>
      </c>
      <c r="D119" s="85" t="str">
        <f aca="false">IF(A119="","",IFERROR(INDEX(Students!$F$5:$F$304,MATCH(A119,Students!$A$5:$A$304,0)),""))</f>
        <v/>
      </c>
      <c r="E119" s="86"/>
      <c r="F119" s="52"/>
      <c r="G119" s="52"/>
      <c r="H119" s="52"/>
      <c r="I119" s="93" t="str">
        <f aca="false">IF(COUNT(G119:H119)=0,"",IF(COUNT(G119:H119)=1,SUM(G119:H119),ROUND(G119*Settings!$B$8+H119*(1-Settings!$B$8),1)))</f>
        <v/>
      </c>
      <c r="J119" s="85" t="str">
        <f aca="false">IF(I119="","",IF(I119&gt;=Settings!$E$11,Settings!$F$11,IF(I119&gt;=Settings!$E$12,Settings!$F$12,IF(I119&gt;=Settings!$E$13,Settings!$F$13,IF(I119&gt;=Settings!$E$14,Settings!$F$14,Settings!$F$15)))))</f>
        <v/>
      </c>
      <c r="K119" s="85" t="str">
        <f aca="false">IF(I119="","",IF(I119&gt;=Settings!$E$11,Settings!$G$11,IF(I119&gt;=Settings!$E$12,Settings!$G$12,IF(I119&gt;=Settings!$E$13,Settings!$G$13,IF(I119&gt;=Settings!$E$14,Settings!$G$14,Settings!$G$15)))))</f>
        <v/>
      </c>
    </row>
    <row r="120" customFormat="false" ht="19.5" hidden="false" customHeight="true" outlineLevel="0" collapsed="false">
      <c r="A120" s="52"/>
      <c r="B120" s="89" t="str">
        <f aca="false">IF(A120="","",IFERROR(INDEX(Students!$B$5:$B$304,MATCH(A120,Students!$A$5:$A$304,0)),"ID not found"))</f>
        <v/>
      </c>
      <c r="C120" s="85" t="str">
        <f aca="false">IF(A120="","",IFERROR(INDEX(Students!$E$5:$E$304,MATCH(A120,Students!$A$5:$A$304,0)),""))</f>
        <v/>
      </c>
      <c r="D120" s="85" t="str">
        <f aca="false">IF(A120="","",IFERROR(INDEX(Students!$F$5:$F$304,MATCH(A120,Students!$A$5:$A$304,0)),""))</f>
        <v/>
      </c>
      <c r="E120" s="86"/>
      <c r="F120" s="52"/>
      <c r="G120" s="52"/>
      <c r="H120" s="52"/>
      <c r="I120" s="93" t="str">
        <f aca="false">IF(COUNT(G120:H120)=0,"",IF(COUNT(G120:H120)=1,SUM(G120:H120),ROUND(G120*Settings!$B$8+H120*(1-Settings!$B$8),1)))</f>
        <v/>
      </c>
      <c r="J120" s="85" t="str">
        <f aca="false">IF(I120="","",IF(I120&gt;=Settings!$E$11,Settings!$F$11,IF(I120&gt;=Settings!$E$12,Settings!$F$12,IF(I120&gt;=Settings!$E$13,Settings!$F$13,IF(I120&gt;=Settings!$E$14,Settings!$F$14,Settings!$F$15)))))</f>
        <v/>
      </c>
      <c r="K120" s="85" t="str">
        <f aca="false">IF(I120="","",IF(I120&gt;=Settings!$E$11,Settings!$G$11,IF(I120&gt;=Settings!$E$12,Settings!$G$12,IF(I120&gt;=Settings!$E$13,Settings!$G$13,IF(I120&gt;=Settings!$E$14,Settings!$G$14,Settings!$G$15)))))</f>
        <v/>
      </c>
    </row>
    <row r="121" customFormat="false" ht="19.5" hidden="false" customHeight="true" outlineLevel="0" collapsed="false">
      <c r="A121" s="52"/>
      <c r="B121" s="89" t="str">
        <f aca="false">IF(A121="","",IFERROR(INDEX(Students!$B$5:$B$304,MATCH(A121,Students!$A$5:$A$304,0)),"ID not found"))</f>
        <v/>
      </c>
      <c r="C121" s="85" t="str">
        <f aca="false">IF(A121="","",IFERROR(INDEX(Students!$E$5:$E$304,MATCH(A121,Students!$A$5:$A$304,0)),""))</f>
        <v/>
      </c>
      <c r="D121" s="85" t="str">
        <f aca="false">IF(A121="","",IFERROR(INDEX(Students!$F$5:$F$304,MATCH(A121,Students!$A$5:$A$304,0)),""))</f>
        <v/>
      </c>
      <c r="E121" s="86"/>
      <c r="F121" s="52"/>
      <c r="G121" s="52"/>
      <c r="H121" s="52"/>
      <c r="I121" s="93" t="str">
        <f aca="false">IF(COUNT(G121:H121)=0,"",IF(COUNT(G121:H121)=1,SUM(G121:H121),ROUND(G121*Settings!$B$8+H121*(1-Settings!$B$8),1)))</f>
        <v/>
      </c>
      <c r="J121" s="85" t="str">
        <f aca="false">IF(I121="","",IF(I121&gt;=Settings!$E$11,Settings!$F$11,IF(I121&gt;=Settings!$E$12,Settings!$F$12,IF(I121&gt;=Settings!$E$13,Settings!$F$13,IF(I121&gt;=Settings!$E$14,Settings!$F$14,Settings!$F$15)))))</f>
        <v/>
      </c>
      <c r="K121" s="85" t="str">
        <f aca="false">IF(I121="","",IF(I121&gt;=Settings!$E$11,Settings!$G$11,IF(I121&gt;=Settings!$E$12,Settings!$G$12,IF(I121&gt;=Settings!$E$13,Settings!$G$13,IF(I121&gt;=Settings!$E$14,Settings!$G$14,Settings!$G$15)))))</f>
        <v/>
      </c>
    </row>
    <row r="122" customFormat="false" ht="19.5" hidden="false" customHeight="true" outlineLevel="0" collapsed="false">
      <c r="A122" s="52"/>
      <c r="B122" s="89" t="str">
        <f aca="false">IF(A122="","",IFERROR(INDEX(Students!$B$5:$B$304,MATCH(A122,Students!$A$5:$A$304,0)),"ID not found"))</f>
        <v/>
      </c>
      <c r="C122" s="85" t="str">
        <f aca="false">IF(A122="","",IFERROR(INDEX(Students!$E$5:$E$304,MATCH(A122,Students!$A$5:$A$304,0)),""))</f>
        <v/>
      </c>
      <c r="D122" s="85" t="str">
        <f aca="false">IF(A122="","",IFERROR(INDEX(Students!$F$5:$F$304,MATCH(A122,Students!$A$5:$A$304,0)),""))</f>
        <v/>
      </c>
      <c r="E122" s="86"/>
      <c r="F122" s="52"/>
      <c r="G122" s="52"/>
      <c r="H122" s="52"/>
      <c r="I122" s="93" t="str">
        <f aca="false">IF(COUNT(G122:H122)=0,"",IF(COUNT(G122:H122)=1,SUM(G122:H122),ROUND(G122*Settings!$B$8+H122*(1-Settings!$B$8),1)))</f>
        <v/>
      </c>
      <c r="J122" s="85" t="str">
        <f aca="false">IF(I122="","",IF(I122&gt;=Settings!$E$11,Settings!$F$11,IF(I122&gt;=Settings!$E$12,Settings!$F$12,IF(I122&gt;=Settings!$E$13,Settings!$F$13,IF(I122&gt;=Settings!$E$14,Settings!$F$14,Settings!$F$15)))))</f>
        <v/>
      </c>
      <c r="K122" s="85" t="str">
        <f aca="false">IF(I122="","",IF(I122&gt;=Settings!$E$11,Settings!$G$11,IF(I122&gt;=Settings!$E$12,Settings!$G$12,IF(I122&gt;=Settings!$E$13,Settings!$G$13,IF(I122&gt;=Settings!$E$14,Settings!$G$14,Settings!$G$15)))))</f>
        <v/>
      </c>
    </row>
    <row r="123" customFormat="false" ht="19.5" hidden="false" customHeight="true" outlineLevel="0" collapsed="false">
      <c r="A123" s="52"/>
      <c r="B123" s="89" t="str">
        <f aca="false">IF(A123="","",IFERROR(INDEX(Students!$B$5:$B$304,MATCH(A123,Students!$A$5:$A$304,0)),"ID not found"))</f>
        <v/>
      </c>
      <c r="C123" s="85" t="str">
        <f aca="false">IF(A123="","",IFERROR(INDEX(Students!$E$5:$E$304,MATCH(A123,Students!$A$5:$A$304,0)),""))</f>
        <v/>
      </c>
      <c r="D123" s="85" t="str">
        <f aca="false">IF(A123="","",IFERROR(INDEX(Students!$F$5:$F$304,MATCH(A123,Students!$A$5:$A$304,0)),""))</f>
        <v/>
      </c>
      <c r="E123" s="86"/>
      <c r="F123" s="52"/>
      <c r="G123" s="52"/>
      <c r="H123" s="52"/>
      <c r="I123" s="93" t="str">
        <f aca="false">IF(COUNT(G123:H123)=0,"",IF(COUNT(G123:H123)=1,SUM(G123:H123),ROUND(G123*Settings!$B$8+H123*(1-Settings!$B$8),1)))</f>
        <v/>
      </c>
      <c r="J123" s="85" t="str">
        <f aca="false">IF(I123="","",IF(I123&gt;=Settings!$E$11,Settings!$F$11,IF(I123&gt;=Settings!$E$12,Settings!$F$12,IF(I123&gt;=Settings!$E$13,Settings!$F$13,IF(I123&gt;=Settings!$E$14,Settings!$F$14,Settings!$F$15)))))</f>
        <v/>
      </c>
      <c r="K123" s="85" t="str">
        <f aca="false">IF(I123="","",IF(I123&gt;=Settings!$E$11,Settings!$G$11,IF(I123&gt;=Settings!$E$12,Settings!$G$12,IF(I123&gt;=Settings!$E$13,Settings!$G$13,IF(I123&gt;=Settings!$E$14,Settings!$G$14,Settings!$G$15)))))</f>
        <v/>
      </c>
    </row>
    <row r="124" customFormat="false" ht="19.5" hidden="false" customHeight="true" outlineLevel="0" collapsed="false">
      <c r="A124" s="52"/>
      <c r="B124" s="89" t="str">
        <f aca="false">IF(A124="","",IFERROR(INDEX(Students!$B$5:$B$304,MATCH(A124,Students!$A$5:$A$304,0)),"ID not found"))</f>
        <v/>
      </c>
      <c r="C124" s="85" t="str">
        <f aca="false">IF(A124="","",IFERROR(INDEX(Students!$E$5:$E$304,MATCH(A124,Students!$A$5:$A$304,0)),""))</f>
        <v/>
      </c>
      <c r="D124" s="85" t="str">
        <f aca="false">IF(A124="","",IFERROR(INDEX(Students!$F$5:$F$304,MATCH(A124,Students!$A$5:$A$304,0)),""))</f>
        <v/>
      </c>
      <c r="E124" s="86"/>
      <c r="F124" s="52"/>
      <c r="G124" s="52"/>
      <c r="H124" s="52"/>
      <c r="I124" s="93" t="str">
        <f aca="false">IF(COUNT(G124:H124)=0,"",IF(COUNT(G124:H124)=1,SUM(G124:H124),ROUND(G124*Settings!$B$8+H124*(1-Settings!$B$8),1)))</f>
        <v/>
      </c>
      <c r="J124" s="85" t="str">
        <f aca="false">IF(I124="","",IF(I124&gt;=Settings!$E$11,Settings!$F$11,IF(I124&gt;=Settings!$E$12,Settings!$F$12,IF(I124&gt;=Settings!$E$13,Settings!$F$13,IF(I124&gt;=Settings!$E$14,Settings!$F$14,Settings!$F$15)))))</f>
        <v/>
      </c>
      <c r="K124" s="85" t="str">
        <f aca="false">IF(I124="","",IF(I124&gt;=Settings!$E$11,Settings!$G$11,IF(I124&gt;=Settings!$E$12,Settings!$G$12,IF(I124&gt;=Settings!$E$13,Settings!$G$13,IF(I124&gt;=Settings!$E$14,Settings!$G$14,Settings!$G$15)))))</f>
        <v/>
      </c>
    </row>
    <row r="125" customFormat="false" ht="19.5" hidden="false" customHeight="true" outlineLevel="0" collapsed="false">
      <c r="A125" s="52"/>
      <c r="B125" s="89" t="str">
        <f aca="false">IF(A125="","",IFERROR(INDEX(Students!$B$5:$B$304,MATCH(A125,Students!$A$5:$A$304,0)),"ID not found"))</f>
        <v/>
      </c>
      <c r="C125" s="85" t="str">
        <f aca="false">IF(A125="","",IFERROR(INDEX(Students!$E$5:$E$304,MATCH(A125,Students!$A$5:$A$304,0)),""))</f>
        <v/>
      </c>
      <c r="D125" s="85" t="str">
        <f aca="false">IF(A125="","",IFERROR(INDEX(Students!$F$5:$F$304,MATCH(A125,Students!$A$5:$A$304,0)),""))</f>
        <v/>
      </c>
      <c r="E125" s="86"/>
      <c r="F125" s="52"/>
      <c r="G125" s="52"/>
      <c r="H125" s="52"/>
      <c r="I125" s="93" t="str">
        <f aca="false">IF(COUNT(G125:H125)=0,"",IF(COUNT(G125:H125)=1,SUM(G125:H125),ROUND(G125*Settings!$B$8+H125*(1-Settings!$B$8),1)))</f>
        <v/>
      </c>
      <c r="J125" s="85" t="str">
        <f aca="false">IF(I125="","",IF(I125&gt;=Settings!$E$11,Settings!$F$11,IF(I125&gt;=Settings!$E$12,Settings!$F$12,IF(I125&gt;=Settings!$E$13,Settings!$F$13,IF(I125&gt;=Settings!$E$14,Settings!$F$14,Settings!$F$15)))))</f>
        <v/>
      </c>
      <c r="K125" s="85" t="str">
        <f aca="false">IF(I125="","",IF(I125&gt;=Settings!$E$11,Settings!$G$11,IF(I125&gt;=Settings!$E$12,Settings!$G$12,IF(I125&gt;=Settings!$E$13,Settings!$G$13,IF(I125&gt;=Settings!$E$14,Settings!$G$14,Settings!$G$15)))))</f>
        <v/>
      </c>
    </row>
    <row r="126" customFormat="false" ht="19.5" hidden="false" customHeight="true" outlineLevel="0" collapsed="false">
      <c r="A126" s="52"/>
      <c r="B126" s="89" t="str">
        <f aca="false">IF(A126="","",IFERROR(INDEX(Students!$B$5:$B$304,MATCH(A126,Students!$A$5:$A$304,0)),"ID not found"))</f>
        <v/>
      </c>
      <c r="C126" s="85" t="str">
        <f aca="false">IF(A126="","",IFERROR(INDEX(Students!$E$5:$E$304,MATCH(A126,Students!$A$5:$A$304,0)),""))</f>
        <v/>
      </c>
      <c r="D126" s="85" t="str">
        <f aca="false">IF(A126="","",IFERROR(INDEX(Students!$F$5:$F$304,MATCH(A126,Students!$A$5:$A$304,0)),""))</f>
        <v/>
      </c>
      <c r="E126" s="86"/>
      <c r="F126" s="52"/>
      <c r="G126" s="52"/>
      <c r="H126" s="52"/>
      <c r="I126" s="93" t="str">
        <f aca="false">IF(COUNT(G126:H126)=0,"",IF(COUNT(G126:H126)=1,SUM(G126:H126),ROUND(G126*Settings!$B$8+H126*(1-Settings!$B$8),1)))</f>
        <v/>
      </c>
      <c r="J126" s="85" t="str">
        <f aca="false">IF(I126="","",IF(I126&gt;=Settings!$E$11,Settings!$F$11,IF(I126&gt;=Settings!$E$12,Settings!$F$12,IF(I126&gt;=Settings!$E$13,Settings!$F$13,IF(I126&gt;=Settings!$E$14,Settings!$F$14,Settings!$F$15)))))</f>
        <v/>
      </c>
      <c r="K126" s="85" t="str">
        <f aca="false">IF(I126="","",IF(I126&gt;=Settings!$E$11,Settings!$G$11,IF(I126&gt;=Settings!$E$12,Settings!$G$12,IF(I126&gt;=Settings!$E$13,Settings!$G$13,IF(I126&gt;=Settings!$E$14,Settings!$G$14,Settings!$G$15)))))</f>
        <v/>
      </c>
    </row>
    <row r="127" customFormat="false" ht="19.5" hidden="false" customHeight="true" outlineLevel="0" collapsed="false">
      <c r="A127" s="52"/>
      <c r="B127" s="89" t="str">
        <f aca="false">IF(A127="","",IFERROR(INDEX(Students!$B$5:$B$304,MATCH(A127,Students!$A$5:$A$304,0)),"ID not found"))</f>
        <v/>
      </c>
      <c r="C127" s="85" t="str">
        <f aca="false">IF(A127="","",IFERROR(INDEX(Students!$E$5:$E$304,MATCH(A127,Students!$A$5:$A$304,0)),""))</f>
        <v/>
      </c>
      <c r="D127" s="85" t="str">
        <f aca="false">IF(A127="","",IFERROR(INDEX(Students!$F$5:$F$304,MATCH(A127,Students!$A$5:$A$304,0)),""))</f>
        <v/>
      </c>
      <c r="E127" s="86"/>
      <c r="F127" s="52"/>
      <c r="G127" s="52"/>
      <c r="H127" s="52"/>
      <c r="I127" s="93" t="str">
        <f aca="false">IF(COUNT(G127:H127)=0,"",IF(COUNT(G127:H127)=1,SUM(G127:H127),ROUND(G127*Settings!$B$8+H127*(1-Settings!$B$8),1)))</f>
        <v/>
      </c>
      <c r="J127" s="85" t="str">
        <f aca="false">IF(I127="","",IF(I127&gt;=Settings!$E$11,Settings!$F$11,IF(I127&gt;=Settings!$E$12,Settings!$F$12,IF(I127&gt;=Settings!$E$13,Settings!$F$13,IF(I127&gt;=Settings!$E$14,Settings!$F$14,Settings!$F$15)))))</f>
        <v/>
      </c>
      <c r="K127" s="85" t="str">
        <f aca="false">IF(I127="","",IF(I127&gt;=Settings!$E$11,Settings!$G$11,IF(I127&gt;=Settings!$E$12,Settings!$G$12,IF(I127&gt;=Settings!$E$13,Settings!$G$13,IF(I127&gt;=Settings!$E$14,Settings!$G$14,Settings!$G$15)))))</f>
        <v/>
      </c>
    </row>
    <row r="128" customFormat="false" ht="19.5" hidden="false" customHeight="true" outlineLevel="0" collapsed="false">
      <c r="A128" s="52"/>
      <c r="B128" s="89" t="str">
        <f aca="false">IF(A128="","",IFERROR(INDEX(Students!$B$5:$B$304,MATCH(A128,Students!$A$5:$A$304,0)),"ID not found"))</f>
        <v/>
      </c>
      <c r="C128" s="85" t="str">
        <f aca="false">IF(A128="","",IFERROR(INDEX(Students!$E$5:$E$304,MATCH(A128,Students!$A$5:$A$304,0)),""))</f>
        <v/>
      </c>
      <c r="D128" s="85" t="str">
        <f aca="false">IF(A128="","",IFERROR(INDEX(Students!$F$5:$F$304,MATCH(A128,Students!$A$5:$A$304,0)),""))</f>
        <v/>
      </c>
      <c r="E128" s="86"/>
      <c r="F128" s="52"/>
      <c r="G128" s="52"/>
      <c r="H128" s="52"/>
      <c r="I128" s="93" t="str">
        <f aca="false">IF(COUNT(G128:H128)=0,"",IF(COUNT(G128:H128)=1,SUM(G128:H128),ROUND(G128*Settings!$B$8+H128*(1-Settings!$B$8),1)))</f>
        <v/>
      </c>
      <c r="J128" s="85" t="str">
        <f aca="false">IF(I128="","",IF(I128&gt;=Settings!$E$11,Settings!$F$11,IF(I128&gt;=Settings!$E$12,Settings!$F$12,IF(I128&gt;=Settings!$E$13,Settings!$F$13,IF(I128&gt;=Settings!$E$14,Settings!$F$14,Settings!$F$15)))))</f>
        <v/>
      </c>
      <c r="K128" s="85" t="str">
        <f aca="false">IF(I128="","",IF(I128&gt;=Settings!$E$11,Settings!$G$11,IF(I128&gt;=Settings!$E$12,Settings!$G$12,IF(I128&gt;=Settings!$E$13,Settings!$G$13,IF(I128&gt;=Settings!$E$14,Settings!$G$14,Settings!$G$15)))))</f>
        <v/>
      </c>
    </row>
    <row r="129" customFormat="false" ht="19.5" hidden="false" customHeight="true" outlineLevel="0" collapsed="false">
      <c r="A129" s="52"/>
      <c r="B129" s="89" t="str">
        <f aca="false">IF(A129="","",IFERROR(INDEX(Students!$B$5:$B$304,MATCH(A129,Students!$A$5:$A$304,0)),"ID not found"))</f>
        <v/>
      </c>
      <c r="C129" s="85" t="str">
        <f aca="false">IF(A129="","",IFERROR(INDEX(Students!$E$5:$E$304,MATCH(A129,Students!$A$5:$A$304,0)),""))</f>
        <v/>
      </c>
      <c r="D129" s="85" t="str">
        <f aca="false">IF(A129="","",IFERROR(INDEX(Students!$F$5:$F$304,MATCH(A129,Students!$A$5:$A$304,0)),""))</f>
        <v/>
      </c>
      <c r="E129" s="86"/>
      <c r="F129" s="52"/>
      <c r="G129" s="52"/>
      <c r="H129" s="52"/>
      <c r="I129" s="93" t="str">
        <f aca="false">IF(COUNT(G129:H129)=0,"",IF(COUNT(G129:H129)=1,SUM(G129:H129),ROUND(G129*Settings!$B$8+H129*(1-Settings!$B$8),1)))</f>
        <v/>
      </c>
      <c r="J129" s="85" t="str">
        <f aca="false">IF(I129="","",IF(I129&gt;=Settings!$E$11,Settings!$F$11,IF(I129&gt;=Settings!$E$12,Settings!$F$12,IF(I129&gt;=Settings!$E$13,Settings!$F$13,IF(I129&gt;=Settings!$E$14,Settings!$F$14,Settings!$F$15)))))</f>
        <v/>
      </c>
      <c r="K129" s="85" t="str">
        <f aca="false">IF(I129="","",IF(I129&gt;=Settings!$E$11,Settings!$G$11,IF(I129&gt;=Settings!$E$12,Settings!$G$12,IF(I129&gt;=Settings!$E$13,Settings!$G$13,IF(I129&gt;=Settings!$E$14,Settings!$G$14,Settings!$G$15)))))</f>
        <v/>
      </c>
    </row>
    <row r="130" customFormat="false" ht="19.5" hidden="false" customHeight="true" outlineLevel="0" collapsed="false">
      <c r="A130" s="52"/>
      <c r="B130" s="89" t="str">
        <f aca="false">IF(A130="","",IFERROR(INDEX(Students!$B$5:$B$304,MATCH(A130,Students!$A$5:$A$304,0)),"ID not found"))</f>
        <v/>
      </c>
      <c r="C130" s="85" t="str">
        <f aca="false">IF(A130="","",IFERROR(INDEX(Students!$E$5:$E$304,MATCH(A130,Students!$A$5:$A$304,0)),""))</f>
        <v/>
      </c>
      <c r="D130" s="85" t="str">
        <f aca="false">IF(A130="","",IFERROR(INDEX(Students!$F$5:$F$304,MATCH(A130,Students!$A$5:$A$304,0)),""))</f>
        <v/>
      </c>
      <c r="E130" s="86"/>
      <c r="F130" s="52"/>
      <c r="G130" s="52"/>
      <c r="H130" s="52"/>
      <c r="I130" s="93" t="str">
        <f aca="false">IF(COUNT(G130:H130)=0,"",IF(COUNT(G130:H130)=1,SUM(G130:H130),ROUND(G130*Settings!$B$8+H130*(1-Settings!$B$8),1)))</f>
        <v/>
      </c>
      <c r="J130" s="85" t="str">
        <f aca="false">IF(I130="","",IF(I130&gt;=Settings!$E$11,Settings!$F$11,IF(I130&gt;=Settings!$E$12,Settings!$F$12,IF(I130&gt;=Settings!$E$13,Settings!$F$13,IF(I130&gt;=Settings!$E$14,Settings!$F$14,Settings!$F$15)))))</f>
        <v/>
      </c>
      <c r="K130" s="85" t="str">
        <f aca="false">IF(I130="","",IF(I130&gt;=Settings!$E$11,Settings!$G$11,IF(I130&gt;=Settings!$E$12,Settings!$G$12,IF(I130&gt;=Settings!$E$13,Settings!$G$13,IF(I130&gt;=Settings!$E$14,Settings!$G$14,Settings!$G$15)))))</f>
        <v/>
      </c>
    </row>
    <row r="131" customFormat="false" ht="19.5" hidden="false" customHeight="true" outlineLevel="0" collapsed="false">
      <c r="A131" s="52"/>
      <c r="B131" s="89" t="str">
        <f aca="false">IF(A131="","",IFERROR(INDEX(Students!$B$5:$B$304,MATCH(A131,Students!$A$5:$A$304,0)),"ID not found"))</f>
        <v/>
      </c>
      <c r="C131" s="85" t="str">
        <f aca="false">IF(A131="","",IFERROR(INDEX(Students!$E$5:$E$304,MATCH(A131,Students!$A$5:$A$304,0)),""))</f>
        <v/>
      </c>
      <c r="D131" s="85" t="str">
        <f aca="false">IF(A131="","",IFERROR(INDEX(Students!$F$5:$F$304,MATCH(A131,Students!$A$5:$A$304,0)),""))</f>
        <v/>
      </c>
      <c r="E131" s="86"/>
      <c r="F131" s="52"/>
      <c r="G131" s="52"/>
      <c r="H131" s="52"/>
      <c r="I131" s="93" t="str">
        <f aca="false">IF(COUNT(G131:H131)=0,"",IF(COUNT(G131:H131)=1,SUM(G131:H131),ROUND(G131*Settings!$B$8+H131*(1-Settings!$B$8),1)))</f>
        <v/>
      </c>
      <c r="J131" s="85" t="str">
        <f aca="false">IF(I131="","",IF(I131&gt;=Settings!$E$11,Settings!$F$11,IF(I131&gt;=Settings!$E$12,Settings!$F$12,IF(I131&gt;=Settings!$E$13,Settings!$F$13,IF(I131&gt;=Settings!$E$14,Settings!$F$14,Settings!$F$15)))))</f>
        <v/>
      </c>
      <c r="K131" s="85" t="str">
        <f aca="false">IF(I131="","",IF(I131&gt;=Settings!$E$11,Settings!$G$11,IF(I131&gt;=Settings!$E$12,Settings!$G$12,IF(I131&gt;=Settings!$E$13,Settings!$G$13,IF(I131&gt;=Settings!$E$14,Settings!$G$14,Settings!$G$15)))))</f>
        <v/>
      </c>
    </row>
    <row r="132" customFormat="false" ht="19.5" hidden="false" customHeight="true" outlineLevel="0" collapsed="false">
      <c r="A132" s="52"/>
      <c r="B132" s="89" t="str">
        <f aca="false">IF(A132="","",IFERROR(INDEX(Students!$B$5:$B$304,MATCH(A132,Students!$A$5:$A$304,0)),"ID not found"))</f>
        <v/>
      </c>
      <c r="C132" s="85" t="str">
        <f aca="false">IF(A132="","",IFERROR(INDEX(Students!$E$5:$E$304,MATCH(A132,Students!$A$5:$A$304,0)),""))</f>
        <v/>
      </c>
      <c r="D132" s="85" t="str">
        <f aca="false">IF(A132="","",IFERROR(INDEX(Students!$F$5:$F$304,MATCH(A132,Students!$A$5:$A$304,0)),""))</f>
        <v/>
      </c>
      <c r="E132" s="86"/>
      <c r="F132" s="52"/>
      <c r="G132" s="52"/>
      <c r="H132" s="52"/>
      <c r="I132" s="93" t="str">
        <f aca="false">IF(COUNT(G132:H132)=0,"",IF(COUNT(G132:H132)=1,SUM(G132:H132),ROUND(G132*Settings!$B$8+H132*(1-Settings!$B$8),1)))</f>
        <v/>
      </c>
      <c r="J132" s="85" t="str">
        <f aca="false">IF(I132="","",IF(I132&gt;=Settings!$E$11,Settings!$F$11,IF(I132&gt;=Settings!$E$12,Settings!$F$12,IF(I132&gt;=Settings!$E$13,Settings!$F$13,IF(I132&gt;=Settings!$E$14,Settings!$F$14,Settings!$F$15)))))</f>
        <v/>
      </c>
      <c r="K132" s="85" t="str">
        <f aca="false">IF(I132="","",IF(I132&gt;=Settings!$E$11,Settings!$G$11,IF(I132&gt;=Settings!$E$12,Settings!$G$12,IF(I132&gt;=Settings!$E$13,Settings!$G$13,IF(I132&gt;=Settings!$E$14,Settings!$G$14,Settings!$G$15)))))</f>
        <v/>
      </c>
    </row>
    <row r="133" customFormat="false" ht="19.5" hidden="false" customHeight="true" outlineLevel="0" collapsed="false">
      <c r="A133" s="52"/>
      <c r="B133" s="89" t="str">
        <f aca="false">IF(A133="","",IFERROR(INDEX(Students!$B$5:$B$304,MATCH(A133,Students!$A$5:$A$304,0)),"ID not found"))</f>
        <v/>
      </c>
      <c r="C133" s="85" t="str">
        <f aca="false">IF(A133="","",IFERROR(INDEX(Students!$E$5:$E$304,MATCH(A133,Students!$A$5:$A$304,0)),""))</f>
        <v/>
      </c>
      <c r="D133" s="85" t="str">
        <f aca="false">IF(A133="","",IFERROR(INDEX(Students!$F$5:$F$304,MATCH(A133,Students!$A$5:$A$304,0)),""))</f>
        <v/>
      </c>
      <c r="E133" s="86"/>
      <c r="F133" s="52"/>
      <c r="G133" s="52"/>
      <c r="H133" s="52"/>
      <c r="I133" s="93" t="str">
        <f aca="false">IF(COUNT(G133:H133)=0,"",IF(COUNT(G133:H133)=1,SUM(G133:H133),ROUND(G133*Settings!$B$8+H133*(1-Settings!$B$8),1)))</f>
        <v/>
      </c>
      <c r="J133" s="85" t="str">
        <f aca="false">IF(I133="","",IF(I133&gt;=Settings!$E$11,Settings!$F$11,IF(I133&gt;=Settings!$E$12,Settings!$F$12,IF(I133&gt;=Settings!$E$13,Settings!$F$13,IF(I133&gt;=Settings!$E$14,Settings!$F$14,Settings!$F$15)))))</f>
        <v/>
      </c>
      <c r="K133" s="85" t="str">
        <f aca="false">IF(I133="","",IF(I133&gt;=Settings!$E$11,Settings!$G$11,IF(I133&gt;=Settings!$E$12,Settings!$G$12,IF(I133&gt;=Settings!$E$13,Settings!$G$13,IF(I133&gt;=Settings!$E$14,Settings!$G$14,Settings!$G$15)))))</f>
        <v/>
      </c>
    </row>
    <row r="134" customFormat="false" ht="19.5" hidden="false" customHeight="true" outlineLevel="0" collapsed="false">
      <c r="A134" s="52"/>
      <c r="B134" s="89" t="str">
        <f aca="false">IF(A134="","",IFERROR(INDEX(Students!$B$5:$B$304,MATCH(A134,Students!$A$5:$A$304,0)),"ID not found"))</f>
        <v/>
      </c>
      <c r="C134" s="85" t="str">
        <f aca="false">IF(A134="","",IFERROR(INDEX(Students!$E$5:$E$304,MATCH(A134,Students!$A$5:$A$304,0)),""))</f>
        <v/>
      </c>
      <c r="D134" s="85" t="str">
        <f aca="false">IF(A134="","",IFERROR(INDEX(Students!$F$5:$F$304,MATCH(A134,Students!$A$5:$A$304,0)),""))</f>
        <v/>
      </c>
      <c r="E134" s="86"/>
      <c r="F134" s="52"/>
      <c r="G134" s="52"/>
      <c r="H134" s="52"/>
      <c r="I134" s="93" t="str">
        <f aca="false">IF(COUNT(G134:H134)=0,"",IF(COUNT(G134:H134)=1,SUM(G134:H134),ROUND(G134*Settings!$B$8+H134*(1-Settings!$B$8),1)))</f>
        <v/>
      </c>
      <c r="J134" s="85" t="str">
        <f aca="false">IF(I134="","",IF(I134&gt;=Settings!$E$11,Settings!$F$11,IF(I134&gt;=Settings!$E$12,Settings!$F$12,IF(I134&gt;=Settings!$E$13,Settings!$F$13,IF(I134&gt;=Settings!$E$14,Settings!$F$14,Settings!$F$15)))))</f>
        <v/>
      </c>
      <c r="K134" s="85" t="str">
        <f aca="false">IF(I134="","",IF(I134&gt;=Settings!$E$11,Settings!$G$11,IF(I134&gt;=Settings!$E$12,Settings!$G$12,IF(I134&gt;=Settings!$E$13,Settings!$G$13,IF(I134&gt;=Settings!$E$14,Settings!$G$14,Settings!$G$15)))))</f>
        <v/>
      </c>
    </row>
    <row r="135" customFormat="false" ht="19.5" hidden="false" customHeight="true" outlineLevel="0" collapsed="false">
      <c r="A135" s="52"/>
      <c r="B135" s="89" t="str">
        <f aca="false">IF(A135="","",IFERROR(INDEX(Students!$B$5:$B$304,MATCH(A135,Students!$A$5:$A$304,0)),"ID not found"))</f>
        <v/>
      </c>
      <c r="C135" s="85" t="str">
        <f aca="false">IF(A135="","",IFERROR(INDEX(Students!$E$5:$E$304,MATCH(A135,Students!$A$5:$A$304,0)),""))</f>
        <v/>
      </c>
      <c r="D135" s="85" t="str">
        <f aca="false">IF(A135="","",IFERROR(INDEX(Students!$F$5:$F$304,MATCH(A135,Students!$A$5:$A$304,0)),""))</f>
        <v/>
      </c>
      <c r="E135" s="86"/>
      <c r="F135" s="52"/>
      <c r="G135" s="52"/>
      <c r="H135" s="52"/>
      <c r="I135" s="93" t="str">
        <f aca="false">IF(COUNT(G135:H135)=0,"",IF(COUNT(G135:H135)=1,SUM(G135:H135),ROUND(G135*Settings!$B$8+H135*(1-Settings!$B$8),1)))</f>
        <v/>
      </c>
      <c r="J135" s="85" t="str">
        <f aca="false">IF(I135="","",IF(I135&gt;=Settings!$E$11,Settings!$F$11,IF(I135&gt;=Settings!$E$12,Settings!$F$12,IF(I135&gt;=Settings!$E$13,Settings!$F$13,IF(I135&gt;=Settings!$E$14,Settings!$F$14,Settings!$F$15)))))</f>
        <v/>
      </c>
      <c r="K135" s="85" t="str">
        <f aca="false">IF(I135="","",IF(I135&gt;=Settings!$E$11,Settings!$G$11,IF(I135&gt;=Settings!$E$12,Settings!$G$12,IF(I135&gt;=Settings!$E$13,Settings!$G$13,IF(I135&gt;=Settings!$E$14,Settings!$G$14,Settings!$G$15)))))</f>
        <v/>
      </c>
    </row>
    <row r="136" customFormat="false" ht="19.5" hidden="false" customHeight="true" outlineLevel="0" collapsed="false">
      <c r="A136" s="52"/>
      <c r="B136" s="89" t="str">
        <f aca="false">IF(A136="","",IFERROR(INDEX(Students!$B$5:$B$304,MATCH(A136,Students!$A$5:$A$304,0)),"ID not found"))</f>
        <v/>
      </c>
      <c r="C136" s="85" t="str">
        <f aca="false">IF(A136="","",IFERROR(INDEX(Students!$E$5:$E$304,MATCH(A136,Students!$A$5:$A$304,0)),""))</f>
        <v/>
      </c>
      <c r="D136" s="85" t="str">
        <f aca="false">IF(A136="","",IFERROR(INDEX(Students!$F$5:$F$304,MATCH(A136,Students!$A$5:$A$304,0)),""))</f>
        <v/>
      </c>
      <c r="E136" s="86"/>
      <c r="F136" s="52"/>
      <c r="G136" s="52"/>
      <c r="H136" s="52"/>
      <c r="I136" s="93" t="str">
        <f aca="false">IF(COUNT(G136:H136)=0,"",IF(COUNT(G136:H136)=1,SUM(G136:H136),ROUND(G136*Settings!$B$8+H136*(1-Settings!$B$8),1)))</f>
        <v/>
      </c>
      <c r="J136" s="85" t="str">
        <f aca="false">IF(I136="","",IF(I136&gt;=Settings!$E$11,Settings!$F$11,IF(I136&gt;=Settings!$E$12,Settings!$F$12,IF(I136&gt;=Settings!$E$13,Settings!$F$13,IF(I136&gt;=Settings!$E$14,Settings!$F$14,Settings!$F$15)))))</f>
        <v/>
      </c>
      <c r="K136" s="85" t="str">
        <f aca="false">IF(I136="","",IF(I136&gt;=Settings!$E$11,Settings!$G$11,IF(I136&gt;=Settings!$E$12,Settings!$G$12,IF(I136&gt;=Settings!$E$13,Settings!$G$13,IF(I136&gt;=Settings!$E$14,Settings!$G$14,Settings!$G$15)))))</f>
        <v/>
      </c>
    </row>
    <row r="137" customFormat="false" ht="19.5" hidden="false" customHeight="true" outlineLevel="0" collapsed="false">
      <c r="A137" s="52"/>
      <c r="B137" s="89" t="str">
        <f aca="false">IF(A137="","",IFERROR(INDEX(Students!$B$5:$B$304,MATCH(A137,Students!$A$5:$A$304,0)),"ID not found"))</f>
        <v/>
      </c>
      <c r="C137" s="85" t="str">
        <f aca="false">IF(A137="","",IFERROR(INDEX(Students!$E$5:$E$304,MATCH(A137,Students!$A$5:$A$304,0)),""))</f>
        <v/>
      </c>
      <c r="D137" s="85" t="str">
        <f aca="false">IF(A137="","",IFERROR(INDEX(Students!$F$5:$F$304,MATCH(A137,Students!$A$5:$A$304,0)),""))</f>
        <v/>
      </c>
      <c r="E137" s="86"/>
      <c r="F137" s="52"/>
      <c r="G137" s="52"/>
      <c r="H137" s="52"/>
      <c r="I137" s="93" t="str">
        <f aca="false">IF(COUNT(G137:H137)=0,"",IF(COUNT(G137:H137)=1,SUM(G137:H137),ROUND(G137*Settings!$B$8+H137*(1-Settings!$B$8),1)))</f>
        <v/>
      </c>
      <c r="J137" s="85" t="str">
        <f aca="false">IF(I137="","",IF(I137&gt;=Settings!$E$11,Settings!$F$11,IF(I137&gt;=Settings!$E$12,Settings!$F$12,IF(I137&gt;=Settings!$E$13,Settings!$F$13,IF(I137&gt;=Settings!$E$14,Settings!$F$14,Settings!$F$15)))))</f>
        <v/>
      </c>
      <c r="K137" s="85" t="str">
        <f aca="false">IF(I137="","",IF(I137&gt;=Settings!$E$11,Settings!$G$11,IF(I137&gt;=Settings!$E$12,Settings!$G$12,IF(I137&gt;=Settings!$E$13,Settings!$G$13,IF(I137&gt;=Settings!$E$14,Settings!$G$14,Settings!$G$15)))))</f>
        <v/>
      </c>
    </row>
    <row r="138" customFormat="false" ht="19.5" hidden="false" customHeight="true" outlineLevel="0" collapsed="false">
      <c r="A138" s="52"/>
      <c r="B138" s="89" t="str">
        <f aca="false">IF(A138="","",IFERROR(INDEX(Students!$B$5:$B$304,MATCH(A138,Students!$A$5:$A$304,0)),"ID not found"))</f>
        <v/>
      </c>
      <c r="C138" s="85" t="str">
        <f aca="false">IF(A138="","",IFERROR(INDEX(Students!$E$5:$E$304,MATCH(A138,Students!$A$5:$A$304,0)),""))</f>
        <v/>
      </c>
      <c r="D138" s="85" t="str">
        <f aca="false">IF(A138="","",IFERROR(INDEX(Students!$F$5:$F$304,MATCH(A138,Students!$A$5:$A$304,0)),""))</f>
        <v/>
      </c>
      <c r="E138" s="86"/>
      <c r="F138" s="52"/>
      <c r="G138" s="52"/>
      <c r="H138" s="52"/>
      <c r="I138" s="93" t="str">
        <f aca="false">IF(COUNT(G138:H138)=0,"",IF(COUNT(G138:H138)=1,SUM(G138:H138),ROUND(G138*Settings!$B$8+H138*(1-Settings!$B$8),1)))</f>
        <v/>
      </c>
      <c r="J138" s="85" t="str">
        <f aca="false">IF(I138="","",IF(I138&gt;=Settings!$E$11,Settings!$F$11,IF(I138&gt;=Settings!$E$12,Settings!$F$12,IF(I138&gt;=Settings!$E$13,Settings!$F$13,IF(I138&gt;=Settings!$E$14,Settings!$F$14,Settings!$F$15)))))</f>
        <v/>
      </c>
      <c r="K138" s="85" t="str">
        <f aca="false">IF(I138="","",IF(I138&gt;=Settings!$E$11,Settings!$G$11,IF(I138&gt;=Settings!$E$12,Settings!$G$12,IF(I138&gt;=Settings!$E$13,Settings!$G$13,IF(I138&gt;=Settings!$E$14,Settings!$G$14,Settings!$G$15)))))</f>
        <v/>
      </c>
    </row>
    <row r="139" customFormat="false" ht="19.5" hidden="false" customHeight="true" outlineLevel="0" collapsed="false">
      <c r="A139" s="52"/>
      <c r="B139" s="89" t="str">
        <f aca="false">IF(A139="","",IFERROR(INDEX(Students!$B$5:$B$304,MATCH(A139,Students!$A$5:$A$304,0)),"ID not found"))</f>
        <v/>
      </c>
      <c r="C139" s="85" t="str">
        <f aca="false">IF(A139="","",IFERROR(INDEX(Students!$E$5:$E$304,MATCH(A139,Students!$A$5:$A$304,0)),""))</f>
        <v/>
      </c>
      <c r="D139" s="85" t="str">
        <f aca="false">IF(A139="","",IFERROR(INDEX(Students!$F$5:$F$304,MATCH(A139,Students!$A$5:$A$304,0)),""))</f>
        <v/>
      </c>
      <c r="E139" s="86"/>
      <c r="F139" s="52"/>
      <c r="G139" s="52"/>
      <c r="H139" s="52"/>
      <c r="I139" s="93" t="str">
        <f aca="false">IF(COUNT(G139:H139)=0,"",IF(COUNT(G139:H139)=1,SUM(G139:H139),ROUND(G139*Settings!$B$8+H139*(1-Settings!$B$8),1)))</f>
        <v/>
      </c>
      <c r="J139" s="85" t="str">
        <f aca="false">IF(I139="","",IF(I139&gt;=Settings!$E$11,Settings!$F$11,IF(I139&gt;=Settings!$E$12,Settings!$F$12,IF(I139&gt;=Settings!$E$13,Settings!$F$13,IF(I139&gt;=Settings!$E$14,Settings!$F$14,Settings!$F$15)))))</f>
        <v/>
      </c>
      <c r="K139" s="85" t="str">
        <f aca="false">IF(I139="","",IF(I139&gt;=Settings!$E$11,Settings!$G$11,IF(I139&gt;=Settings!$E$12,Settings!$G$12,IF(I139&gt;=Settings!$E$13,Settings!$G$13,IF(I139&gt;=Settings!$E$14,Settings!$G$14,Settings!$G$15)))))</f>
        <v/>
      </c>
    </row>
    <row r="140" customFormat="false" ht="19.5" hidden="false" customHeight="true" outlineLevel="0" collapsed="false">
      <c r="A140" s="52"/>
      <c r="B140" s="89" t="str">
        <f aca="false">IF(A140="","",IFERROR(INDEX(Students!$B$5:$B$304,MATCH(A140,Students!$A$5:$A$304,0)),"ID not found"))</f>
        <v/>
      </c>
      <c r="C140" s="85" t="str">
        <f aca="false">IF(A140="","",IFERROR(INDEX(Students!$E$5:$E$304,MATCH(A140,Students!$A$5:$A$304,0)),""))</f>
        <v/>
      </c>
      <c r="D140" s="85" t="str">
        <f aca="false">IF(A140="","",IFERROR(INDEX(Students!$F$5:$F$304,MATCH(A140,Students!$A$5:$A$304,0)),""))</f>
        <v/>
      </c>
      <c r="E140" s="86"/>
      <c r="F140" s="52"/>
      <c r="G140" s="52"/>
      <c r="H140" s="52"/>
      <c r="I140" s="93" t="str">
        <f aca="false">IF(COUNT(G140:H140)=0,"",IF(COUNT(G140:H140)=1,SUM(G140:H140),ROUND(G140*Settings!$B$8+H140*(1-Settings!$B$8),1)))</f>
        <v/>
      </c>
      <c r="J140" s="85" t="str">
        <f aca="false">IF(I140="","",IF(I140&gt;=Settings!$E$11,Settings!$F$11,IF(I140&gt;=Settings!$E$12,Settings!$F$12,IF(I140&gt;=Settings!$E$13,Settings!$F$13,IF(I140&gt;=Settings!$E$14,Settings!$F$14,Settings!$F$15)))))</f>
        <v/>
      </c>
      <c r="K140" s="85" t="str">
        <f aca="false">IF(I140="","",IF(I140&gt;=Settings!$E$11,Settings!$G$11,IF(I140&gt;=Settings!$E$12,Settings!$G$12,IF(I140&gt;=Settings!$E$13,Settings!$G$13,IF(I140&gt;=Settings!$E$14,Settings!$G$14,Settings!$G$15)))))</f>
        <v/>
      </c>
    </row>
    <row r="141" customFormat="false" ht="19.5" hidden="false" customHeight="true" outlineLevel="0" collapsed="false">
      <c r="A141" s="52"/>
      <c r="B141" s="89" t="str">
        <f aca="false">IF(A141="","",IFERROR(INDEX(Students!$B$5:$B$304,MATCH(A141,Students!$A$5:$A$304,0)),"ID not found"))</f>
        <v/>
      </c>
      <c r="C141" s="85" t="str">
        <f aca="false">IF(A141="","",IFERROR(INDEX(Students!$E$5:$E$304,MATCH(A141,Students!$A$5:$A$304,0)),""))</f>
        <v/>
      </c>
      <c r="D141" s="85" t="str">
        <f aca="false">IF(A141="","",IFERROR(INDEX(Students!$F$5:$F$304,MATCH(A141,Students!$A$5:$A$304,0)),""))</f>
        <v/>
      </c>
      <c r="E141" s="86"/>
      <c r="F141" s="52"/>
      <c r="G141" s="52"/>
      <c r="H141" s="52"/>
      <c r="I141" s="93" t="str">
        <f aca="false">IF(COUNT(G141:H141)=0,"",IF(COUNT(G141:H141)=1,SUM(G141:H141),ROUND(G141*Settings!$B$8+H141*(1-Settings!$B$8),1)))</f>
        <v/>
      </c>
      <c r="J141" s="85" t="str">
        <f aca="false">IF(I141="","",IF(I141&gt;=Settings!$E$11,Settings!$F$11,IF(I141&gt;=Settings!$E$12,Settings!$F$12,IF(I141&gt;=Settings!$E$13,Settings!$F$13,IF(I141&gt;=Settings!$E$14,Settings!$F$14,Settings!$F$15)))))</f>
        <v/>
      </c>
      <c r="K141" s="85" t="str">
        <f aca="false">IF(I141="","",IF(I141&gt;=Settings!$E$11,Settings!$G$11,IF(I141&gt;=Settings!$E$12,Settings!$G$12,IF(I141&gt;=Settings!$E$13,Settings!$G$13,IF(I141&gt;=Settings!$E$14,Settings!$G$14,Settings!$G$15)))))</f>
        <v/>
      </c>
    </row>
    <row r="142" customFormat="false" ht="19.5" hidden="false" customHeight="true" outlineLevel="0" collapsed="false">
      <c r="A142" s="52"/>
      <c r="B142" s="89" t="str">
        <f aca="false">IF(A142="","",IFERROR(INDEX(Students!$B$5:$B$304,MATCH(A142,Students!$A$5:$A$304,0)),"ID not found"))</f>
        <v/>
      </c>
      <c r="C142" s="85" t="str">
        <f aca="false">IF(A142="","",IFERROR(INDEX(Students!$E$5:$E$304,MATCH(A142,Students!$A$5:$A$304,0)),""))</f>
        <v/>
      </c>
      <c r="D142" s="85" t="str">
        <f aca="false">IF(A142="","",IFERROR(INDEX(Students!$F$5:$F$304,MATCH(A142,Students!$A$5:$A$304,0)),""))</f>
        <v/>
      </c>
      <c r="E142" s="86"/>
      <c r="F142" s="52"/>
      <c r="G142" s="52"/>
      <c r="H142" s="52"/>
      <c r="I142" s="93" t="str">
        <f aca="false">IF(COUNT(G142:H142)=0,"",IF(COUNT(G142:H142)=1,SUM(G142:H142),ROUND(G142*Settings!$B$8+H142*(1-Settings!$B$8),1)))</f>
        <v/>
      </c>
      <c r="J142" s="85" t="str">
        <f aca="false">IF(I142="","",IF(I142&gt;=Settings!$E$11,Settings!$F$11,IF(I142&gt;=Settings!$E$12,Settings!$F$12,IF(I142&gt;=Settings!$E$13,Settings!$F$13,IF(I142&gt;=Settings!$E$14,Settings!$F$14,Settings!$F$15)))))</f>
        <v/>
      </c>
      <c r="K142" s="85" t="str">
        <f aca="false">IF(I142="","",IF(I142&gt;=Settings!$E$11,Settings!$G$11,IF(I142&gt;=Settings!$E$12,Settings!$G$12,IF(I142&gt;=Settings!$E$13,Settings!$G$13,IF(I142&gt;=Settings!$E$14,Settings!$G$14,Settings!$G$15)))))</f>
        <v/>
      </c>
    </row>
    <row r="143" customFormat="false" ht="19.5" hidden="false" customHeight="true" outlineLevel="0" collapsed="false">
      <c r="A143" s="52"/>
      <c r="B143" s="89" t="str">
        <f aca="false">IF(A143="","",IFERROR(INDEX(Students!$B$5:$B$304,MATCH(A143,Students!$A$5:$A$304,0)),"ID not found"))</f>
        <v/>
      </c>
      <c r="C143" s="85" t="str">
        <f aca="false">IF(A143="","",IFERROR(INDEX(Students!$E$5:$E$304,MATCH(A143,Students!$A$5:$A$304,0)),""))</f>
        <v/>
      </c>
      <c r="D143" s="85" t="str">
        <f aca="false">IF(A143="","",IFERROR(INDEX(Students!$F$5:$F$304,MATCH(A143,Students!$A$5:$A$304,0)),""))</f>
        <v/>
      </c>
      <c r="E143" s="86"/>
      <c r="F143" s="52"/>
      <c r="G143" s="52"/>
      <c r="H143" s="52"/>
      <c r="I143" s="93" t="str">
        <f aca="false">IF(COUNT(G143:H143)=0,"",IF(COUNT(G143:H143)=1,SUM(G143:H143),ROUND(G143*Settings!$B$8+H143*(1-Settings!$B$8),1)))</f>
        <v/>
      </c>
      <c r="J143" s="85" t="str">
        <f aca="false">IF(I143="","",IF(I143&gt;=Settings!$E$11,Settings!$F$11,IF(I143&gt;=Settings!$E$12,Settings!$F$12,IF(I143&gt;=Settings!$E$13,Settings!$F$13,IF(I143&gt;=Settings!$E$14,Settings!$F$14,Settings!$F$15)))))</f>
        <v/>
      </c>
      <c r="K143" s="85" t="str">
        <f aca="false">IF(I143="","",IF(I143&gt;=Settings!$E$11,Settings!$G$11,IF(I143&gt;=Settings!$E$12,Settings!$G$12,IF(I143&gt;=Settings!$E$13,Settings!$G$13,IF(I143&gt;=Settings!$E$14,Settings!$G$14,Settings!$G$15)))))</f>
        <v/>
      </c>
    </row>
    <row r="144" customFormat="false" ht="19.5" hidden="false" customHeight="true" outlineLevel="0" collapsed="false">
      <c r="A144" s="52"/>
      <c r="B144" s="89" t="str">
        <f aca="false">IF(A144="","",IFERROR(INDEX(Students!$B$5:$B$304,MATCH(A144,Students!$A$5:$A$304,0)),"ID not found"))</f>
        <v/>
      </c>
      <c r="C144" s="85" t="str">
        <f aca="false">IF(A144="","",IFERROR(INDEX(Students!$E$5:$E$304,MATCH(A144,Students!$A$5:$A$304,0)),""))</f>
        <v/>
      </c>
      <c r="D144" s="85" t="str">
        <f aca="false">IF(A144="","",IFERROR(INDEX(Students!$F$5:$F$304,MATCH(A144,Students!$A$5:$A$304,0)),""))</f>
        <v/>
      </c>
      <c r="E144" s="86"/>
      <c r="F144" s="52"/>
      <c r="G144" s="52"/>
      <c r="H144" s="52"/>
      <c r="I144" s="93" t="str">
        <f aca="false">IF(COUNT(G144:H144)=0,"",IF(COUNT(G144:H144)=1,SUM(G144:H144),ROUND(G144*Settings!$B$8+H144*(1-Settings!$B$8),1)))</f>
        <v/>
      </c>
      <c r="J144" s="85" t="str">
        <f aca="false">IF(I144="","",IF(I144&gt;=Settings!$E$11,Settings!$F$11,IF(I144&gt;=Settings!$E$12,Settings!$F$12,IF(I144&gt;=Settings!$E$13,Settings!$F$13,IF(I144&gt;=Settings!$E$14,Settings!$F$14,Settings!$F$15)))))</f>
        <v/>
      </c>
      <c r="K144" s="85" t="str">
        <f aca="false">IF(I144="","",IF(I144&gt;=Settings!$E$11,Settings!$G$11,IF(I144&gt;=Settings!$E$12,Settings!$G$12,IF(I144&gt;=Settings!$E$13,Settings!$G$13,IF(I144&gt;=Settings!$E$14,Settings!$G$14,Settings!$G$15)))))</f>
        <v/>
      </c>
    </row>
    <row r="145" customFormat="false" ht="19.5" hidden="false" customHeight="true" outlineLevel="0" collapsed="false">
      <c r="A145" s="52"/>
      <c r="B145" s="89" t="str">
        <f aca="false">IF(A145="","",IFERROR(INDEX(Students!$B$5:$B$304,MATCH(A145,Students!$A$5:$A$304,0)),"ID not found"))</f>
        <v/>
      </c>
      <c r="C145" s="85" t="str">
        <f aca="false">IF(A145="","",IFERROR(INDEX(Students!$E$5:$E$304,MATCH(A145,Students!$A$5:$A$304,0)),""))</f>
        <v/>
      </c>
      <c r="D145" s="85" t="str">
        <f aca="false">IF(A145="","",IFERROR(INDEX(Students!$F$5:$F$304,MATCH(A145,Students!$A$5:$A$304,0)),""))</f>
        <v/>
      </c>
      <c r="E145" s="86"/>
      <c r="F145" s="52"/>
      <c r="G145" s="52"/>
      <c r="H145" s="52"/>
      <c r="I145" s="93" t="str">
        <f aca="false">IF(COUNT(G145:H145)=0,"",IF(COUNT(G145:H145)=1,SUM(G145:H145),ROUND(G145*Settings!$B$8+H145*(1-Settings!$B$8),1)))</f>
        <v/>
      </c>
      <c r="J145" s="85" t="str">
        <f aca="false">IF(I145="","",IF(I145&gt;=Settings!$E$11,Settings!$F$11,IF(I145&gt;=Settings!$E$12,Settings!$F$12,IF(I145&gt;=Settings!$E$13,Settings!$F$13,IF(I145&gt;=Settings!$E$14,Settings!$F$14,Settings!$F$15)))))</f>
        <v/>
      </c>
      <c r="K145" s="85" t="str">
        <f aca="false">IF(I145="","",IF(I145&gt;=Settings!$E$11,Settings!$G$11,IF(I145&gt;=Settings!$E$12,Settings!$G$12,IF(I145&gt;=Settings!$E$13,Settings!$G$13,IF(I145&gt;=Settings!$E$14,Settings!$G$14,Settings!$G$15)))))</f>
        <v/>
      </c>
    </row>
    <row r="146" customFormat="false" ht="19.5" hidden="false" customHeight="true" outlineLevel="0" collapsed="false">
      <c r="A146" s="52"/>
      <c r="B146" s="89" t="str">
        <f aca="false">IF(A146="","",IFERROR(INDEX(Students!$B$5:$B$304,MATCH(A146,Students!$A$5:$A$304,0)),"ID not found"))</f>
        <v/>
      </c>
      <c r="C146" s="85" t="str">
        <f aca="false">IF(A146="","",IFERROR(INDEX(Students!$E$5:$E$304,MATCH(A146,Students!$A$5:$A$304,0)),""))</f>
        <v/>
      </c>
      <c r="D146" s="85" t="str">
        <f aca="false">IF(A146="","",IFERROR(INDEX(Students!$F$5:$F$304,MATCH(A146,Students!$A$5:$A$304,0)),""))</f>
        <v/>
      </c>
      <c r="E146" s="86"/>
      <c r="F146" s="52"/>
      <c r="G146" s="52"/>
      <c r="H146" s="52"/>
      <c r="I146" s="93" t="str">
        <f aca="false">IF(COUNT(G146:H146)=0,"",IF(COUNT(G146:H146)=1,SUM(G146:H146),ROUND(G146*Settings!$B$8+H146*(1-Settings!$B$8),1)))</f>
        <v/>
      </c>
      <c r="J146" s="85" t="str">
        <f aca="false">IF(I146="","",IF(I146&gt;=Settings!$E$11,Settings!$F$11,IF(I146&gt;=Settings!$E$12,Settings!$F$12,IF(I146&gt;=Settings!$E$13,Settings!$F$13,IF(I146&gt;=Settings!$E$14,Settings!$F$14,Settings!$F$15)))))</f>
        <v/>
      </c>
      <c r="K146" s="85" t="str">
        <f aca="false">IF(I146="","",IF(I146&gt;=Settings!$E$11,Settings!$G$11,IF(I146&gt;=Settings!$E$12,Settings!$G$12,IF(I146&gt;=Settings!$E$13,Settings!$G$13,IF(I146&gt;=Settings!$E$14,Settings!$G$14,Settings!$G$15)))))</f>
        <v/>
      </c>
    </row>
    <row r="147" customFormat="false" ht="19.5" hidden="false" customHeight="true" outlineLevel="0" collapsed="false">
      <c r="A147" s="52"/>
      <c r="B147" s="89" t="str">
        <f aca="false">IF(A147="","",IFERROR(INDEX(Students!$B$5:$B$304,MATCH(A147,Students!$A$5:$A$304,0)),"ID not found"))</f>
        <v/>
      </c>
      <c r="C147" s="85" t="str">
        <f aca="false">IF(A147="","",IFERROR(INDEX(Students!$E$5:$E$304,MATCH(A147,Students!$A$5:$A$304,0)),""))</f>
        <v/>
      </c>
      <c r="D147" s="85" t="str">
        <f aca="false">IF(A147="","",IFERROR(INDEX(Students!$F$5:$F$304,MATCH(A147,Students!$A$5:$A$304,0)),""))</f>
        <v/>
      </c>
      <c r="E147" s="86"/>
      <c r="F147" s="52"/>
      <c r="G147" s="52"/>
      <c r="H147" s="52"/>
      <c r="I147" s="93" t="str">
        <f aca="false">IF(COUNT(G147:H147)=0,"",IF(COUNT(G147:H147)=1,SUM(G147:H147),ROUND(G147*Settings!$B$8+H147*(1-Settings!$B$8),1)))</f>
        <v/>
      </c>
      <c r="J147" s="85" t="str">
        <f aca="false">IF(I147="","",IF(I147&gt;=Settings!$E$11,Settings!$F$11,IF(I147&gt;=Settings!$E$12,Settings!$F$12,IF(I147&gt;=Settings!$E$13,Settings!$F$13,IF(I147&gt;=Settings!$E$14,Settings!$F$14,Settings!$F$15)))))</f>
        <v/>
      </c>
      <c r="K147" s="85" t="str">
        <f aca="false">IF(I147="","",IF(I147&gt;=Settings!$E$11,Settings!$G$11,IF(I147&gt;=Settings!$E$12,Settings!$G$12,IF(I147&gt;=Settings!$E$13,Settings!$G$13,IF(I147&gt;=Settings!$E$14,Settings!$G$14,Settings!$G$15)))))</f>
        <v/>
      </c>
    </row>
    <row r="148" customFormat="false" ht="19.5" hidden="false" customHeight="true" outlineLevel="0" collapsed="false">
      <c r="A148" s="52"/>
      <c r="B148" s="89" t="str">
        <f aca="false">IF(A148="","",IFERROR(INDEX(Students!$B$5:$B$304,MATCH(A148,Students!$A$5:$A$304,0)),"ID not found"))</f>
        <v/>
      </c>
      <c r="C148" s="85" t="str">
        <f aca="false">IF(A148="","",IFERROR(INDEX(Students!$E$5:$E$304,MATCH(A148,Students!$A$5:$A$304,0)),""))</f>
        <v/>
      </c>
      <c r="D148" s="85" t="str">
        <f aca="false">IF(A148="","",IFERROR(INDEX(Students!$F$5:$F$304,MATCH(A148,Students!$A$5:$A$304,0)),""))</f>
        <v/>
      </c>
      <c r="E148" s="86"/>
      <c r="F148" s="52"/>
      <c r="G148" s="52"/>
      <c r="H148" s="52"/>
      <c r="I148" s="93" t="str">
        <f aca="false">IF(COUNT(G148:H148)=0,"",IF(COUNT(G148:H148)=1,SUM(G148:H148),ROUND(G148*Settings!$B$8+H148*(1-Settings!$B$8),1)))</f>
        <v/>
      </c>
      <c r="J148" s="85" t="str">
        <f aca="false">IF(I148="","",IF(I148&gt;=Settings!$E$11,Settings!$F$11,IF(I148&gt;=Settings!$E$12,Settings!$F$12,IF(I148&gt;=Settings!$E$13,Settings!$F$13,IF(I148&gt;=Settings!$E$14,Settings!$F$14,Settings!$F$15)))))</f>
        <v/>
      </c>
      <c r="K148" s="85" t="str">
        <f aca="false">IF(I148="","",IF(I148&gt;=Settings!$E$11,Settings!$G$11,IF(I148&gt;=Settings!$E$12,Settings!$G$12,IF(I148&gt;=Settings!$E$13,Settings!$G$13,IF(I148&gt;=Settings!$E$14,Settings!$G$14,Settings!$G$15)))))</f>
        <v/>
      </c>
    </row>
    <row r="149" customFormat="false" ht="19.5" hidden="false" customHeight="true" outlineLevel="0" collapsed="false">
      <c r="A149" s="52"/>
      <c r="B149" s="89" t="str">
        <f aca="false">IF(A149="","",IFERROR(INDEX(Students!$B$5:$B$304,MATCH(A149,Students!$A$5:$A$304,0)),"ID not found"))</f>
        <v/>
      </c>
      <c r="C149" s="85" t="str">
        <f aca="false">IF(A149="","",IFERROR(INDEX(Students!$E$5:$E$304,MATCH(A149,Students!$A$5:$A$304,0)),""))</f>
        <v/>
      </c>
      <c r="D149" s="85" t="str">
        <f aca="false">IF(A149="","",IFERROR(INDEX(Students!$F$5:$F$304,MATCH(A149,Students!$A$5:$A$304,0)),""))</f>
        <v/>
      </c>
      <c r="E149" s="86"/>
      <c r="F149" s="52"/>
      <c r="G149" s="52"/>
      <c r="H149" s="52"/>
      <c r="I149" s="93" t="str">
        <f aca="false">IF(COUNT(G149:H149)=0,"",IF(COUNT(G149:H149)=1,SUM(G149:H149),ROUND(G149*Settings!$B$8+H149*(1-Settings!$B$8),1)))</f>
        <v/>
      </c>
      <c r="J149" s="85" t="str">
        <f aca="false">IF(I149="","",IF(I149&gt;=Settings!$E$11,Settings!$F$11,IF(I149&gt;=Settings!$E$12,Settings!$F$12,IF(I149&gt;=Settings!$E$13,Settings!$F$13,IF(I149&gt;=Settings!$E$14,Settings!$F$14,Settings!$F$15)))))</f>
        <v/>
      </c>
      <c r="K149" s="85" t="str">
        <f aca="false">IF(I149="","",IF(I149&gt;=Settings!$E$11,Settings!$G$11,IF(I149&gt;=Settings!$E$12,Settings!$G$12,IF(I149&gt;=Settings!$E$13,Settings!$G$13,IF(I149&gt;=Settings!$E$14,Settings!$G$14,Settings!$G$15)))))</f>
        <v/>
      </c>
    </row>
    <row r="150" customFormat="false" ht="19.5" hidden="false" customHeight="true" outlineLevel="0" collapsed="false">
      <c r="A150" s="52"/>
      <c r="B150" s="89" t="str">
        <f aca="false">IF(A150="","",IFERROR(INDEX(Students!$B$5:$B$304,MATCH(A150,Students!$A$5:$A$304,0)),"ID not found"))</f>
        <v/>
      </c>
      <c r="C150" s="85" t="str">
        <f aca="false">IF(A150="","",IFERROR(INDEX(Students!$E$5:$E$304,MATCH(A150,Students!$A$5:$A$304,0)),""))</f>
        <v/>
      </c>
      <c r="D150" s="85" t="str">
        <f aca="false">IF(A150="","",IFERROR(INDEX(Students!$F$5:$F$304,MATCH(A150,Students!$A$5:$A$304,0)),""))</f>
        <v/>
      </c>
      <c r="E150" s="86"/>
      <c r="F150" s="52"/>
      <c r="G150" s="52"/>
      <c r="H150" s="52"/>
      <c r="I150" s="93" t="str">
        <f aca="false">IF(COUNT(G150:H150)=0,"",IF(COUNT(G150:H150)=1,SUM(G150:H150),ROUND(G150*Settings!$B$8+H150*(1-Settings!$B$8),1)))</f>
        <v/>
      </c>
      <c r="J150" s="85" t="str">
        <f aca="false">IF(I150="","",IF(I150&gt;=Settings!$E$11,Settings!$F$11,IF(I150&gt;=Settings!$E$12,Settings!$F$12,IF(I150&gt;=Settings!$E$13,Settings!$F$13,IF(I150&gt;=Settings!$E$14,Settings!$F$14,Settings!$F$15)))))</f>
        <v/>
      </c>
      <c r="K150" s="85" t="str">
        <f aca="false">IF(I150="","",IF(I150&gt;=Settings!$E$11,Settings!$G$11,IF(I150&gt;=Settings!$E$12,Settings!$G$12,IF(I150&gt;=Settings!$E$13,Settings!$G$13,IF(I150&gt;=Settings!$E$14,Settings!$G$14,Settings!$G$15)))))</f>
        <v/>
      </c>
    </row>
    <row r="151" customFormat="false" ht="19.5" hidden="false" customHeight="true" outlineLevel="0" collapsed="false">
      <c r="A151" s="52"/>
      <c r="B151" s="89" t="str">
        <f aca="false">IF(A151="","",IFERROR(INDEX(Students!$B$5:$B$304,MATCH(A151,Students!$A$5:$A$304,0)),"ID not found"))</f>
        <v/>
      </c>
      <c r="C151" s="85" t="str">
        <f aca="false">IF(A151="","",IFERROR(INDEX(Students!$E$5:$E$304,MATCH(A151,Students!$A$5:$A$304,0)),""))</f>
        <v/>
      </c>
      <c r="D151" s="85" t="str">
        <f aca="false">IF(A151="","",IFERROR(INDEX(Students!$F$5:$F$304,MATCH(A151,Students!$A$5:$A$304,0)),""))</f>
        <v/>
      </c>
      <c r="E151" s="86"/>
      <c r="F151" s="52"/>
      <c r="G151" s="52"/>
      <c r="H151" s="52"/>
      <c r="I151" s="93" t="str">
        <f aca="false">IF(COUNT(G151:H151)=0,"",IF(COUNT(G151:H151)=1,SUM(G151:H151),ROUND(G151*Settings!$B$8+H151*(1-Settings!$B$8),1)))</f>
        <v/>
      </c>
      <c r="J151" s="85" t="str">
        <f aca="false">IF(I151="","",IF(I151&gt;=Settings!$E$11,Settings!$F$11,IF(I151&gt;=Settings!$E$12,Settings!$F$12,IF(I151&gt;=Settings!$E$13,Settings!$F$13,IF(I151&gt;=Settings!$E$14,Settings!$F$14,Settings!$F$15)))))</f>
        <v/>
      </c>
      <c r="K151" s="85" t="str">
        <f aca="false">IF(I151="","",IF(I151&gt;=Settings!$E$11,Settings!$G$11,IF(I151&gt;=Settings!$E$12,Settings!$G$12,IF(I151&gt;=Settings!$E$13,Settings!$G$13,IF(I151&gt;=Settings!$E$14,Settings!$G$14,Settings!$G$15)))))</f>
        <v/>
      </c>
    </row>
    <row r="152" customFormat="false" ht="19.5" hidden="false" customHeight="true" outlineLevel="0" collapsed="false">
      <c r="A152" s="52"/>
      <c r="B152" s="89" t="str">
        <f aca="false">IF(A152="","",IFERROR(INDEX(Students!$B$5:$B$304,MATCH(A152,Students!$A$5:$A$304,0)),"ID not found"))</f>
        <v/>
      </c>
      <c r="C152" s="85" t="str">
        <f aca="false">IF(A152="","",IFERROR(INDEX(Students!$E$5:$E$304,MATCH(A152,Students!$A$5:$A$304,0)),""))</f>
        <v/>
      </c>
      <c r="D152" s="85" t="str">
        <f aca="false">IF(A152="","",IFERROR(INDEX(Students!$F$5:$F$304,MATCH(A152,Students!$A$5:$A$304,0)),""))</f>
        <v/>
      </c>
      <c r="E152" s="86"/>
      <c r="F152" s="52"/>
      <c r="G152" s="52"/>
      <c r="H152" s="52"/>
      <c r="I152" s="93" t="str">
        <f aca="false">IF(COUNT(G152:H152)=0,"",IF(COUNT(G152:H152)=1,SUM(G152:H152),ROUND(G152*Settings!$B$8+H152*(1-Settings!$B$8),1)))</f>
        <v/>
      </c>
      <c r="J152" s="85" t="str">
        <f aca="false">IF(I152="","",IF(I152&gt;=Settings!$E$11,Settings!$F$11,IF(I152&gt;=Settings!$E$12,Settings!$F$12,IF(I152&gt;=Settings!$E$13,Settings!$F$13,IF(I152&gt;=Settings!$E$14,Settings!$F$14,Settings!$F$15)))))</f>
        <v/>
      </c>
      <c r="K152" s="85" t="str">
        <f aca="false">IF(I152="","",IF(I152&gt;=Settings!$E$11,Settings!$G$11,IF(I152&gt;=Settings!$E$12,Settings!$G$12,IF(I152&gt;=Settings!$E$13,Settings!$G$13,IF(I152&gt;=Settings!$E$14,Settings!$G$14,Settings!$G$15)))))</f>
        <v/>
      </c>
    </row>
    <row r="153" customFormat="false" ht="19.5" hidden="false" customHeight="true" outlineLevel="0" collapsed="false">
      <c r="A153" s="52"/>
      <c r="B153" s="89" t="str">
        <f aca="false">IF(A153="","",IFERROR(INDEX(Students!$B$5:$B$304,MATCH(A153,Students!$A$5:$A$304,0)),"ID not found"))</f>
        <v/>
      </c>
      <c r="C153" s="85" t="str">
        <f aca="false">IF(A153="","",IFERROR(INDEX(Students!$E$5:$E$304,MATCH(A153,Students!$A$5:$A$304,0)),""))</f>
        <v/>
      </c>
      <c r="D153" s="85" t="str">
        <f aca="false">IF(A153="","",IFERROR(INDEX(Students!$F$5:$F$304,MATCH(A153,Students!$A$5:$A$304,0)),""))</f>
        <v/>
      </c>
      <c r="E153" s="86"/>
      <c r="F153" s="52"/>
      <c r="G153" s="52"/>
      <c r="H153" s="52"/>
      <c r="I153" s="93" t="str">
        <f aca="false">IF(COUNT(G153:H153)=0,"",IF(COUNT(G153:H153)=1,SUM(G153:H153),ROUND(G153*Settings!$B$8+H153*(1-Settings!$B$8),1)))</f>
        <v/>
      </c>
      <c r="J153" s="85" t="str">
        <f aca="false">IF(I153="","",IF(I153&gt;=Settings!$E$11,Settings!$F$11,IF(I153&gt;=Settings!$E$12,Settings!$F$12,IF(I153&gt;=Settings!$E$13,Settings!$F$13,IF(I153&gt;=Settings!$E$14,Settings!$F$14,Settings!$F$15)))))</f>
        <v/>
      </c>
      <c r="K153" s="85" t="str">
        <f aca="false">IF(I153="","",IF(I153&gt;=Settings!$E$11,Settings!$G$11,IF(I153&gt;=Settings!$E$12,Settings!$G$12,IF(I153&gt;=Settings!$E$13,Settings!$G$13,IF(I153&gt;=Settings!$E$14,Settings!$G$14,Settings!$G$15)))))</f>
        <v/>
      </c>
    </row>
    <row r="154" customFormat="false" ht="19.5" hidden="false" customHeight="true" outlineLevel="0" collapsed="false">
      <c r="A154" s="52"/>
      <c r="B154" s="89" t="str">
        <f aca="false">IF(A154="","",IFERROR(INDEX(Students!$B$5:$B$304,MATCH(A154,Students!$A$5:$A$304,0)),"ID not found"))</f>
        <v/>
      </c>
      <c r="C154" s="85" t="str">
        <f aca="false">IF(A154="","",IFERROR(INDEX(Students!$E$5:$E$304,MATCH(A154,Students!$A$5:$A$304,0)),""))</f>
        <v/>
      </c>
      <c r="D154" s="85" t="str">
        <f aca="false">IF(A154="","",IFERROR(INDEX(Students!$F$5:$F$304,MATCH(A154,Students!$A$5:$A$304,0)),""))</f>
        <v/>
      </c>
      <c r="E154" s="86"/>
      <c r="F154" s="52"/>
      <c r="G154" s="52"/>
      <c r="H154" s="52"/>
      <c r="I154" s="93" t="str">
        <f aca="false">IF(COUNT(G154:H154)=0,"",IF(COUNT(G154:H154)=1,SUM(G154:H154),ROUND(G154*Settings!$B$8+H154*(1-Settings!$B$8),1)))</f>
        <v/>
      </c>
      <c r="J154" s="85" t="str">
        <f aca="false">IF(I154="","",IF(I154&gt;=Settings!$E$11,Settings!$F$11,IF(I154&gt;=Settings!$E$12,Settings!$F$12,IF(I154&gt;=Settings!$E$13,Settings!$F$13,IF(I154&gt;=Settings!$E$14,Settings!$F$14,Settings!$F$15)))))</f>
        <v/>
      </c>
      <c r="K154" s="85" t="str">
        <f aca="false">IF(I154="","",IF(I154&gt;=Settings!$E$11,Settings!$G$11,IF(I154&gt;=Settings!$E$12,Settings!$G$12,IF(I154&gt;=Settings!$E$13,Settings!$G$13,IF(I154&gt;=Settings!$E$14,Settings!$G$14,Settings!$G$15)))))</f>
        <v/>
      </c>
    </row>
    <row r="155" customFormat="false" ht="19.5" hidden="false" customHeight="true" outlineLevel="0" collapsed="false">
      <c r="A155" s="52"/>
      <c r="B155" s="89" t="str">
        <f aca="false">IF(A155="","",IFERROR(INDEX(Students!$B$5:$B$304,MATCH(A155,Students!$A$5:$A$304,0)),"ID not found"))</f>
        <v/>
      </c>
      <c r="C155" s="85" t="str">
        <f aca="false">IF(A155="","",IFERROR(INDEX(Students!$E$5:$E$304,MATCH(A155,Students!$A$5:$A$304,0)),""))</f>
        <v/>
      </c>
      <c r="D155" s="85" t="str">
        <f aca="false">IF(A155="","",IFERROR(INDEX(Students!$F$5:$F$304,MATCH(A155,Students!$A$5:$A$304,0)),""))</f>
        <v/>
      </c>
      <c r="E155" s="86"/>
      <c r="F155" s="52"/>
      <c r="G155" s="52"/>
      <c r="H155" s="52"/>
      <c r="I155" s="93" t="str">
        <f aca="false">IF(COUNT(G155:H155)=0,"",IF(COUNT(G155:H155)=1,SUM(G155:H155),ROUND(G155*Settings!$B$8+H155*(1-Settings!$B$8),1)))</f>
        <v/>
      </c>
      <c r="J155" s="85" t="str">
        <f aca="false">IF(I155="","",IF(I155&gt;=Settings!$E$11,Settings!$F$11,IF(I155&gt;=Settings!$E$12,Settings!$F$12,IF(I155&gt;=Settings!$E$13,Settings!$F$13,IF(I155&gt;=Settings!$E$14,Settings!$F$14,Settings!$F$15)))))</f>
        <v/>
      </c>
      <c r="K155" s="85" t="str">
        <f aca="false">IF(I155="","",IF(I155&gt;=Settings!$E$11,Settings!$G$11,IF(I155&gt;=Settings!$E$12,Settings!$G$12,IF(I155&gt;=Settings!$E$13,Settings!$G$13,IF(I155&gt;=Settings!$E$14,Settings!$G$14,Settings!$G$15)))))</f>
        <v/>
      </c>
    </row>
    <row r="156" customFormat="false" ht="19.5" hidden="false" customHeight="true" outlineLevel="0" collapsed="false">
      <c r="A156" s="52"/>
      <c r="B156" s="89" t="str">
        <f aca="false">IF(A156="","",IFERROR(INDEX(Students!$B$5:$B$304,MATCH(A156,Students!$A$5:$A$304,0)),"ID not found"))</f>
        <v/>
      </c>
      <c r="C156" s="85" t="str">
        <f aca="false">IF(A156="","",IFERROR(INDEX(Students!$E$5:$E$304,MATCH(A156,Students!$A$5:$A$304,0)),""))</f>
        <v/>
      </c>
      <c r="D156" s="85" t="str">
        <f aca="false">IF(A156="","",IFERROR(INDEX(Students!$F$5:$F$304,MATCH(A156,Students!$A$5:$A$304,0)),""))</f>
        <v/>
      </c>
      <c r="E156" s="86"/>
      <c r="F156" s="52"/>
      <c r="G156" s="52"/>
      <c r="H156" s="52"/>
      <c r="I156" s="93" t="str">
        <f aca="false">IF(COUNT(G156:H156)=0,"",IF(COUNT(G156:H156)=1,SUM(G156:H156),ROUND(G156*Settings!$B$8+H156*(1-Settings!$B$8),1)))</f>
        <v/>
      </c>
      <c r="J156" s="85" t="str">
        <f aca="false">IF(I156="","",IF(I156&gt;=Settings!$E$11,Settings!$F$11,IF(I156&gt;=Settings!$E$12,Settings!$F$12,IF(I156&gt;=Settings!$E$13,Settings!$F$13,IF(I156&gt;=Settings!$E$14,Settings!$F$14,Settings!$F$15)))))</f>
        <v/>
      </c>
      <c r="K156" s="85" t="str">
        <f aca="false">IF(I156="","",IF(I156&gt;=Settings!$E$11,Settings!$G$11,IF(I156&gt;=Settings!$E$12,Settings!$G$12,IF(I156&gt;=Settings!$E$13,Settings!$G$13,IF(I156&gt;=Settings!$E$14,Settings!$G$14,Settings!$G$15)))))</f>
        <v/>
      </c>
    </row>
    <row r="157" customFormat="false" ht="19.5" hidden="false" customHeight="true" outlineLevel="0" collapsed="false">
      <c r="A157" s="52"/>
      <c r="B157" s="89" t="str">
        <f aca="false">IF(A157="","",IFERROR(INDEX(Students!$B$5:$B$304,MATCH(A157,Students!$A$5:$A$304,0)),"ID not found"))</f>
        <v/>
      </c>
      <c r="C157" s="85" t="str">
        <f aca="false">IF(A157="","",IFERROR(INDEX(Students!$E$5:$E$304,MATCH(A157,Students!$A$5:$A$304,0)),""))</f>
        <v/>
      </c>
      <c r="D157" s="85" t="str">
        <f aca="false">IF(A157="","",IFERROR(INDEX(Students!$F$5:$F$304,MATCH(A157,Students!$A$5:$A$304,0)),""))</f>
        <v/>
      </c>
      <c r="E157" s="86"/>
      <c r="F157" s="52"/>
      <c r="G157" s="52"/>
      <c r="H157" s="52"/>
      <c r="I157" s="93" t="str">
        <f aca="false">IF(COUNT(G157:H157)=0,"",IF(COUNT(G157:H157)=1,SUM(G157:H157),ROUND(G157*Settings!$B$8+H157*(1-Settings!$B$8),1)))</f>
        <v/>
      </c>
      <c r="J157" s="85" t="str">
        <f aca="false">IF(I157="","",IF(I157&gt;=Settings!$E$11,Settings!$F$11,IF(I157&gt;=Settings!$E$12,Settings!$F$12,IF(I157&gt;=Settings!$E$13,Settings!$F$13,IF(I157&gt;=Settings!$E$14,Settings!$F$14,Settings!$F$15)))))</f>
        <v/>
      </c>
      <c r="K157" s="85" t="str">
        <f aca="false">IF(I157="","",IF(I157&gt;=Settings!$E$11,Settings!$G$11,IF(I157&gt;=Settings!$E$12,Settings!$G$12,IF(I157&gt;=Settings!$E$13,Settings!$G$13,IF(I157&gt;=Settings!$E$14,Settings!$G$14,Settings!$G$15)))))</f>
        <v/>
      </c>
    </row>
    <row r="158" customFormat="false" ht="19.5" hidden="false" customHeight="true" outlineLevel="0" collapsed="false">
      <c r="A158" s="52"/>
      <c r="B158" s="89" t="str">
        <f aca="false">IF(A158="","",IFERROR(INDEX(Students!$B$5:$B$304,MATCH(A158,Students!$A$5:$A$304,0)),"ID not found"))</f>
        <v/>
      </c>
      <c r="C158" s="85" t="str">
        <f aca="false">IF(A158="","",IFERROR(INDEX(Students!$E$5:$E$304,MATCH(A158,Students!$A$5:$A$304,0)),""))</f>
        <v/>
      </c>
      <c r="D158" s="85" t="str">
        <f aca="false">IF(A158="","",IFERROR(INDEX(Students!$F$5:$F$304,MATCH(A158,Students!$A$5:$A$304,0)),""))</f>
        <v/>
      </c>
      <c r="E158" s="86"/>
      <c r="F158" s="52"/>
      <c r="G158" s="52"/>
      <c r="H158" s="52"/>
      <c r="I158" s="93" t="str">
        <f aca="false">IF(COUNT(G158:H158)=0,"",IF(COUNT(G158:H158)=1,SUM(G158:H158),ROUND(G158*Settings!$B$8+H158*(1-Settings!$B$8),1)))</f>
        <v/>
      </c>
      <c r="J158" s="85" t="str">
        <f aca="false">IF(I158="","",IF(I158&gt;=Settings!$E$11,Settings!$F$11,IF(I158&gt;=Settings!$E$12,Settings!$F$12,IF(I158&gt;=Settings!$E$13,Settings!$F$13,IF(I158&gt;=Settings!$E$14,Settings!$F$14,Settings!$F$15)))))</f>
        <v/>
      </c>
      <c r="K158" s="85" t="str">
        <f aca="false">IF(I158="","",IF(I158&gt;=Settings!$E$11,Settings!$G$11,IF(I158&gt;=Settings!$E$12,Settings!$G$12,IF(I158&gt;=Settings!$E$13,Settings!$G$13,IF(I158&gt;=Settings!$E$14,Settings!$G$14,Settings!$G$15)))))</f>
        <v/>
      </c>
    </row>
    <row r="159" customFormat="false" ht="19.5" hidden="false" customHeight="true" outlineLevel="0" collapsed="false">
      <c r="A159" s="52"/>
      <c r="B159" s="89" t="str">
        <f aca="false">IF(A159="","",IFERROR(INDEX(Students!$B$5:$B$304,MATCH(A159,Students!$A$5:$A$304,0)),"ID not found"))</f>
        <v/>
      </c>
      <c r="C159" s="85" t="str">
        <f aca="false">IF(A159="","",IFERROR(INDEX(Students!$E$5:$E$304,MATCH(A159,Students!$A$5:$A$304,0)),""))</f>
        <v/>
      </c>
      <c r="D159" s="85" t="str">
        <f aca="false">IF(A159="","",IFERROR(INDEX(Students!$F$5:$F$304,MATCH(A159,Students!$A$5:$A$304,0)),""))</f>
        <v/>
      </c>
      <c r="E159" s="86"/>
      <c r="F159" s="52"/>
      <c r="G159" s="52"/>
      <c r="H159" s="52"/>
      <c r="I159" s="93" t="str">
        <f aca="false">IF(COUNT(G159:H159)=0,"",IF(COUNT(G159:H159)=1,SUM(G159:H159),ROUND(G159*Settings!$B$8+H159*(1-Settings!$B$8),1)))</f>
        <v/>
      </c>
      <c r="J159" s="85" t="str">
        <f aca="false">IF(I159="","",IF(I159&gt;=Settings!$E$11,Settings!$F$11,IF(I159&gt;=Settings!$E$12,Settings!$F$12,IF(I159&gt;=Settings!$E$13,Settings!$F$13,IF(I159&gt;=Settings!$E$14,Settings!$F$14,Settings!$F$15)))))</f>
        <v/>
      </c>
      <c r="K159" s="85" t="str">
        <f aca="false">IF(I159="","",IF(I159&gt;=Settings!$E$11,Settings!$G$11,IF(I159&gt;=Settings!$E$12,Settings!$G$12,IF(I159&gt;=Settings!$E$13,Settings!$G$13,IF(I159&gt;=Settings!$E$14,Settings!$G$14,Settings!$G$15)))))</f>
        <v/>
      </c>
    </row>
    <row r="160" customFormat="false" ht="19.5" hidden="false" customHeight="true" outlineLevel="0" collapsed="false">
      <c r="A160" s="52"/>
      <c r="B160" s="89" t="str">
        <f aca="false">IF(A160="","",IFERROR(INDEX(Students!$B$5:$B$304,MATCH(A160,Students!$A$5:$A$304,0)),"ID not found"))</f>
        <v/>
      </c>
      <c r="C160" s="85" t="str">
        <f aca="false">IF(A160="","",IFERROR(INDEX(Students!$E$5:$E$304,MATCH(A160,Students!$A$5:$A$304,0)),""))</f>
        <v/>
      </c>
      <c r="D160" s="85" t="str">
        <f aca="false">IF(A160="","",IFERROR(INDEX(Students!$F$5:$F$304,MATCH(A160,Students!$A$5:$A$304,0)),""))</f>
        <v/>
      </c>
      <c r="E160" s="86"/>
      <c r="F160" s="52"/>
      <c r="G160" s="52"/>
      <c r="H160" s="52"/>
      <c r="I160" s="93" t="str">
        <f aca="false">IF(COUNT(G160:H160)=0,"",IF(COUNT(G160:H160)=1,SUM(G160:H160),ROUND(G160*Settings!$B$8+H160*(1-Settings!$B$8),1)))</f>
        <v/>
      </c>
      <c r="J160" s="85" t="str">
        <f aca="false">IF(I160="","",IF(I160&gt;=Settings!$E$11,Settings!$F$11,IF(I160&gt;=Settings!$E$12,Settings!$F$12,IF(I160&gt;=Settings!$E$13,Settings!$F$13,IF(I160&gt;=Settings!$E$14,Settings!$F$14,Settings!$F$15)))))</f>
        <v/>
      </c>
      <c r="K160" s="85" t="str">
        <f aca="false">IF(I160="","",IF(I160&gt;=Settings!$E$11,Settings!$G$11,IF(I160&gt;=Settings!$E$12,Settings!$G$12,IF(I160&gt;=Settings!$E$13,Settings!$G$13,IF(I160&gt;=Settings!$E$14,Settings!$G$14,Settings!$G$15)))))</f>
        <v/>
      </c>
    </row>
    <row r="161" customFormat="false" ht="19.5" hidden="false" customHeight="true" outlineLevel="0" collapsed="false">
      <c r="A161" s="52"/>
      <c r="B161" s="89" t="str">
        <f aca="false">IF(A161="","",IFERROR(INDEX(Students!$B$5:$B$304,MATCH(A161,Students!$A$5:$A$304,0)),"ID not found"))</f>
        <v/>
      </c>
      <c r="C161" s="85" t="str">
        <f aca="false">IF(A161="","",IFERROR(INDEX(Students!$E$5:$E$304,MATCH(A161,Students!$A$5:$A$304,0)),""))</f>
        <v/>
      </c>
      <c r="D161" s="85" t="str">
        <f aca="false">IF(A161="","",IFERROR(INDEX(Students!$F$5:$F$304,MATCH(A161,Students!$A$5:$A$304,0)),""))</f>
        <v/>
      </c>
      <c r="E161" s="86"/>
      <c r="F161" s="52"/>
      <c r="G161" s="52"/>
      <c r="H161" s="52"/>
      <c r="I161" s="93" t="str">
        <f aca="false">IF(COUNT(G161:H161)=0,"",IF(COUNT(G161:H161)=1,SUM(G161:H161),ROUND(G161*Settings!$B$8+H161*(1-Settings!$B$8),1)))</f>
        <v/>
      </c>
      <c r="J161" s="85" t="str">
        <f aca="false">IF(I161="","",IF(I161&gt;=Settings!$E$11,Settings!$F$11,IF(I161&gt;=Settings!$E$12,Settings!$F$12,IF(I161&gt;=Settings!$E$13,Settings!$F$13,IF(I161&gt;=Settings!$E$14,Settings!$F$14,Settings!$F$15)))))</f>
        <v/>
      </c>
      <c r="K161" s="85" t="str">
        <f aca="false">IF(I161="","",IF(I161&gt;=Settings!$E$11,Settings!$G$11,IF(I161&gt;=Settings!$E$12,Settings!$G$12,IF(I161&gt;=Settings!$E$13,Settings!$G$13,IF(I161&gt;=Settings!$E$14,Settings!$G$14,Settings!$G$15)))))</f>
        <v/>
      </c>
    </row>
    <row r="162" customFormat="false" ht="19.5" hidden="false" customHeight="true" outlineLevel="0" collapsed="false">
      <c r="A162" s="52"/>
      <c r="B162" s="89" t="str">
        <f aca="false">IF(A162="","",IFERROR(INDEX(Students!$B$5:$B$304,MATCH(A162,Students!$A$5:$A$304,0)),"ID not found"))</f>
        <v/>
      </c>
      <c r="C162" s="85" t="str">
        <f aca="false">IF(A162="","",IFERROR(INDEX(Students!$E$5:$E$304,MATCH(A162,Students!$A$5:$A$304,0)),""))</f>
        <v/>
      </c>
      <c r="D162" s="85" t="str">
        <f aca="false">IF(A162="","",IFERROR(INDEX(Students!$F$5:$F$304,MATCH(A162,Students!$A$5:$A$304,0)),""))</f>
        <v/>
      </c>
      <c r="E162" s="86"/>
      <c r="F162" s="52"/>
      <c r="G162" s="52"/>
      <c r="H162" s="52"/>
      <c r="I162" s="93" t="str">
        <f aca="false">IF(COUNT(G162:H162)=0,"",IF(COUNT(G162:H162)=1,SUM(G162:H162),ROUND(G162*Settings!$B$8+H162*(1-Settings!$B$8),1)))</f>
        <v/>
      </c>
      <c r="J162" s="85" t="str">
        <f aca="false">IF(I162="","",IF(I162&gt;=Settings!$E$11,Settings!$F$11,IF(I162&gt;=Settings!$E$12,Settings!$F$12,IF(I162&gt;=Settings!$E$13,Settings!$F$13,IF(I162&gt;=Settings!$E$14,Settings!$F$14,Settings!$F$15)))))</f>
        <v/>
      </c>
      <c r="K162" s="85" t="str">
        <f aca="false">IF(I162="","",IF(I162&gt;=Settings!$E$11,Settings!$G$11,IF(I162&gt;=Settings!$E$12,Settings!$G$12,IF(I162&gt;=Settings!$E$13,Settings!$G$13,IF(I162&gt;=Settings!$E$14,Settings!$G$14,Settings!$G$15)))))</f>
        <v/>
      </c>
    </row>
    <row r="163" customFormat="false" ht="19.5" hidden="false" customHeight="true" outlineLevel="0" collapsed="false">
      <c r="A163" s="52"/>
      <c r="B163" s="89" t="str">
        <f aca="false">IF(A163="","",IFERROR(INDEX(Students!$B$5:$B$304,MATCH(A163,Students!$A$5:$A$304,0)),"ID not found"))</f>
        <v/>
      </c>
      <c r="C163" s="85" t="str">
        <f aca="false">IF(A163="","",IFERROR(INDEX(Students!$E$5:$E$304,MATCH(A163,Students!$A$5:$A$304,0)),""))</f>
        <v/>
      </c>
      <c r="D163" s="85" t="str">
        <f aca="false">IF(A163="","",IFERROR(INDEX(Students!$F$5:$F$304,MATCH(A163,Students!$A$5:$A$304,0)),""))</f>
        <v/>
      </c>
      <c r="E163" s="86"/>
      <c r="F163" s="52"/>
      <c r="G163" s="52"/>
      <c r="H163" s="52"/>
      <c r="I163" s="93" t="str">
        <f aca="false">IF(COUNT(G163:H163)=0,"",IF(COUNT(G163:H163)=1,SUM(G163:H163),ROUND(G163*Settings!$B$8+H163*(1-Settings!$B$8),1)))</f>
        <v/>
      </c>
      <c r="J163" s="85" t="str">
        <f aca="false">IF(I163="","",IF(I163&gt;=Settings!$E$11,Settings!$F$11,IF(I163&gt;=Settings!$E$12,Settings!$F$12,IF(I163&gt;=Settings!$E$13,Settings!$F$13,IF(I163&gt;=Settings!$E$14,Settings!$F$14,Settings!$F$15)))))</f>
        <v/>
      </c>
      <c r="K163" s="85" t="str">
        <f aca="false">IF(I163="","",IF(I163&gt;=Settings!$E$11,Settings!$G$11,IF(I163&gt;=Settings!$E$12,Settings!$G$12,IF(I163&gt;=Settings!$E$13,Settings!$G$13,IF(I163&gt;=Settings!$E$14,Settings!$G$14,Settings!$G$15)))))</f>
        <v/>
      </c>
    </row>
    <row r="164" customFormat="false" ht="19.5" hidden="false" customHeight="true" outlineLevel="0" collapsed="false">
      <c r="A164" s="52"/>
      <c r="B164" s="89" t="str">
        <f aca="false">IF(A164="","",IFERROR(INDEX(Students!$B$5:$B$304,MATCH(A164,Students!$A$5:$A$304,0)),"ID not found"))</f>
        <v/>
      </c>
      <c r="C164" s="85" t="str">
        <f aca="false">IF(A164="","",IFERROR(INDEX(Students!$E$5:$E$304,MATCH(A164,Students!$A$5:$A$304,0)),""))</f>
        <v/>
      </c>
      <c r="D164" s="85" t="str">
        <f aca="false">IF(A164="","",IFERROR(INDEX(Students!$F$5:$F$304,MATCH(A164,Students!$A$5:$A$304,0)),""))</f>
        <v/>
      </c>
      <c r="E164" s="86"/>
      <c r="F164" s="52"/>
      <c r="G164" s="52"/>
      <c r="H164" s="52"/>
      <c r="I164" s="93" t="str">
        <f aca="false">IF(COUNT(G164:H164)=0,"",IF(COUNT(G164:H164)=1,SUM(G164:H164),ROUND(G164*Settings!$B$8+H164*(1-Settings!$B$8),1)))</f>
        <v/>
      </c>
      <c r="J164" s="85" t="str">
        <f aca="false">IF(I164="","",IF(I164&gt;=Settings!$E$11,Settings!$F$11,IF(I164&gt;=Settings!$E$12,Settings!$F$12,IF(I164&gt;=Settings!$E$13,Settings!$F$13,IF(I164&gt;=Settings!$E$14,Settings!$F$14,Settings!$F$15)))))</f>
        <v/>
      </c>
      <c r="K164" s="85" t="str">
        <f aca="false">IF(I164="","",IF(I164&gt;=Settings!$E$11,Settings!$G$11,IF(I164&gt;=Settings!$E$12,Settings!$G$12,IF(I164&gt;=Settings!$E$13,Settings!$G$13,IF(I164&gt;=Settings!$E$14,Settings!$G$14,Settings!$G$15)))))</f>
        <v/>
      </c>
    </row>
    <row r="165" customFormat="false" ht="19.5" hidden="false" customHeight="true" outlineLevel="0" collapsed="false">
      <c r="A165" s="52"/>
      <c r="B165" s="89" t="str">
        <f aca="false">IF(A165="","",IFERROR(INDEX(Students!$B$5:$B$304,MATCH(A165,Students!$A$5:$A$304,0)),"ID not found"))</f>
        <v/>
      </c>
      <c r="C165" s="85" t="str">
        <f aca="false">IF(A165="","",IFERROR(INDEX(Students!$E$5:$E$304,MATCH(A165,Students!$A$5:$A$304,0)),""))</f>
        <v/>
      </c>
      <c r="D165" s="85" t="str">
        <f aca="false">IF(A165="","",IFERROR(INDEX(Students!$F$5:$F$304,MATCH(A165,Students!$A$5:$A$304,0)),""))</f>
        <v/>
      </c>
      <c r="E165" s="86"/>
      <c r="F165" s="52"/>
      <c r="G165" s="52"/>
      <c r="H165" s="52"/>
      <c r="I165" s="93" t="str">
        <f aca="false">IF(COUNT(G165:H165)=0,"",IF(COUNT(G165:H165)=1,SUM(G165:H165),ROUND(G165*Settings!$B$8+H165*(1-Settings!$B$8),1)))</f>
        <v/>
      </c>
      <c r="J165" s="85" t="str">
        <f aca="false">IF(I165="","",IF(I165&gt;=Settings!$E$11,Settings!$F$11,IF(I165&gt;=Settings!$E$12,Settings!$F$12,IF(I165&gt;=Settings!$E$13,Settings!$F$13,IF(I165&gt;=Settings!$E$14,Settings!$F$14,Settings!$F$15)))))</f>
        <v/>
      </c>
      <c r="K165" s="85" t="str">
        <f aca="false">IF(I165="","",IF(I165&gt;=Settings!$E$11,Settings!$G$11,IF(I165&gt;=Settings!$E$12,Settings!$G$12,IF(I165&gt;=Settings!$E$13,Settings!$G$13,IF(I165&gt;=Settings!$E$14,Settings!$G$14,Settings!$G$15)))))</f>
        <v/>
      </c>
    </row>
    <row r="166" customFormat="false" ht="19.5" hidden="false" customHeight="true" outlineLevel="0" collapsed="false">
      <c r="A166" s="52"/>
      <c r="B166" s="89" t="str">
        <f aca="false">IF(A166="","",IFERROR(INDEX(Students!$B$5:$B$304,MATCH(A166,Students!$A$5:$A$304,0)),"ID not found"))</f>
        <v/>
      </c>
      <c r="C166" s="85" t="str">
        <f aca="false">IF(A166="","",IFERROR(INDEX(Students!$E$5:$E$304,MATCH(A166,Students!$A$5:$A$304,0)),""))</f>
        <v/>
      </c>
      <c r="D166" s="85" t="str">
        <f aca="false">IF(A166="","",IFERROR(INDEX(Students!$F$5:$F$304,MATCH(A166,Students!$A$5:$A$304,0)),""))</f>
        <v/>
      </c>
      <c r="E166" s="86"/>
      <c r="F166" s="52"/>
      <c r="G166" s="52"/>
      <c r="H166" s="52"/>
      <c r="I166" s="93" t="str">
        <f aca="false">IF(COUNT(G166:H166)=0,"",IF(COUNT(G166:H166)=1,SUM(G166:H166),ROUND(G166*Settings!$B$8+H166*(1-Settings!$B$8),1)))</f>
        <v/>
      </c>
      <c r="J166" s="85" t="str">
        <f aca="false">IF(I166="","",IF(I166&gt;=Settings!$E$11,Settings!$F$11,IF(I166&gt;=Settings!$E$12,Settings!$F$12,IF(I166&gt;=Settings!$E$13,Settings!$F$13,IF(I166&gt;=Settings!$E$14,Settings!$F$14,Settings!$F$15)))))</f>
        <v/>
      </c>
      <c r="K166" s="85" t="str">
        <f aca="false">IF(I166="","",IF(I166&gt;=Settings!$E$11,Settings!$G$11,IF(I166&gt;=Settings!$E$12,Settings!$G$12,IF(I166&gt;=Settings!$E$13,Settings!$G$13,IF(I166&gt;=Settings!$E$14,Settings!$G$14,Settings!$G$15)))))</f>
        <v/>
      </c>
    </row>
    <row r="167" customFormat="false" ht="19.5" hidden="false" customHeight="true" outlineLevel="0" collapsed="false">
      <c r="A167" s="52"/>
      <c r="B167" s="89" t="str">
        <f aca="false">IF(A167="","",IFERROR(INDEX(Students!$B$5:$B$304,MATCH(A167,Students!$A$5:$A$304,0)),"ID not found"))</f>
        <v/>
      </c>
      <c r="C167" s="85" t="str">
        <f aca="false">IF(A167="","",IFERROR(INDEX(Students!$E$5:$E$304,MATCH(A167,Students!$A$5:$A$304,0)),""))</f>
        <v/>
      </c>
      <c r="D167" s="85" t="str">
        <f aca="false">IF(A167="","",IFERROR(INDEX(Students!$F$5:$F$304,MATCH(A167,Students!$A$5:$A$304,0)),""))</f>
        <v/>
      </c>
      <c r="E167" s="86"/>
      <c r="F167" s="52"/>
      <c r="G167" s="52"/>
      <c r="H167" s="52"/>
      <c r="I167" s="93" t="str">
        <f aca="false">IF(COUNT(G167:H167)=0,"",IF(COUNT(G167:H167)=1,SUM(G167:H167),ROUND(G167*Settings!$B$8+H167*(1-Settings!$B$8),1)))</f>
        <v/>
      </c>
      <c r="J167" s="85" t="str">
        <f aca="false">IF(I167="","",IF(I167&gt;=Settings!$E$11,Settings!$F$11,IF(I167&gt;=Settings!$E$12,Settings!$F$12,IF(I167&gt;=Settings!$E$13,Settings!$F$13,IF(I167&gt;=Settings!$E$14,Settings!$F$14,Settings!$F$15)))))</f>
        <v/>
      </c>
      <c r="K167" s="85" t="str">
        <f aca="false">IF(I167="","",IF(I167&gt;=Settings!$E$11,Settings!$G$11,IF(I167&gt;=Settings!$E$12,Settings!$G$12,IF(I167&gt;=Settings!$E$13,Settings!$G$13,IF(I167&gt;=Settings!$E$14,Settings!$G$14,Settings!$G$15)))))</f>
        <v/>
      </c>
    </row>
    <row r="168" customFormat="false" ht="19.5" hidden="false" customHeight="true" outlineLevel="0" collapsed="false">
      <c r="A168" s="52"/>
      <c r="B168" s="89" t="str">
        <f aca="false">IF(A168="","",IFERROR(INDEX(Students!$B$5:$B$304,MATCH(A168,Students!$A$5:$A$304,0)),"ID not found"))</f>
        <v/>
      </c>
      <c r="C168" s="85" t="str">
        <f aca="false">IF(A168="","",IFERROR(INDEX(Students!$E$5:$E$304,MATCH(A168,Students!$A$5:$A$304,0)),""))</f>
        <v/>
      </c>
      <c r="D168" s="85" t="str">
        <f aca="false">IF(A168="","",IFERROR(INDEX(Students!$F$5:$F$304,MATCH(A168,Students!$A$5:$A$304,0)),""))</f>
        <v/>
      </c>
      <c r="E168" s="86"/>
      <c r="F168" s="52"/>
      <c r="G168" s="52"/>
      <c r="H168" s="52"/>
      <c r="I168" s="93" t="str">
        <f aca="false">IF(COUNT(G168:H168)=0,"",IF(COUNT(G168:H168)=1,SUM(G168:H168),ROUND(G168*Settings!$B$8+H168*(1-Settings!$B$8),1)))</f>
        <v/>
      </c>
      <c r="J168" s="85" t="str">
        <f aca="false">IF(I168="","",IF(I168&gt;=Settings!$E$11,Settings!$F$11,IF(I168&gt;=Settings!$E$12,Settings!$F$12,IF(I168&gt;=Settings!$E$13,Settings!$F$13,IF(I168&gt;=Settings!$E$14,Settings!$F$14,Settings!$F$15)))))</f>
        <v/>
      </c>
      <c r="K168" s="85" t="str">
        <f aca="false">IF(I168="","",IF(I168&gt;=Settings!$E$11,Settings!$G$11,IF(I168&gt;=Settings!$E$12,Settings!$G$12,IF(I168&gt;=Settings!$E$13,Settings!$G$13,IF(I168&gt;=Settings!$E$14,Settings!$G$14,Settings!$G$15)))))</f>
        <v/>
      </c>
    </row>
    <row r="169" customFormat="false" ht="19.5" hidden="false" customHeight="true" outlineLevel="0" collapsed="false">
      <c r="A169" s="52"/>
      <c r="B169" s="89" t="str">
        <f aca="false">IF(A169="","",IFERROR(INDEX(Students!$B$5:$B$304,MATCH(A169,Students!$A$5:$A$304,0)),"ID not found"))</f>
        <v/>
      </c>
      <c r="C169" s="85" t="str">
        <f aca="false">IF(A169="","",IFERROR(INDEX(Students!$E$5:$E$304,MATCH(A169,Students!$A$5:$A$304,0)),""))</f>
        <v/>
      </c>
      <c r="D169" s="85" t="str">
        <f aca="false">IF(A169="","",IFERROR(INDEX(Students!$F$5:$F$304,MATCH(A169,Students!$A$5:$A$304,0)),""))</f>
        <v/>
      </c>
      <c r="E169" s="86"/>
      <c r="F169" s="52"/>
      <c r="G169" s="52"/>
      <c r="H169" s="52"/>
      <c r="I169" s="93" t="str">
        <f aca="false">IF(COUNT(G169:H169)=0,"",IF(COUNT(G169:H169)=1,SUM(G169:H169),ROUND(G169*Settings!$B$8+H169*(1-Settings!$B$8),1)))</f>
        <v/>
      </c>
      <c r="J169" s="85" t="str">
        <f aca="false">IF(I169="","",IF(I169&gt;=Settings!$E$11,Settings!$F$11,IF(I169&gt;=Settings!$E$12,Settings!$F$12,IF(I169&gt;=Settings!$E$13,Settings!$F$13,IF(I169&gt;=Settings!$E$14,Settings!$F$14,Settings!$F$15)))))</f>
        <v/>
      </c>
      <c r="K169" s="85" t="str">
        <f aca="false">IF(I169="","",IF(I169&gt;=Settings!$E$11,Settings!$G$11,IF(I169&gt;=Settings!$E$12,Settings!$G$12,IF(I169&gt;=Settings!$E$13,Settings!$G$13,IF(I169&gt;=Settings!$E$14,Settings!$G$14,Settings!$G$15)))))</f>
        <v/>
      </c>
    </row>
    <row r="170" customFormat="false" ht="19.5" hidden="false" customHeight="true" outlineLevel="0" collapsed="false">
      <c r="A170" s="52"/>
      <c r="B170" s="89" t="str">
        <f aca="false">IF(A170="","",IFERROR(INDEX(Students!$B$5:$B$304,MATCH(A170,Students!$A$5:$A$304,0)),"ID not found"))</f>
        <v/>
      </c>
      <c r="C170" s="85" t="str">
        <f aca="false">IF(A170="","",IFERROR(INDEX(Students!$E$5:$E$304,MATCH(A170,Students!$A$5:$A$304,0)),""))</f>
        <v/>
      </c>
      <c r="D170" s="85" t="str">
        <f aca="false">IF(A170="","",IFERROR(INDEX(Students!$F$5:$F$304,MATCH(A170,Students!$A$5:$A$304,0)),""))</f>
        <v/>
      </c>
      <c r="E170" s="86"/>
      <c r="F170" s="52"/>
      <c r="G170" s="52"/>
      <c r="H170" s="52"/>
      <c r="I170" s="93" t="str">
        <f aca="false">IF(COUNT(G170:H170)=0,"",IF(COUNT(G170:H170)=1,SUM(G170:H170),ROUND(G170*Settings!$B$8+H170*(1-Settings!$B$8),1)))</f>
        <v/>
      </c>
      <c r="J170" s="85" t="str">
        <f aca="false">IF(I170="","",IF(I170&gt;=Settings!$E$11,Settings!$F$11,IF(I170&gt;=Settings!$E$12,Settings!$F$12,IF(I170&gt;=Settings!$E$13,Settings!$F$13,IF(I170&gt;=Settings!$E$14,Settings!$F$14,Settings!$F$15)))))</f>
        <v/>
      </c>
      <c r="K170" s="85" t="str">
        <f aca="false">IF(I170="","",IF(I170&gt;=Settings!$E$11,Settings!$G$11,IF(I170&gt;=Settings!$E$12,Settings!$G$12,IF(I170&gt;=Settings!$E$13,Settings!$G$13,IF(I170&gt;=Settings!$E$14,Settings!$G$14,Settings!$G$15)))))</f>
        <v/>
      </c>
    </row>
    <row r="171" customFormat="false" ht="19.5" hidden="false" customHeight="true" outlineLevel="0" collapsed="false">
      <c r="A171" s="52"/>
      <c r="B171" s="89" t="str">
        <f aca="false">IF(A171="","",IFERROR(INDEX(Students!$B$5:$B$304,MATCH(A171,Students!$A$5:$A$304,0)),"ID not found"))</f>
        <v/>
      </c>
      <c r="C171" s="85" t="str">
        <f aca="false">IF(A171="","",IFERROR(INDEX(Students!$E$5:$E$304,MATCH(A171,Students!$A$5:$A$304,0)),""))</f>
        <v/>
      </c>
      <c r="D171" s="85" t="str">
        <f aca="false">IF(A171="","",IFERROR(INDEX(Students!$F$5:$F$304,MATCH(A171,Students!$A$5:$A$304,0)),""))</f>
        <v/>
      </c>
      <c r="E171" s="86"/>
      <c r="F171" s="52"/>
      <c r="G171" s="52"/>
      <c r="H171" s="52"/>
      <c r="I171" s="93" t="str">
        <f aca="false">IF(COUNT(G171:H171)=0,"",IF(COUNT(G171:H171)=1,SUM(G171:H171),ROUND(G171*Settings!$B$8+H171*(1-Settings!$B$8),1)))</f>
        <v/>
      </c>
      <c r="J171" s="85" t="str">
        <f aca="false">IF(I171="","",IF(I171&gt;=Settings!$E$11,Settings!$F$11,IF(I171&gt;=Settings!$E$12,Settings!$F$12,IF(I171&gt;=Settings!$E$13,Settings!$F$13,IF(I171&gt;=Settings!$E$14,Settings!$F$14,Settings!$F$15)))))</f>
        <v/>
      </c>
      <c r="K171" s="85" t="str">
        <f aca="false">IF(I171="","",IF(I171&gt;=Settings!$E$11,Settings!$G$11,IF(I171&gt;=Settings!$E$12,Settings!$G$12,IF(I171&gt;=Settings!$E$13,Settings!$G$13,IF(I171&gt;=Settings!$E$14,Settings!$G$14,Settings!$G$15)))))</f>
        <v/>
      </c>
    </row>
    <row r="172" customFormat="false" ht="19.5" hidden="false" customHeight="true" outlineLevel="0" collapsed="false">
      <c r="A172" s="52"/>
      <c r="B172" s="89" t="str">
        <f aca="false">IF(A172="","",IFERROR(INDEX(Students!$B$5:$B$304,MATCH(A172,Students!$A$5:$A$304,0)),"ID not found"))</f>
        <v/>
      </c>
      <c r="C172" s="85" t="str">
        <f aca="false">IF(A172="","",IFERROR(INDEX(Students!$E$5:$E$304,MATCH(A172,Students!$A$5:$A$304,0)),""))</f>
        <v/>
      </c>
      <c r="D172" s="85" t="str">
        <f aca="false">IF(A172="","",IFERROR(INDEX(Students!$F$5:$F$304,MATCH(A172,Students!$A$5:$A$304,0)),""))</f>
        <v/>
      </c>
      <c r="E172" s="86"/>
      <c r="F172" s="52"/>
      <c r="G172" s="52"/>
      <c r="H172" s="52"/>
      <c r="I172" s="93" t="str">
        <f aca="false">IF(COUNT(G172:H172)=0,"",IF(COUNT(G172:H172)=1,SUM(G172:H172),ROUND(G172*Settings!$B$8+H172*(1-Settings!$B$8),1)))</f>
        <v/>
      </c>
      <c r="J172" s="85" t="str">
        <f aca="false">IF(I172="","",IF(I172&gt;=Settings!$E$11,Settings!$F$11,IF(I172&gt;=Settings!$E$12,Settings!$F$12,IF(I172&gt;=Settings!$E$13,Settings!$F$13,IF(I172&gt;=Settings!$E$14,Settings!$F$14,Settings!$F$15)))))</f>
        <v/>
      </c>
      <c r="K172" s="85" t="str">
        <f aca="false">IF(I172="","",IF(I172&gt;=Settings!$E$11,Settings!$G$11,IF(I172&gt;=Settings!$E$12,Settings!$G$12,IF(I172&gt;=Settings!$E$13,Settings!$G$13,IF(I172&gt;=Settings!$E$14,Settings!$G$14,Settings!$G$15)))))</f>
        <v/>
      </c>
    </row>
    <row r="173" customFormat="false" ht="19.5" hidden="false" customHeight="true" outlineLevel="0" collapsed="false">
      <c r="A173" s="52"/>
      <c r="B173" s="89" t="str">
        <f aca="false">IF(A173="","",IFERROR(INDEX(Students!$B$5:$B$304,MATCH(A173,Students!$A$5:$A$304,0)),"ID not found"))</f>
        <v/>
      </c>
      <c r="C173" s="85" t="str">
        <f aca="false">IF(A173="","",IFERROR(INDEX(Students!$E$5:$E$304,MATCH(A173,Students!$A$5:$A$304,0)),""))</f>
        <v/>
      </c>
      <c r="D173" s="85" t="str">
        <f aca="false">IF(A173="","",IFERROR(INDEX(Students!$F$5:$F$304,MATCH(A173,Students!$A$5:$A$304,0)),""))</f>
        <v/>
      </c>
      <c r="E173" s="86"/>
      <c r="F173" s="52"/>
      <c r="G173" s="52"/>
      <c r="H173" s="52"/>
      <c r="I173" s="93" t="str">
        <f aca="false">IF(COUNT(G173:H173)=0,"",IF(COUNT(G173:H173)=1,SUM(G173:H173),ROUND(G173*Settings!$B$8+H173*(1-Settings!$B$8),1)))</f>
        <v/>
      </c>
      <c r="J173" s="85" t="str">
        <f aca="false">IF(I173="","",IF(I173&gt;=Settings!$E$11,Settings!$F$11,IF(I173&gt;=Settings!$E$12,Settings!$F$12,IF(I173&gt;=Settings!$E$13,Settings!$F$13,IF(I173&gt;=Settings!$E$14,Settings!$F$14,Settings!$F$15)))))</f>
        <v/>
      </c>
      <c r="K173" s="85" t="str">
        <f aca="false">IF(I173="","",IF(I173&gt;=Settings!$E$11,Settings!$G$11,IF(I173&gt;=Settings!$E$12,Settings!$G$12,IF(I173&gt;=Settings!$E$13,Settings!$G$13,IF(I173&gt;=Settings!$E$14,Settings!$G$14,Settings!$G$15)))))</f>
        <v/>
      </c>
    </row>
    <row r="174" customFormat="false" ht="19.5" hidden="false" customHeight="true" outlineLevel="0" collapsed="false">
      <c r="A174" s="52"/>
      <c r="B174" s="89" t="str">
        <f aca="false">IF(A174="","",IFERROR(INDEX(Students!$B$5:$B$304,MATCH(A174,Students!$A$5:$A$304,0)),"ID not found"))</f>
        <v/>
      </c>
      <c r="C174" s="85" t="str">
        <f aca="false">IF(A174="","",IFERROR(INDEX(Students!$E$5:$E$304,MATCH(A174,Students!$A$5:$A$304,0)),""))</f>
        <v/>
      </c>
      <c r="D174" s="85" t="str">
        <f aca="false">IF(A174="","",IFERROR(INDEX(Students!$F$5:$F$304,MATCH(A174,Students!$A$5:$A$304,0)),""))</f>
        <v/>
      </c>
      <c r="E174" s="86"/>
      <c r="F174" s="52"/>
      <c r="G174" s="52"/>
      <c r="H174" s="52"/>
      <c r="I174" s="93" t="str">
        <f aca="false">IF(COUNT(G174:H174)=0,"",IF(COUNT(G174:H174)=1,SUM(G174:H174),ROUND(G174*Settings!$B$8+H174*(1-Settings!$B$8),1)))</f>
        <v/>
      </c>
      <c r="J174" s="85" t="str">
        <f aca="false">IF(I174="","",IF(I174&gt;=Settings!$E$11,Settings!$F$11,IF(I174&gt;=Settings!$E$12,Settings!$F$12,IF(I174&gt;=Settings!$E$13,Settings!$F$13,IF(I174&gt;=Settings!$E$14,Settings!$F$14,Settings!$F$15)))))</f>
        <v/>
      </c>
      <c r="K174" s="85" t="str">
        <f aca="false">IF(I174="","",IF(I174&gt;=Settings!$E$11,Settings!$G$11,IF(I174&gt;=Settings!$E$12,Settings!$G$12,IF(I174&gt;=Settings!$E$13,Settings!$G$13,IF(I174&gt;=Settings!$E$14,Settings!$G$14,Settings!$G$15)))))</f>
        <v/>
      </c>
    </row>
    <row r="175" customFormat="false" ht="19.5" hidden="false" customHeight="true" outlineLevel="0" collapsed="false">
      <c r="A175" s="52"/>
      <c r="B175" s="89" t="str">
        <f aca="false">IF(A175="","",IFERROR(INDEX(Students!$B$5:$B$304,MATCH(A175,Students!$A$5:$A$304,0)),"ID not found"))</f>
        <v/>
      </c>
      <c r="C175" s="85" t="str">
        <f aca="false">IF(A175="","",IFERROR(INDEX(Students!$E$5:$E$304,MATCH(A175,Students!$A$5:$A$304,0)),""))</f>
        <v/>
      </c>
      <c r="D175" s="85" t="str">
        <f aca="false">IF(A175="","",IFERROR(INDEX(Students!$F$5:$F$304,MATCH(A175,Students!$A$5:$A$304,0)),""))</f>
        <v/>
      </c>
      <c r="E175" s="86"/>
      <c r="F175" s="52"/>
      <c r="G175" s="52"/>
      <c r="H175" s="52"/>
      <c r="I175" s="93" t="str">
        <f aca="false">IF(COUNT(G175:H175)=0,"",IF(COUNT(G175:H175)=1,SUM(G175:H175),ROUND(G175*Settings!$B$8+H175*(1-Settings!$B$8),1)))</f>
        <v/>
      </c>
      <c r="J175" s="85" t="str">
        <f aca="false">IF(I175="","",IF(I175&gt;=Settings!$E$11,Settings!$F$11,IF(I175&gt;=Settings!$E$12,Settings!$F$12,IF(I175&gt;=Settings!$E$13,Settings!$F$13,IF(I175&gt;=Settings!$E$14,Settings!$F$14,Settings!$F$15)))))</f>
        <v/>
      </c>
      <c r="K175" s="85" t="str">
        <f aca="false">IF(I175="","",IF(I175&gt;=Settings!$E$11,Settings!$G$11,IF(I175&gt;=Settings!$E$12,Settings!$G$12,IF(I175&gt;=Settings!$E$13,Settings!$G$13,IF(I175&gt;=Settings!$E$14,Settings!$G$14,Settings!$G$15)))))</f>
        <v/>
      </c>
    </row>
    <row r="176" customFormat="false" ht="19.5" hidden="false" customHeight="true" outlineLevel="0" collapsed="false">
      <c r="A176" s="52"/>
      <c r="B176" s="89" t="str">
        <f aca="false">IF(A176="","",IFERROR(INDEX(Students!$B$5:$B$304,MATCH(A176,Students!$A$5:$A$304,0)),"ID not found"))</f>
        <v/>
      </c>
      <c r="C176" s="85" t="str">
        <f aca="false">IF(A176="","",IFERROR(INDEX(Students!$E$5:$E$304,MATCH(A176,Students!$A$5:$A$304,0)),""))</f>
        <v/>
      </c>
      <c r="D176" s="85" t="str">
        <f aca="false">IF(A176="","",IFERROR(INDEX(Students!$F$5:$F$304,MATCH(A176,Students!$A$5:$A$304,0)),""))</f>
        <v/>
      </c>
      <c r="E176" s="86"/>
      <c r="F176" s="52"/>
      <c r="G176" s="52"/>
      <c r="H176" s="52"/>
      <c r="I176" s="93" t="str">
        <f aca="false">IF(COUNT(G176:H176)=0,"",IF(COUNT(G176:H176)=1,SUM(G176:H176),ROUND(G176*Settings!$B$8+H176*(1-Settings!$B$8),1)))</f>
        <v/>
      </c>
      <c r="J176" s="85" t="str">
        <f aca="false">IF(I176="","",IF(I176&gt;=Settings!$E$11,Settings!$F$11,IF(I176&gt;=Settings!$E$12,Settings!$F$12,IF(I176&gt;=Settings!$E$13,Settings!$F$13,IF(I176&gt;=Settings!$E$14,Settings!$F$14,Settings!$F$15)))))</f>
        <v/>
      </c>
      <c r="K176" s="85" t="str">
        <f aca="false">IF(I176="","",IF(I176&gt;=Settings!$E$11,Settings!$G$11,IF(I176&gt;=Settings!$E$12,Settings!$G$12,IF(I176&gt;=Settings!$E$13,Settings!$G$13,IF(I176&gt;=Settings!$E$14,Settings!$G$14,Settings!$G$15)))))</f>
        <v/>
      </c>
    </row>
    <row r="177" customFormat="false" ht="19.5" hidden="false" customHeight="true" outlineLevel="0" collapsed="false">
      <c r="A177" s="52"/>
      <c r="B177" s="89" t="str">
        <f aca="false">IF(A177="","",IFERROR(INDEX(Students!$B$5:$B$304,MATCH(A177,Students!$A$5:$A$304,0)),"ID not found"))</f>
        <v/>
      </c>
      <c r="C177" s="85" t="str">
        <f aca="false">IF(A177="","",IFERROR(INDEX(Students!$E$5:$E$304,MATCH(A177,Students!$A$5:$A$304,0)),""))</f>
        <v/>
      </c>
      <c r="D177" s="85" t="str">
        <f aca="false">IF(A177="","",IFERROR(INDEX(Students!$F$5:$F$304,MATCH(A177,Students!$A$5:$A$304,0)),""))</f>
        <v/>
      </c>
      <c r="E177" s="86"/>
      <c r="F177" s="52"/>
      <c r="G177" s="52"/>
      <c r="H177" s="52"/>
      <c r="I177" s="93" t="str">
        <f aca="false">IF(COUNT(G177:H177)=0,"",IF(COUNT(G177:H177)=1,SUM(G177:H177),ROUND(G177*Settings!$B$8+H177*(1-Settings!$B$8),1)))</f>
        <v/>
      </c>
      <c r="J177" s="85" t="str">
        <f aca="false">IF(I177="","",IF(I177&gt;=Settings!$E$11,Settings!$F$11,IF(I177&gt;=Settings!$E$12,Settings!$F$12,IF(I177&gt;=Settings!$E$13,Settings!$F$13,IF(I177&gt;=Settings!$E$14,Settings!$F$14,Settings!$F$15)))))</f>
        <v/>
      </c>
      <c r="K177" s="85" t="str">
        <f aca="false">IF(I177="","",IF(I177&gt;=Settings!$E$11,Settings!$G$11,IF(I177&gt;=Settings!$E$12,Settings!$G$12,IF(I177&gt;=Settings!$E$13,Settings!$G$13,IF(I177&gt;=Settings!$E$14,Settings!$G$14,Settings!$G$15)))))</f>
        <v/>
      </c>
    </row>
    <row r="178" customFormat="false" ht="19.5" hidden="false" customHeight="true" outlineLevel="0" collapsed="false">
      <c r="A178" s="52"/>
      <c r="B178" s="89" t="str">
        <f aca="false">IF(A178="","",IFERROR(INDEX(Students!$B$5:$B$304,MATCH(A178,Students!$A$5:$A$304,0)),"ID not found"))</f>
        <v/>
      </c>
      <c r="C178" s="85" t="str">
        <f aca="false">IF(A178="","",IFERROR(INDEX(Students!$E$5:$E$304,MATCH(A178,Students!$A$5:$A$304,0)),""))</f>
        <v/>
      </c>
      <c r="D178" s="85" t="str">
        <f aca="false">IF(A178="","",IFERROR(INDEX(Students!$F$5:$F$304,MATCH(A178,Students!$A$5:$A$304,0)),""))</f>
        <v/>
      </c>
      <c r="E178" s="86"/>
      <c r="F178" s="52"/>
      <c r="G178" s="52"/>
      <c r="H178" s="52"/>
      <c r="I178" s="93" t="str">
        <f aca="false">IF(COUNT(G178:H178)=0,"",IF(COUNT(G178:H178)=1,SUM(G178:H178),ROUND(G178*Settings!$B$8+H178*(1-Settings!$B$8),1)))</f>
        <v/>
      </c>
      <c r="J178" s="85" t="str">
        <f aca="false">IF(I178="","",IF(I178&gt;=Settings!$E$11,Settings!$F$11,IF(I178&gt;=Settings!$E$12,Settings!$F$12,IF(I178&gt;=Settings!$E$13,Settings!$F$13,IF(I178&gt;=Settings!$E$14,Settings!$F$14,Settings!$F$15)))))</f>
        <v/>
      </c>
      <c r="K178" s="85" t="str">
        <f aca="false">IF(I178="","",IF(I178&gt;=Settings!$E$11,Settings!$G$11,IF(I178&gt;=Settings!$E$12,Settings!$G$12,IF(I178&gt;=Settings!$E$13,Settings!$G$13,IF(I178&gt;=Settings!$E$14,Settings!$G$14,Settings!$G$15)))))</f>
        <v/>
      </c>
    </row>
    <row r="179" customFormat="false" ht="19.5" hidden="false" customHeight="true" outlineLevel="0" collapsed="false">
      <c r="A179" s="52"/>
      <c r="B179" s="89" t="str">
        <f aca="false">IF(A179="","",IFERROR(INDEX(Students!$B$5:$B$304,MATCH(A179,Students!$A$5:$A$304,0)),"ID not found"))</f>
        <v/>
      </c>
      <c r="C179" s="85" t="str">
        <f aca="false">IF(A179="","",IFERROR(INDEX(Students!$E$5:$E$304,MATCH(A179,Students!$A$5:$A$304,0)),""))</f>
        <v/>
      </c>
      <c r="D179" s="85" t="str">
        <f aca="false">IF(A179="","",IFERROR(INDEX(Students!$F$5:$F$304,MATCH(A179,Students!$A$5:$A$304,0)),""))</f>
        <v/>
      </c>
      <c r="E179" s="86"/>
      <c r="F179" s="52"/>
      <c r="G179" s="52"/>
      <c r="H179" s="52"/>
      <c r="I179" s="93" t="str">
        <f aca="false">IF(COUNT(G179:H179)=0,"",IF(COUNT(G179:H179)=1,SUM(G179:H179),ROUND(G179*Settings!$B$8+H179*(1-Settings!$B$8),1)))</f>
        <v/>
      </c>
      <c r="J179" s="85" t="str">
        <f aca="false">IF(I179="","",IF(I179&gt;=Settings!$E$11,Settings!$F$11,IF(I179&gt;=Settings!$E$12,Settings!$F$12,IF(I179&gt;=Settings!$E$13,Settings!$F$13,IF(I179&gt;=Settings!$E$14,Settings!$F$14,Settings!$F$15)))))</f>
        <v/>
      </c>
      <c r="K179" s="85" t="str">
        <f aca="false">IF(I179="","",IF(I179&gt;=Settings!$E$11,Settings!$G$11,IF(I179&gt;=Settings!$E$12,Settings!$G$12,IF(I179&gt;=Settings!$E$13,Settings!$G$13,IF(I179&gt;=Settings!$E$14,Settings!$G$14,Settings!$G$15)))))</f>
        <v/>
      </c>
    </row>
    <row r="180" customFormat="false" ht="19.5" hidden="false" customHeight="true" outlineLevel="0" collapsed="false">
      <c r="A180" s="52"/>
      <c r="B180" s="89" t="str">
        <f aca="false">IF(A180="","",IFERROR(INDEX(Students!$B$5:$B$304,MATCH(A180,Students!$A$5:$A$304,0)),"ID not found"))</f>
        <v/>
      </c>
      <c r="C180" s="85" t="str">
        <f aca="false">IF(A180="","",IFERROR(INDEX(Students!$E$5:$E$304,MATCH(A180,Students!$A$5:$A$304,0)),""))</f>
        <v/>
      </c>
      <c r="D180" s="85" t="str">
        <f aca="false">IF(A180="","",IFERROR(INDEX(Students!$F$5:$F$304,MATCH(A180,Students!$A$5:$A$304,0)),""))</f>
        <v/>
      </c>
      <c r="E180" s="86"/>
      <c r="F180" s="52"/>
      <c r="G180" s="52"/>
      <c r="H180" s="52"/>
      <c r="I180" s="93" t="str">
        <f aca="false">IF(COUNT(G180:H180)=0,"",IF(COUNT(G180:H180)=1,SUM(G180:H180),ROUND(G180*Settings!$B$8+H180*(1-Settings!$B$8),1)))</f>
        <v/>
      </c>
      <c r="J180" s="85" t="str">
        <f aca="false">IF(I180="","",IF(I180&gt;=Settings!$E$11,Settings!$F$11,IF(I180&gt;=Settings!$E$12,Settings!$F$12,IF(I180&gt;=Settings!$E$13,Settings!$F$13,IF(I180&gt;=Settings!$E$14,Settings!$F$14,Settings!$F$15)))))</f>
        <v/>
      </c>
      <c r="K180" s="85" t="str">
        <f aca="false">IF(I180="","",IF(I180&gt;=Settings!$E$11,Settings!$G$11,IF(I180&gt;=Settings!$E$12,Settings!$G$12,IF(I180&gt;=Settings!$E$13,Settings!$G$13,IF(I180&gt;=Settings!$E$14,Settings!$G$14,Settings!$G$15)))))</f>
        <v/>
      </c>
    </row>
    <row r="181" customFormat="false" ht="19.5" hidden="false" customHeight="true" outlineLevel="0" collapsed="false">
      <c r="A181" s="52"/>
      <c r="B181" s="89" t="str">
        <f aca="false">IF(A181="","",IFERROR(INDEX(Students!$B$5:$B$304,MATCH(A181,Students!$A$5:$A$304,0)),"ID not found"))</f>
        <v/>
      </c>
      <c r="C181" s="85" t="str">
        <f aca="false">IF(A181="","",IFERROR(INDEX(Students!$E$5:$E$304,MATCH(A181,Students!$A$5:$A$304,0)),""))</f>
        <v/>
      </c>
      <c r="D181" s="85" t="str">
        <f aca="false">IF(A181="","",IFERROR(INDEX(Students!$F$5:$F$304,MATCH(A181,Students!$A$5:$A$304,0)),""))</f>
        <v/>
      </c>
      <c r="E181" s="86"/>
      <c r="F181" s="52"/>
      <c r="G181" s="52"/>
      <c r="H181" s="52"/>
      <c r="I181" s="93" t="str">
        <f aca="false">IF(COUNT(G181:H181)=0,"",IF(COUNT(G181:H181)=1,SUM(G181:H181),ROUND(G181*Settings!$B$8+H181*(1-Settings!$B$8),1)))</f>
        <v/>
      </c>
      <c r="J181" s="85" t="str">
        <f aca="false">IF(I181="","",IF(I181&gt;=Settings!$E$11,Settings!$F$11,IF(I181&gt;=Settings!$E$12,Settings!$F$12,IF(I181&gt;=Settings!$E$13,Settings!$F$13,IF(I181&gt;=Settings!$E$14,Settings!$F$14,Settings!$F$15)))))</f>
        <v/>
      </c>
      <c r="K181" s="85" t="str">
        <f aca="false">IF(I181="","",IF(I181&gt;=Settings!$E$11,Settings!$G$11,IF(I181&gt;=Settings!$E$12,Settings!$G$12,IF(I181&gt;=Settings!$E$13,Settings!$G$13,IF(I181&gt;=Settings!$E$14,Settings!$G$14,Settings!$G$15)))))</f>
        <v/>
      </c>
    </row>
    <row r="182" customFormat="false" ht="19.5" hidden="false" customHeight="true" outlineLevel="0" collapsed="false">
      <c r="A182" s="52"/>
      <c r="B182" s="89" t="str">
        <f aca="false">IF(A182="","",IFERROR(INDEX(Students!$B$5:$B$304,MATCH(A182,Students!$A$5:$A$304,0)),"ID not found"))</f>
        <v/>
      </c>
      <c r="C182" s="85" t="str">
        <f aca="false">IF(A182="","",IFERROR(INDEX(Students!$E$5:$E$304,MATCH(A182,Students!$A$5:$A$304,0)),""))</f>
        <v/>
      </c>
      <c r="D182" s="85" t="str">
        <f aca="false">IF(A182="","",IFERROR(INDEX(Students!$F$5:$F$304,MATCH(A182,Students!$A$5:$A$304,0)),""))</f>
        <v/>
      </c>
      <c r="E182" s="86"/>
      <c r="F182" s="52"/>
      <c r="G182" s="52"/>
      <c r="H182" s="52"/>
      <c r="I182" s="93" t="str">
        <f aca="false">IF(COUNT(G182:H182)=0,"",IF(COUNT(G182:H182)=1,SUM(G182:H182),ROUND(G182*Settings!$B$8+H182*(1-Settings!$B$8),1)))</f>
        <v/>
      </c>
      <c r="J182" s="85" t="str">
        <f aca="false">IF(I182="","",IF(I182&gt;=Settings!$E$11,Settings!$F$11,IF(I182&gt;=Settings!$E$12,Settings!$F$12,IF(I182&gt;=Settings!$E$13,Settings!$F$13,IF(I182&gt;=Settings!$E$14,Settings!$F$14,Settings!$F$15)))))</f>
        <v/>
      </c>
      <c r="K182" s="85" t="str">
        <f aca="false">IF(I182="","",IF(I182&gt;=Settings!$E$11,Settings!$G$11,IF(I182&gt;=Settings!$E$12,Settings!$G$12,IF(I182&gt;=Settings!$E$13,Settings!$G$13,IF(I182&gt;=Settings!$E$14,Settings!$G$14,Settings!$G$15)))))</f>
        <v/>
      </c>
    </row>
    <row r="183" customFormat="false" ht="19.5" hidden="false" customHeight="true" outlineLevel="0" collapsed="false">
      <c r="A183" s="52"/>
      <c r="B183" s="89" t="str">
        <f aca="false">IF(A183="","",IFERROR(INDEX(Students!$B$5:$B$304,MATCH(A183,Students!$A$5:$A$304,0)),"ID not found"))</f>
        <v/>
      </c>
      <c r="C183" s="85" t="str">
        <f aca="false">IF(A183="","",IFERROR(INDEX(Students!$E$5:$E$304,MATCH(A183,Students!$A$5:$A$304,0)),""))</f>
        <v/>
      </c>
      <c r="D183" s="85" t="str">
        <f aca="false">IF(A183="","",IFERROR(INDEX(Students!$F$5:$F$304,MATCH(A183,Students!$A$5:$A$304,0)),""))</f>
        <v/>
      </c>
      <c r="E183" s="86"/>
      <c r="F183" s="52"/>
      <c r="G183" s="52"/>
      <c r="H183" s="52"/>
      <c r="I183" s="93" t="str">
        <f aca="false">IF(COUNT(G183:H183)=0,"",IF(COUNT(G183:H183)=1,SUM(G183:H183),ROUND(G183*Settings!$B$8+H183*(1-Settings!$B$8),1)))</f>
        <v/>
      </c>
      <c r="J183" s="85" t="str">
        <f aca="false">IF(I183="","",IF(I183&gt;=Settings!$E$11,Settings!$F$11,IF(I183&gt;=Settings!$E$12,Settings!$F$12,IF(I183&gt;=Settings!$E$13,Settings!$F$13,IF(I183&gt;=Settings!$E$14,Settings!$F$14,Settings!$F$15)))))</f>
        <v/>
      </c>
      <c r="K183" s="85" t="str">
        <f aca="false">IF(I183="","",IF(I183&gt;=Settings!$E$11,Settings!$G$11,IF(I183&gt;=Settings!$E$12,Settings!$G$12,IF(I183&gt;=Settings!$E$13,Settings!$G$13,IF(I183&gt;=Settings!$E$14,Settings!$G$14,Settings!$G$15)))))</f>
        <v/>
      </c>
    </row>
    <row r="184" customFormat="false" ht="19.5" hidden="false" customHeight="true" outlineLevel="0" collapsed="false">
      <c r="A184" s="52"/>
      <c r="B184" s="89" t="str">
        <f aca="false">IF(A184="","",IFERROR(INDEX(Students!$B$5:$B$304,MATCH(A184,Students!$A$5:$A$304,0)),"ID not found"))</f>
        <v/>
      </c>
      <c r="C184" s="85" t="str">
        <f aca="false">IF(A184="","",IFERROR(INDEX(Students!$E$5:$E$304,MATCH(A184,Students!$A$5:$A$304,0)),""))</f>
        <v/>
      </c>
      <c r="D184" s="85" t="str">
        <f aca="false">IF(A184="","",IFERROR(INDEX(Students!$F$5:$F$304,MATCH(A184,Students!$A$5:$A$304,0)),""))</f>
        <v/>
      </c>
      <c r="E184" s="86"/>
      <c r="F184" s="52"/>
      <c r="G184" s="52"/>
      <c r="H184" s="52"/>
      <c r="I184" s="93" t="str">
        <f aca="false">IF(COUNT(G184:H184)=0,"",IF(COUNT(G184:H184)=1,SUM(G184:H184),ROUND(G184*Settings!$B$8+H184*(1-Settings!$B$8),1)))</f>
        <v/>
      </c>
      <c r="J184" s="85" t="str">
        <f aca="false">IF(I184="","",IF(I184&gt;=Settings!$E$11,Settings!$F$11,IF(I184&gt;=Settings!$E$12,Settings!$F$12,IF(I184&gt;=Settings!$E$13,Settings!$F$13,IF(I184&gt;=Settings!$E$14,Settings!$F$14,Settings!$F$15)))))</f>
        <v/>
      </c>
      <c r="K184" s="85" t="str">
        <f aca="false">IF(I184="","",IF(I184&gt;=Settings!$E$11,Settings!$G$11,IF(I184&gt;=Settings!$E$12,Settings!$G$12,IF(I184&gt;=Settings!$E$13,Settings!$G$13,IF(I184&gt;=Settings!$E$14,Settings!$G$14,Settings!$G$15)))))</f>
        <v/>
      </c>
    </row>
    <row r="185" customFormat="false" ht="19.5" hidden="false" customHeight="true" outlineLevel="0" collapsed="false">
      <c r="A185" s="52"/>
      <c r="B185" s="89" t="str">
        <f aca="false">IF(A185="","",IFERROR(INDEX(Students!$B$5:$B$304,MATCH(A185,Students!$A$5:$A$304,0)),"ID not found"))</f>
        <v/>
      </c>
      <c r="C185" s="85" t="str">
        <f aca="false">IF(A185="","",IFERROR(INDEX(Students!$E$5:$E$304,MATCH(A185,Students!$A$5:$A$304,0)),""))</f>
        <v/>
      </c>
      <c r="D185" s="85" t="str">
        <f aca="false">IF(A185="","",IFERROR(INDEX(Students!$F$5:$F$304,MATCH(A185,Students!$A$5:$A$304,0)),""))</f>
        <v/>
      </c>
      <c r="E185" s="86"/>
      <c r="F185" s="52"/>
      <c r="G185" s="52"/>
      <c r="H185" s="52"/>
      <c r="I185" s="93" t="str">
        <f aca="false">IF(COUNT(G185:H185)=0,"",IF(COUNT(G185:H185)=1,SUM(G185:H185),ROUND(G185*Settings!$B$8+H185*(1-Settings!$B$8),1)))</f>
        <v/>
      </c>
      <c r="J185" s="85" t="str">
        <f aca="false">IF(I185="","",IF(I185&gt;=Settings!$E$11,Settings!$F$11,IF(I185&gt;=Settings!$E$12,Settings!$F$12,IF(I185&gt;=Settings!$E$13,Settings!$F$13,IF(I185&gt;=Settings!$E$14,Settings!$F$14,Settings!$F$15)))))</f>
        <v/>
      </c>
      <c r="K185" s="85" t="str">
        <f aca="false">IF(I185="","",IF(I185&gt;=Settings!$E$11,Settings!$G$11,IF(I185&gt;=Settings!$E$12,Settings!$G$12,IF(I185&gt;=Settings!$E$13,Settings!$G$13,IF(I185&gt;=Settings!$E$14,Settings!$G$14,Settings!$G$15)))))</f>
        <v/>
      </c>
    </row>
    <row r="186" customFormat="false" ht="19.5" hidden="false" customHeight="true" outlineLevel="0" collapsed="false">
      <c r="A186" s="52"/>
      <c r="B186" s="89" t="str">
        <f aca="false">IF(A186="","",IFERROR(INDEX(Students!$B$5:$B$304,MATCH(A186,Students!$A$5:$A$304,0)),"ID not found"))</f>
        <v/>
      </c>
      <c r="C186" s="85" t="str">
        <f aca="false">IF(A186="","",IFERROR(INDEX(Students!$E$5:$E$304,MATCH(A186,Students!$A$5:$A$304,0)),""))</f>
        <v/>
      </c>
      <c r="D186" s="85" t="str">
        <f aca="false">IF(A186="","",IFERROR(INDEX(Students!$F$5:$F$304,MATCH(A186,Students!$A$5:$A$304,0)),""))</f>
        <v/>
      </c>
      <c r="E186" s="86"/>
      <c r="F186" s="52"/>
      <c r="G186" s="52"/>
      <c r="H186" s="52"/>
      <c r="I186" s="93" t="str">
        <f aca="false">IF(COUNT(G186:H186)=0,"",IF(COUNT(G186:H186)=1,SUM(G186:H186),ROUND(G186*Settings!$B$8+H186*(1-Settings!$B$8),1)))</f>
        <v/>
      </c>
      <c r="J186" s="85" t="str">
        <f aca="false">IF(I186="","",IF(I186&gt;=Settings!$E$11,Settings!$F$11,IF(I186&gt;=Settings!$E$12,Settings!$F$12,IF(I186&gt;=Settings!$E$13,Settings!$F$13,IF(I186&gt;=Settings!$E$14,Settings!$F$14,Settings!$F$15)))))</f>
        <v/>
      </c>
      <c r="K186" s="85" t="str">
        <f aca="false">IF(I186="","",IF(I186&gt;=Settings!$E$11,Settings!$G$11,IF(I186&gt;=Settings!$E$12,Settings!$G$12,IF(I186&gt;=Settings!$E$13,Settings!$G$13,IF(I186&gt;=Settings!$E$14,Settings!$G$14,Settings!$G$15)))))</f>
        <v/>
      </c>
    </row>
    <row r="187" customFormat="false" ht="19.5" hidden="false" customHeight="true" outlineLevel="0" collapsed="false">
      <c r="A187" s="52"/>
      <c r="B187" s="89" t="str">
        <f aca="false">IF(A187="","",IFERROR(INDEX(Students!$B$5:$B$304,MATCH(A187,Students!$A$5:$A$304,0)),"ID not found"))</f>
        <v/>
      </c>
      <c r="C187" s="85" t="str">
        <f aca="false">IF(A187="","",IFERROR(INDEX(Students!$E$5:$E$304,MATCH(A187,Students!$A$5:$A$304,0)),""))</f>
        <v/>
      </c>
      <c r="D187" s="85" t="str">
        <f aca="false">IF(A187="","",IFERROR(INDEX(Students!$F$5:$F$304,MATCH(A187,Students!$A$5:$A$304,0)),""))</f>
        <v/>
      </c>
      <c r="E187" s="86"/>
      <c r="F187" s="52"/>
      <c r="G187" s="52"/>
      <c r="H187" s="52"/>
      <c r="I187" s="93" t="str">
        <f aca="false">IF(COUNT(G187:H187)=0,"",IF(COUNT(G187:H187)=1,SUM(G187:H187),ROUND(G187*Settings!$B$8+H187*(1-Settings!$B$8),1)))</f>
        <v/>
      </c>
      <c r="J187" s="85" t="str">
        <f aca="false">IF(I187="","",IF(I187&gt;=Settings!$E$11,Settings!$F$11,IF(I187&gt;=Settings!$E$12,Settings!$F$12,IF(I187&gt;=Settings!$E$13,Settings!$F$13,IF(I187&gt;=Settings!$E$14,Settings!$F$14,Settings!$F$15)))))</f>
        <v/>
      </c>
      <c r="K187" s="85" t="str">
        <f aca="false">IF(I187="","",IF(I187&gt;=Settings!$E$11,Settings!$G$11,IF(I187&gt;=Settings!$E$12,Settings!$G$12,IF(I187&gt;=Settings!$E$13,Settings!$G$13,IF(I187&gt;=Settings!$E$14,Settings!$G$14,Settings!$G$15)))))</f>
        <v/>
      </c>
    </row>
    <row r="188" customFormat="false" ht="19.5" hidden="false" customHeight="true" outlineLevel="0" collapsed="false">
      <c r="A188" s="52"/>
      <c r="B188" s="89" t="str">
        <f aca="false">IF(A188="","",IFERROR(INDEX(Students!$B$5:$B$304,MATCH(A188,Students!$A$5:$A$304,0)),"ID not found"))</f>
        <v/>
      </c>
      <c r="C188" s="85" t="str">
        <f aca="false">IF(A188="","",IFERROR(INDEX(Students!$E$5:$E$304,MATCH(A188,Students!$A$5:$A$304,0)),""))</f>
        <v/>
      </c>
      <c r="D188" s="85" t="str">
        <f aca="false">IF(A188="","",IFERROR(INDEX(Students!$F$5:$F$304,MATCH(A188,Students!$A$5:$A$304,0)),""))</f>
        <v/>
      </c>
      <c r="E188" s="86"/>
      <c r="F188" s="52"/>
      <c r="G188" s="52"/>
      <c r="H188" s="52"/>
      <c r="I188" s="93" t="str">
        <f aca="false">IF(COUNT(G188:H188)=0,"",IF(COUNT(G188:H188)=1,SUM(G188:H188),ROUND(G188*Settings!$B$8+H188*(1-Settings!$B$8),1)))</f>
        <v/>
      </c>
      <c r="J188" s="85" t="str">
        <f aca="false">IF(I188="","",IF(I188&gt;=Settings!$E$11,Settings!$F$11,IF(I188&gt;=Settings!$E$12,Settings!$F$12,IF(I188&gt;=Settings!$E$13,Settings!$F$13,IF(I188&gt;=Settings!$E$14,Settings!$F$14,Settings!$F$15)))))</f>
        <v/>
      </c>
      <c r="K188" s="85" t="str">
        <f aca="false">IF(I188="","",IF(I188&gt;=Settings!$E$11,Settings!$G$11,IF(I188&gt;=Settings!$E$12,Settings!$G$12,IF(I188&gt;=Settings!$E$13,Settings!$G$13,IF(I188&gt;=Settings!$E$14,Settings!$G$14,Settings!$G$15)))))</f>
        <v/>
      </c>
    </row>
    <row r="189" customFormat="false" ht="19.5" hidden="false" customHeight="true" outlineLevel="0" collapsed="false">
      <c r="A189" s="52"/>
      <c r="B189" s="89" t="str">
        <f aca="false">IF(A189="","",IFERROR(INDEX(Students!$B$5:$B$304,MATCH(A189,Students!$A$5:$A$304,0)),"ID not found"))</f>
        <v/>
      </c>
      <c r="C189" s="85" t="str">
        <f aca="false">IF(A189="","",IFERROR(INDEX(Students!$E$5:$E$304,MATCH(A189,Students!$A$5:$A$304,0)),""))</f>
        <v/>
      </c>
      <c r="D189" s="85" t="str">
        <f aca="false">IF(A189="","",IFERROR(INDEX(Students!$F$5:$F$304,MATCH(A189,Students!$A$5:$A$304,0)),""))</f>
        <v/>
      </c>
      <c r="E189" s="86"/>
      <c r="F189" s="52"/>
      <c r="G189" s="52"/>
      <c r="H189" s="52"/>
      <c r="I189" s="93" t="str">
        <f aca="false">IF(COUNT(G189:H189)=0,"",IF(COUNT(G189:H189)=1,SUM(G189:H189),ROUND(G189*Settings!$B$8+H189*(1-Settings!$B$8),1)))</f>
        <v/>
      </c>
      <c r="J189" s="85" t="str">
        <f aca="false">IF(I189="","",IF(I189&gt;=Settings!$E$11,Settings!$F$11,IF(I189&gt;=Settings!$E$12,Settings!$F$12,IF(I189&gt;=Settings!$E$13,Settings!$F$13,IF(I189&gt;=Settings!$E$14,Settings!$F$14,Settings!$F$15)))))</f>
        <v/>
      </c>
      <c r="K189" s="85" t="str">
        <f aca="false">IF(I189="","",IF(I189&gt;=Settings!$E$11,Settings!$G$11,IF(I189&gt;=Settings!$E$12,Settings!$G$12,IF(I189&gt;=Settings!$E$13,Settings!$G$13,IF(I189&gt;=Settings!$E$14,Settings!$G$14,Settings!$G$15)))))</f>
        <v/>
      </c>
    </row>
    <row r="190" customFormat="false" ht="19.5" hidden="false" customHeight="true" outlineLevel="0" collapsed="false">
      <c r="A190" s="52"/>
      <c r="B190" s="89" t="str">
        <f aca="false">IF(A190="","",IFERROR(INDEX(Students!$B$5:$B$304,MATCH(A190,Students!$A$5:$A$304,0)),"ID not found"))</f>
        <v/>
      </c>
      <c r="C190" s="85" t="str">
        <f aca="false">IF(A190="","",IFERROR(INDEX(Students!$E$5:$E$304,MATCH(A190,Students!$A$5:$A$304,0)),""))</f>
        <v/>
      </c>
      <c r="D190" s="85" t="str">
        <f aca="false">IF(A190="","",IFERROR(INDEX(Students!$F$5:$F$304,MATCH(A190,Students!$A$5:$A$304,0)),""))</f>
        <v/>
      </c>
      <c r="E190" s="86"/>
      <c r="F190" s="52"/>
      <c r="G190" s="52"/>
      <c r="H190" s="52"/>
      <c r="I190" s="93" t="str">
        <f aca="false">IF(COUNT(G190:H190)=0,"",IF(COUNT(G190:H190)=1,SUM(G190:H190),ROUND(G190*Settings!$B$8+H190*(1-Settings!$B$8),1)))</f>
        <v/>
      </c>
      <c r="J190" s="85" t="str">
        <f aca="false">IF(I190="","",IF(I190&gt;=Settings!$E$11,Settings!$F$11,IF(I190&gt;=Settings!$E$12,Settings!$F$12,IF(I190&gt;=Settings!$E$13,Settings!$F$13,IF(I190&gt;=Settings!$E$14,Settings!$F$14,Settings!$F$15)))))</f>
        <v/>
      </c>
      <c r="K190" s="85" t="str">
        <f aca="false">IF(I190="","",IF(I190&gt;=Settings!$E$11,Settings!$G$11,IF(I190&gt;=Settings!$E$12,Settings!$G$12,IF(I190&gt;=Settings!$E$13,Settings!$G$13,IF(I190&gt;=Settings!$E$14,Settings!$G$14,Settings!$G$15)))))</f>
        <v/>
      </c>
    </row>
    <row r="191" customFormat="false" ht="19.5" hidden="false" customHeight="true" outlineLevel="0" collapsed="false">
      <c r="A191" s="52"/>
      <c r="B191" s="89" t="str">
        <f aca="false">IF(A191="","",IFERROR(INDEX(Students!$B$5:$B$304,MATCH(A191,Students!$A$5:$A$304,0)),"ID not found"))</f>
        <v/>
      </c>
      <c r="C191" s="85" t="str">
        <f aca="false">IF(A191="","",IFERROR(INDEX(Students!$E$5:$E$304,MATCH(A191,Students!$A$5:$A$304,0)),""))</f>
        <v/>
      </c>
      <c r="D191" s="85" t="str">
        <f aca="false">IF(A191="","",IFERROR(INDEX(Students!$F$5:$F$304,MATCH(A191,Students!$A$5:$A$304,0)),""))</f>
        <v/>
      </c>
      <c r="E191" s="86"/>
      <c r="F191" s="52"/>
      <c r="G191" s="52"/>
      <c r="H191" s="52"/>
      <c r="I191" s="93" t="str">
        <f aca="false">IF(COUNT(G191:H191)=0,"",IF(COUNT(G191:H191)=1,SUM(G191:H191),ROUND(G191*Settings!$B$8+H191*(1-Settings!$B$8),1)))</f>
        <v/>
      </c>
      <c r="J191" s="85" t="str">
        <f aca="false">IF(I191="","",IF(I191&gt;=Settings!$E$11,Settings!$F$11,IF(I191&gt;=Settings!$E$12,Settings!$F$12,IF(I191&gt;=Settings!$E$13,Settings!$F$13,IF(I191&gt;=Settings!$E$14,Settings!$F$14,Settings!$F$15)))))</f>
        <v/>
      </c>
      <c r="K191" s="85" t="str">
        <f aca="false">IF(I191="","",IF(I191&gt;=Settings!$E$11,Settings!$G$11,IF(I191&gt;=Settings!$E$12,Settings!$G$12,IF(I191&gt;=Settings!$E$13,Settings!$G$13,IF(I191&gt;=Settings!$E$14,Settings!$G$14,Settings!$G$15)))))</f>
        <v/>
      </c>
    </row>
    <row r="192" customFormat="false" ht="19.5" hidden="false" customHeight="true" outlineLevel="0" collapsed="false">
      <c r="A192" s="52"/>
      <c r="B192" s="89" t="str">
        <f aca="false">IF(A192="","",IFERROR(INDEX(Students!$B$5:$B$304,MATCH(A192,Students!$A$5:$A$304,0)),"ID not found"))</f>
        <v/>
      </c>
      <c r="C192" s="85" t="str">
        <f aca="false">IF(A192="","",IFERROR(INDEX(Students!$E$5:$E$304,MATCH(A192,Students!$A$5:$A$304,0)),""))</f>
        <v/>
      </c>
      <c r="D192" s="85" t="str">
        <f aca="false">IF(A192="","",IFERROR(INDEX(Students!$F$5:$F$304,MATCH(A192,Students!$A$5:$A$304,0)),""))</f>
        <v/>
      </c>
      <c r="E192" s="86"/>
      <c r="F192" s="52"/>
      <c r="G192" s="52"/>
      <c r="H192" s="52"/>
      <c r="I192" s="93" t="str">
        <f aca="false">IF(COUNT(G192:H192)=0,"",IF(COUNT(G192:H192)=1,SUM(G192:H192),ROUND(G192*Settings!$B$8+H192*(1-Settings!$B$8),1)))</f>
        <v/>
      </c>
      <c r="J192" s="85" t="str">
        <f aca="false">IF(I192="","",IF(I192&gt;=Settings!$E$11,Settings!$F$11,IF(I192&gt;=Settings!$E$12,Settings!$F$12,IF(I192&gt;=Settings!$E$13,Settings!$F$13,IF(I192&gt;=Settings!$E$14,Settings!$F$14,Settings!$F$15)))))</f>
        <v/>
      </c>
      <c r="K192" s="85" t="str">
        <f aca="false">IF(I192="","",IF(I192&gt;=Settings!$E$11,Settings!$G$11,IF(I192&gt;=Settings!$E$12,Settings!$G$12,IF(I192&gt;=Settings!$E$13,Settings!$G$13,IF(I192&gt;=Settings!$E$14,Settings!$G$14,Settings!$G$15)))))</f>
        <v/>
      </c>
    </row>
    <row r="193" customFormat="false" ht="19.5" hidden="false" customHeight="true" outlineLevel="0" collapsed="false">
      <c r="A193" s="52"/>
      <c r="B193" s="89" t="str">
        <f aca="false">IF(A193="","",IFERROR(INDEX(Students!$B$5:$B$304,MATCH(A193,Students!$A$5:$A$304,0)),"ID not found"))</f>
        <v/>
      </c>
      <c r="C193" s="85" t="str">
        <f aca="false">IF(A193="","",IFERROR(INDEX(Students!$E$5:$E$304,MATCH(A193,Students!$A$5:$A$304,0)),""))</f>
        <v/>
      </c>
      <c r="D193" s="85" t="str">
        <f aca="false">IF(A193="","",IFERROR(INDEX(Students!$F$5:$F$304,MATCH(A193,Students!$A$5:$A$304,0)),""))</f>
        <v/>
      </c>
      <c r="E193" s="86"/>
      <c r="F193" s="52"/>
      <c r="G193" s="52"/>
      <c r="H193" s="52"/>
      <c r="I193" s="93" t="str">
        <f aca="false">IF(COUNT(G193:H193)=0,"",IF(COUNT(G193:H193)=1,SUM(G193:H193),ROUND(G193*Settings!$B$8+H193*(1-Settings!$B$8),1)))</f>
        <v/>
      </c>
      <c r="J193" s="85" t="str">
        <f aca="false">IF(I193="","",IF(I193&gt;=Settings!$E$11,Settings!$F$11,IF(I193&gt;=Settings!$E$12,Settings!$F$12,IF(I193&gt;=Settings!$E$13,Settings!$F$13,IF(I193&gt;=Settings!$E$14,Settings!$F$14,Settings!$F$15)))))</f>
        <v/>
      </c>
      <c r="K193" s="85" t="str">
        <f aca="false">IF(I193="","",IF(I193&gt;=Settings!$E$11,Settings!$G$11,IF(I193&gt;=Settings!$E$12,Settings!$G$12,IF(I193&gt;=Settings!$E$13,Settings!$G$13,IF(I193&gt;=Settings!$E$14,Settings!$G$14,Settings!$G$15)))))</f>
        <v/>
      </c>
    </row>
    <row r="194" customFormat="false" ht="19.5" hidden="false" customHeight="true" outlineLevel="0" collapsed="false">
      <c r="A194" s="52"/>
      <c r="B194" s="89" t="str">
        <f aca="false">IF(A194="","",IFERROR(INDEX(Students!$B$5:$B$304,MATCH(A194,Students!$A$5:$A$304,0)),"ID not found"))</f>
        <v/>
      </c>
      <c r="C194" s="85" t="str">
        <f aca="false">IF(A194="","",IFERROR(INDEX(Students!$E$5:$E$304,MATCH(A194,Students!$A$5:$A$304,0)),""))</f>
        <v/>
      </c>
      <c r="D194" s="85" t="str">
        <f aca="false">IF(A194="","",IFERROR(INDEX(Students!$F$5:$F$304,MATCH(A194,Students!$A$5:$A$304,0)),""))</f>
        <v/>
      </c>
      <c r="E194" s="86"/>
      <c r="F194" s="52"/>
      <c r="G194" s="52"/>
      <c r="H194" s="52"/>
      <c r="I194" s="93" t="str">
        <f aca="false">IF(COUNT(G194:H194)=0,"",IF(COUNT(G194:H194)=1,SUM(G194:H194),ROUND(G194*Settings!$B$8+H194*(1-Settings!$B$8),1)))</f>
        <v/>
      </c>
      <c r="J194" s="85" t="str">
        <f aca="false">IF(I194="","",IF(I194&gt;=Settings!$E$11,Settings!$F$11,IF(I194&gt;=Settings!$E$12,Settings!$F$12,IF(I194&gt;=Settings!$E$13,Settings!$F$13,IF(I194&gt;=Settings!$E$14,Settings!$F$14,Settings!$F$15)))))</f>
        <v/>
      </c>
      <c r="K194" s="85" t="str">
        <f aca="false">IF(I194="","",IF(I194&gt;=Settings!$E$11,Settings!$G$11,IF(I194&gt;=Settings!$E$12,Settings!$G$12,IF(I194&gt;=Settings!$E$13,Settings!$G$13,IF(I194&gt;=Settings!$E$14,Settings!$G$14,Settings!$G$15)))))</f>
        <v/>
      </c>
    </row>
    <row r="195" customFormat="false" ht="19.5" hidden="false" customHeight="true" outlineLevel="0" collapsed="false">
      <c r="A195" s="52"/>
      <c r="B195" s="89" t="str">
        <f aca="false">IF(A195="","",IFERROR(INDEX(Students!$B$5:$B$304,MATCH(A195,Students!$A$5:$A$304,0)),"ID not found"))</f>
        <v/>
      </c>
      <c r="C195" s="85" t="str">
        <f aca="false">IF(A195="","",IFERROR(INDEX(Students!$E$5:$E$304,MATCH(A195,Students!$A$5:$A$304,0)),""))</f>
        <v/>
      </c>
      <c r="D195" s="85" t="str">
        <f aca="false">IF(A195="","",IFERROR(INDEX(Students!$F$5:$F$304,MATCH(A195,Students!$A$5:$A$304,0)),""))</f>
        <v/>
      </c>
      <c r="E195" s="86"/>
      <c r="F195" s="52"/>
      <c r="G195" s="52"/>
      <c r="H195" s="52"/>
      <c r="I195" s="93" t="str">
        <f aca="false">IF(COUNT(G195:H195)=0,"",IF(COUNT(G195:H195)=1,SUM(G195:H195),ROUND(G195*Settings!$B$8+H195*(1-Settings!$B$8),1)))</f>
        <v/>
      </c>
      <c r="J195" s="85" t="str">
        <f aca="false">IF(I195="","",IF(I195&gt;=Settings!$E$11,Settings!$F$11,IF(I195&gt;=Settings!$E$12,Settings!$F$12,IF(I195&gt;=Settings!$E$13,Settings!$F$13,IF(I195&gt;=Settings!$E$14,Settings!$F$14,Settings!$F$15)))))</f>
        <v/>
      </c>
      <c r="K195" s="85" t="str">
        <f aca="false">IF(I195="","",IF(I195&gt;=Settings!$E$11,Settings!$G$11,IF(I195&gt;=Settings!$E$12,Settings!$G$12,IF(I195&gt;=Settings!$E$13,Settings!$G$13,IF(I195&gt;=Settings!$E$14,Settings!$G$14,Settings!$G$15)))))</f>
        <v/>
      </c>
    </row>
    <row r="196" customFormat="false" ht="19.5" hidden="false" customHeight="true" outlineLevel="0" collapsed="false">
      <c r="A196" s="52"/>
      <c r="B196" s="89" t="str">
        <f aca="false">IF(A196="","",IFERROR(INDEX(Students!$B$5:$B$304,MATCH(A196,Students!$A$5:$A$304,0)),"ID not found"))</f>
        <v/>
      </c>
      <c r="C196" s="85" t="str">
        <f aca="false">IF(A196="","",IFERROR(INDEX(Students!$E$5:$E$304,MATCH(A196,Students!$A$5:$A$304,0)),""))</f>
        <v/>
      </c>
      <c r="D196" s="85" t="str">
        <f aca="false">IF(A196="","",IFERROR(INDEX(Students!$F$5:$F$304,MATCH(A196,Students!$A$5:$A$304,0)),""))</f>
        <v/>
      </c>
      <c r="E196" s="86"/>
      <c r="F196" s="52"/>
      <c r="G196" s="52"/>
      <c r="H196" s="52"/>
      <c r="I196" s="93" t="str">
        <f aca="false">IF(COUNT(G196:H196)=0,"",IF(COUNT(G196:H196)=1,SUM(G196:H196),ROUND(G196*Settings!$B$8+H196*(1-Settings!$B$8),1)))</f>
        <v/>
      </c>
      <c r="J196" s="85" t="str">
        <f aca="false">IF(I196="","",IF(I196&gt;=Settings!$E$11,Settings!$F$11,IF(I196&gt;=Settings!$E$12,Settings!$F$12,IF(I196&gt;=Settings!$E$13,Settings!$F$13,IF(I196&gt;=Settings!$E$14,Settings!$F$14,Settings!$F$15)))))</f>
        <v/>
      </c>
      <c r="K196" s="85" t="str">
        <f aca="false">IF(I196="","",IF(I196&gt;=Settings!$E$11,Settings!$G$11,IF(I196&gt;=Settings!$E$12,Settings!$G$12,IF(I196&gt;=Settings!$E$13,Settings!$G$13,IF(I196&gt;=Settings!$E$14,Settings!$G$14,Settings!$G$15)))))</f>
        <v/>
      </c>
    </row>
    <row r="197" customFormat="false" ht="19.5" hidden="false" customHeight="true" outlineLevel="0" collapsed="false">
      <c r="A197" s="52"/>
      <c r="B197" s="89" t="str">
        <f aca="false">IF(A197="","",IFERROR(INDEX(Students!$B$5:$B$304,MATCH(A197,Students!$A$5:$A$304,0)),"ID not found"))</f>
        <v/>
      </c>
      <c r="C197" s="85" t="str">
        <f aca="false">IF(A197="","",IFERROR(INDEX(Students!$E$5:$E$304,MATCH(A197,Students!$A$5:$A$304,0)),""))</f>
        <v/>
      </c>
      <c r="D197" s="85" t="str">
        <f aca="false">IF(A197="","",IFERROR(INDEX(Students!$F$5:$F$304,MATCH(A197,Students!$A$5:$A$304,0)),""))</f>
        <v/>
      </c>
      <c r="E197" s="86"/>
      <c r="F197" s="52"/>
      <c r="G197" s="52"/>
      <c r="H197" s="52"/>
      <c r="I197" s="93" t="str">
        <f aca="false">IF(COUNT(G197:H197)=0,"",IF(COUNT(G197:H197)=1,SUM(G197:H197),ROUND(G197*Settings!$B$8+H197*(1-Settings!$B$8),1)))</f>
        <v/>
      </c>
      <c r="J197" s="85" t="str">
        <f aca="false">IF(I197="","",IF(I197&gt;=Settings!$E$11,Settings!$F$11,IF(I197&gt;=Settings!$E$12,Settings!$F$12,IF(I197&gt;=Settings!$E$13,Settings!$F$13,IF(I197&gt;=Settings!$E$14,Settings!$F$14,Settings!$F$15)))))</f>
        <v/>
      </c>
      <c r="K197" s="85" t="str">
        <f aca="false">IF(I197="","",IF(I197&gt;=Settings!$E$11,Settings!$G$11,IF(I197&gt;=Settings!$E$12,Settings!$G$12,IF(I197&gt;=Settings!$E$13,Settings!$G$13,IF(I197&gt;=Settings!$E$14,Settings!$G$14,Settings!$G$15)))))</f>
        <v/>
      </c>
    </row>
    <row r="198" customFormat="false" ht="19.5" hidden="false" customHeight="true" outlineLevel="0" collapsed="false">
      <c r="A198" s="52"/>
      <c r="B198" s="89" t="str">
        <f aca="false">IF(A198="","",IFERROR(INDEX(Students!$B$5:$B$304,MATCH(A198,Students!$A$5:$A$304,0)),"ID not found"))</f>
        <v/>
      </c>
      <c r="C198" s="85" t="str">
        <f aca="false">IF(A198="","",IFERROR(INDEX(Students!$E$5:$E$304,MATCH(A198,Students!$A$5:$A$304,0)),""))</f>
        <v/>
      </c>
      <c r="D198" s="85" t="str">
        <f aca="false">IF(A198="","",IFERROR(INDEX(Students!$F$5:$F$304,MATCH(A198,Students!$A$5:$A$304,0)),""))</f>
        <v/>
      </c>
      <c r="E198" s="86"/>
      <c r="F198" s="52"/>
      <c r="G198" s="52"/>
      <c r="H198" s="52"/>
      <c r="I198" s="93" t="str">
        <f aca="false">IF(COUNT(G198:H198)=0,"",IF(COUNT(G198:H198)=1,SUM(G198:H198),ROUND(G198*Settings!$B$8+H198*(1-Settings!$B$8),1)))</f>
        <v/>
      </c>
      <c r="J198" s="85" t="str">
        <f aca="false">IF(I198="","",IF(I198&gt;=Settings!$E$11,Settings!$F$11,IF(I198&gt;=Settings!$E$12,Settings!$F$12,IF(I198&gt;=Settings!$E$13,Settings!$F$13,IF(I198&gt;=Settings!$E$14,Settings!$F$14,Settings!$F$15)))))</f>
        <v/>
      </c>
      <c r="K198" s="85" t="str">
        <f aca="false">IF(I198="","",IF(I198&gt;=Settings!$E$11,Settings!$G$11,IF(I198&gt;=Settings!$E$12,Settings!$G$12,IF(I198&gt;=Settings!$E$13,Settings!$G$13,IF(I198&gt;=Settings!$E$14,Settings!$G$14,Settings!$G$15)))))</f>
        <v/>
      </c>
    </row>
    <row r="199" customFormat="false" ht="19.5" hidden="false" customHeight="true" outlineLevel="0" collapsed="false">
      <c r="A199" s="52"/>
      <c r="B199" s="89" t="str">
        <f aca="false">IF(A199="","",IFERROR(INDEX(Students!$B$5:$B$304,MATCH(A199,Students!$A$5:$A$304,0)),"ID not found"))</f>
        <v/>
      </c>
      <c r="C199" s="85" t="str">
        <f aca="false">IF(A199="","",IFERROR(INDEX(Students!$E$5:$E$304,MATCH(A199,Students!$A$5:$A$304,0)),""))</f>
        <v/>
      </c>
      <c r="D199" s="85" t="str">
        <f aca="false">IF(A199="","",IFERROR(INDEX(Students!$F$5:$F$304,MATCH(A199,Students!$A$5:$A$304,0)),""))</f>
        <v/>
      </c>
      <c r="E199" s="86"/>
      <c r="F199" s="52"/>
      <c r="G199" s="52"/>
      <c r="H199" s="52"/>
      <c r="I199" s="93" t="str">
        <f aca="false">IF(COUNT(G199:H199)=0,"",IF(COUNT(G199:H199)=1,SUM(G199:H199),ROUND(G199*Settings!$B$8+H199*(1-Settings!$B$8),1)))</f>
        <v/>
      </c>
      <c r="J199" s="85" t="str">
        <f aca="false">IF(I199="","",IF(I199&gt;=Settings!$E$11,Settings!$F$11,IF(I199&gt;=Settings!$E$12,Settings!$F$12,IF(I199&gt;=Settings!$E$13,Settings!$F$13,IF(I199&gt;=Settings!$E$14,Settings!$F$14,Settings!$F$15)))))</f>
        <v/>
      </c>
      <c r="K199" s="85" t="str">
        <f aca="false">IF(I199="","",IF(I199&gt;=Settings!$E$11,Settings!$G$11,IF(I199&gt;=Settings!$E$12,Settings!$G$12,IF(I199&gt;=Settings!$E$13,Settings!$G$13,IF(I199&gt;=Settings!$E$14,Settings!$G$14,Settings!$G$15)))))</f>
        <v/>
      </c>
    </row>
    <row r="200" customFormat="false" ht="19.5" hidden="false" customHeight="true" outlineLevel="0" collapsed="false">
      <c r="A200" s="52"/>
      <c r="B200" s="89" t="str">
        <f aca="false">IF(A200="","",IFERROR(INDEX(Students!$B$5:$B$304,MATCH(A200,Students!$A$5:$A$304,0)),"ID not found"))</f>
        <v/>
      </c>
      <c r="C200" s="85" t="str">
        <f aca="false">IF(A200="","",IFERROR(INDEX(Students!$E$5:$E$304,MATCH(A200,Students!$A$5:$A$304,0)),""))</f>
        <v/>
      </c>
      <c r="D200" s="85" t="str">
        <f aca="false">IF(A200="","",IFERROR(INDEX(Students!$F$5:$F$304,MATCH(A200,Students!$A$5:$A$304,0)),""))</f>
        <v/>
      </c>
      <c r="E200" s="86"/>
      <c r="F200" s="52"/>
      <c r="G200" s="52"/>
      <c r="H200" s="52"/>
      <c r="I200" s="93" t="str">
        <f aca="false">IF(COUNT(G200:H200)=0,"",IF(COUNT(G200:H200)=1,SUM(G200:H200),ROUND(G200*Settings!$B$8+H200*(1-Settings!$B$8),1)))</f>
        <v/>
      </c>
      <c r="J200" s="85" t="str">
        <f aca="false">IF(I200="","",IF(I200&gt;=Settings!$E$11,Settings!$F$11,IF(I200&gt;=Settings!$E$12,Settings!$F$12,IF(I200&gt;=Settings!$E$13,Settings!$F$13,IF(I200&gt;=Settings!$E$14,Settings!$F$14,Settings!$F$15)))))</f>
        <v/>
      </c>
      <c r="K200" s="85" t="str">
        <f aca="false">IF(I200="","",IF(I200&gt;=Settings!$E$11,Settings!$G$11,IF(I200&gt;=Settings!$E$12,Settings!$G$12,IF(I200&gt;=Settings!$E$13,Settings!$G$13,IF(I200&gt;=Settings!$E$14,Settings!$G$14,Settings!$G$15)))))</f>
        <v/>
      </c>
    </row>
    <row r="201" customFormat="false" ht="19.5" hidden="false" customHeight="true" outlineLevel="0" collapsed="false">
      <c r="A201" s="52"/>
      <c r="B201" s="89" t="str">
        <f aca="false">IF(A201="","",IFERROR(INDEX(Students!$B$5:$B$304,MATCH(A201,Students!$A$5:$A$304,0)),"ID not found"))</f>
        <v/>
      </c>
      <c r="C201" s="85" t="str">
        <f aca="false">IF(A201="","",IFERROR(INDEX(Students!$E$5:$E$304,MATCH(A201,Students!$A$5:$A$304,0)),""))</f>
        <v/>
      </c>
      <c r="D201" s="85" t="str">
        <f aca="false">IF(A201="","",IFERROR(INDEX(Students!$F$5:$F$304,MATCH(A201,Students!$A$5:$A$304,0)),""))</f>
        <v/>
      </c>
      <c r="E201" s="86"/>
      <c r="F201" s="52"/>
      <c r="G201" s="52"/>
      <c r="H201" s="52"/>
      <c r="I201" s="93" t="str">
        <f aca="false">IF(COUNT(G201:H201)=0,"",IF(COUNT(G201:H201)=1,SUM(G201:H201),ROUND(G201*Settings!$B$8+H201*(1-Settings!$B$8),1)))</f>
        <v/>
      </c>
      <c r="J201" s="85" t="str">
        <f aca="false">IF(I201="","",IF(I201&gt;=Settings!$E$11,Settings!$F$11,IF(I201&gt;=Settings!$E$12,Settings!$F$12,IF(I201&gt;=Settings!$E$13,Settings!$F$13,IF(I201&gt;=Settings!$E$14,Settings!$F$14,Settings!$F$15)))))</f>
        <v/>
      </c>
      <c r="K201" s="85" t="str">
        <f aca="false">IF(I201="","",IF(I201&gt;=Settings!$E$11,Settings!$G$11,IF(I201&gt;=Settings!$E$12,Settings!$G$12,IF(I201&gt;=Settings!$E$13,Settings!$G$13,IF(I201&gt;=Settings!$E$14,Settings!$G$14,Settings!$G$15)))))</f>
        <v/>
      </c>
    </row>
    <row r="202" customFormat="false" ht="19.5" hidden="false" customHeight="true" outlineLevel="0" collapsed="false">
      <c r="A202" s="52"/>
      <c r="B202" s="89" t="str">
        <f aca="false">IF(A202="","",IFERROR(INDEX(Students!$B$5:$B$304,MATCH(A202,Students!$A$5:$A$304,0)),"ID not found"))</f>
        <v/>
      </c>
      <c r="C202" s="85" t="str">
        <f aca="false">IF(A202="","",IFERROR(INDEX(Students!$E$5:$E$304,MATCH(A202,Students!$A$5:$A$304,0)),""))</f>
        <v/>
      </c>
      <c r="D202" s="85" t="str">
        <f aca="false">IF(A202="","",IFERROR(INDEX(Students!$F$5:$F$304,MATCH(A202,Students!$A$5:$A$304,0)),""))</f>
        <v/>
      </c>
      <c r="E202" s="86"/>
      <c r="F202" s="52"/>
      <c r="G202" s="52"/>
      <c r="H202" s="52"/>
      <c r="I202" s="93" t="str">
        <f aca="false">IF(COUNT(G202:H202)=0,"",IF(COUNT(G202:H202)=1,SUM(G202:H202),ROUND(G202*Settings!$B$8+H202*(1-Settings!$B$8),1)))</f>
        <v/>
      </c>
      <c r="J202" s="85" t="str">
        <f aca="false">IF(I202="","",IF(I202&gt;=Settings!$E$11,Settings!$F$11,IF(I202&gt;=Settings!$E$12,Settings!$F$12,IF(I202&gt;=Settings!$E$13,Settings!$F$13,IF(I202&gt;=Settings!$E$14,Settings!$F$14,Settings!$F$15)))))</f>
        <v/>
      </c>
      <c r="K202" s="85" t="str">
        <f aca="false">IF(I202="","",IF(I202&gt;=Settings!$E$11,Settings!$G$11,IF(I202&gt;=Settings!$E$12,Settings!$G$12,IF(I202&gt;=Settings!$E$13,Settings!$G$13,IF(I202&gt;=Settings!$E$14,Settings!$G$14,Settings!$G$15)))))</f>
        <v/>
      </c>
    </row>
    <row r="203" customFormat="false" ht="19.5" hidden="false" customHeight="true" outlineLevel="0" collapsed="false">
      <c r="A203" s="52"/>
      <c r="B203" s="89" t="str">
        <f aca="false">IF(A203="","",IFERROR(INDEX(Students!$B$5:$B$304,MATCH(A203,Students!$A$5:$A$304,0)),"ID not found"))</f>
        <v/>
      </c>
      <c r="C203" s="85" t="str">
        <f aca="false">IF(A203="","",IFERROR(INDEX(Students!$E$5:$E$304,MATCH(A203,Students!$A$5:$A$304,0)),""))</f>
        <v/>
      </c>
      <c r="D203" s="85" t="str">
        <f aca="false">IF(A203="","",IFERROR(INDEX(Students!$F$5:$F$304,MATCH(A203,Students!$A$5:$A$304,0)),""))</f>
        <v/>
      </c>
      <c r="E203" s="86"/>
      <c r="F203" s="52"/>
      <c r="G203" s="52"/>
      <c r="H203" s="52"/>
      <c r="I203" s="93" t="str">
        <f aca="false">IF(COUNT(G203:H203)=0,"",IF(COUNT(G203:H203)=1,SUM(G203:H203),ROUND(G203*Settings!$B$8+H203*(1-Settings!$B$8),1)))</f>
        <v/>
      </c>
      <c r="J203" s="85" t="str">
        <f aca="false">IF(I203="","",IF(I203&gt;=Settings!$E$11,Settings!$F$11,IF(I203&gt;=Settings!$E$12,Settings!$F$12,IF(I203&gt;=Settings!$E$13,Settings!$F$13,IF(I203&gt;=Settings!$E$14,Settings!$F$14,Settings!$F$15)))))</f>
        <v/>
      </c>
      <c r="K203" s="85" t="str">
        <f aca="false">IF(I203="","",IF(I203&gt;=Settings!$E$11,Settings!$G$11,IF(I203&gt;=Settings!$E$12,Settings!$G$12,IF(I203&gt;=Settings!$E$13,Settings!$G$13,IF(I203&gt;=Settings!$E$14,Settings!$G$14,Settings!$G$15)))))</f>
        <v/>
      </c>
    </row>
    <row r="204" customFormat="false" ht="19.5" hidden="false" customHeight="true" outlineLevel="0" collapsed="false">
      <c r="A204" s="52"/>
      <c r="B204" s="89" t="str">
        <f aca="false">IF(A204="","",IFERROR(INDEX(Students!$B$5:$B$304,MATCH(A204,Students!$A$5:$A$304,0)),"ID not found"))</f>
        <v/>
      </c>
      <c r="C204" s="85" t="str">
        <f aca="false">IF(A204="","",IFERROR(INDEX(Students!$E$5:$E$304,MATCH(A204,Students!$A$5:$A$304,0)),""))</f>
        <v/>
      </c>
      <c r="D204" s="85" t="str">
        <f aca="false">IF(A204="","",IFERROR(INDEX(Students!$F$5:$F$304,MATCH(A204,Students!$A$5:$A$304,0)),""))</f>
        <v/>
      </c>
      <c r="E204" s="86"/>
      <c r="F204" s="52"/>
      <c r="G204" s="52"/>
      <c r="H204" s="52"/>
      <c r="I204" s="93" t="str">
        <f aca="false">IF(COUNT(G204:H204)=0,"",IF(COUNT(G204:H204)=1,SUM(G204:H204),ROUND(G204*Settings!$B$8+H204*(1-Settings!$B$8),1)))</f>
        <v/>
      </c>
      <c r="J204" s="85" t="str">
        <f aca="false">IF(I204="","",IF(I204&gt;=Settings!$E$11,Settings!$F$11,IF(I204&gt;=Settings!$E$12,Settings!$F$12,IF(I204&gt;=Settings!$E$13,Settings!$F$13,IF(I204&gt;=Settings!$E$14,Settings!$F$14,Settings!$F$15)))))</f>
        <v/>
      </c>
      <c r="K204" s="85" t="str">
        <f aca="false">IF(I204="","",IF(I204&gt;=Settings!$E$11,Settings!$G$11,IF(I204&gt;=Settings!$E$12,Settings!$G$12,IF(I204&gt;=Settings!$E$13,Settings!$G$13,IF(I204&gt;=Settings!$E$14,Settings!$G$14,Settings!$G$15)))))</f>
        <v/>
      </c>
    </row>
    <row r="205" customFormat="false" ht="19.5" hidden="false" customHeight="true" outlineLevel="0" collapsed="false">
      <c r="A205" s="52"/>
      <c r="B205" s="89" t="str">
        <f aca="false">IF(A205="","",IFERROR(INDEX(Students!$B$5:$B$304,MATCH(A205,Students!$A$5:$A$304,0)),"ID not found"))</f>
        <v/>
      </c>
      <c r="C205" s="85" t="str">
        <f aca="false">IF(A205="","",IFERROR(INDEX(Students!$E$5:$E$304,MATCH(A205,Students!$A$5:$A$304,0)),""))</f>
        <v/>
      </c>
      <c r="D205" s="85" t="str">
        <f aca="false">IF(A205="","",IFERROR(INDEX(Students!$F$5:$F$304,MATCH(A205,Students!$A$5:$A$304,0)),""))</f>
        <v/>
      </c>
      <c r="E205" s="86"/>
      <c r="F205" s="52"/>
      <c r="G205" s="52"/>
      <c r="H205" s="52"/>
      <c r="I205" s="93" t="str">
        <f aca="false">IF(COUNT(G205:H205)=0,"",IF(COUNT(G205:H205)=1,SUM(G205:H205),ROUND(G205*Settings!$B$8+H205*(1-Settings!$B$8),1)))</f>
        <v/>
      </c>
      <c r="J205" s="85" t="str">
        <f aca="false">IF(I205="","",IF(I205&gt;=Settings!$E$11,Settings!$F$11,IF(I205&gt;=Settings!$E$12,Settings!$F$12,IF(I205&gt;=Settings!$E$13,Settings!$F$13,IF(I205&gt;=Settings!$E$14,Settings!$F$14,Settings!$F$15)))))</f>
        <v/>
      </c>
      <c r="K205" s="85" t="str">
        <f aca="false">IF(I205="","",IF(I205&gt;=Settings!$E$11,Settings!$G$11,IF(I205&gt;=Settings!$E$12,Settings!$G$12,IF(I205&gt;=Settings!$E$13,Settings!$G$13,IF(I205&gt;=Settings!$E$14,Settings!$G$14,Settings!$G$15)))))</f>
        <v/>
      </c>
    </row>
    <row r="206" customFormat="false" ht="19.5" hidden="false" customHeight="true" outlineLevel="0" collapsed="false">
      <c r="A206" s="52"/>
      <c r="B206" s="89" t="str">
        <f aca="false">IF(A206="","",IFERROR(INDEX(Students!$B$5:$B$304,MATCH(A206,Students!$A$5:$A$304,0)),"ID not found"))</f>
        <v/>
      </c>
      <c r="C206" s="85" t="str">
        <f aca="false">IF(A206="","",IFERROR(INDEX(Students!$E$5:$E$304,MATCH(A206,Students!$A$5:$A$304,0)),""))</f>
        <v/>
      </c>
      <c r="D206" s="85" t="str">
        <f aca="false">IF(A206="","",IFERROR(INDEX(Students!$F$5:$F$304,MATCH(A206,Students!$A$5:$A$304,0)),""))</f>
        <v/>
      </c>
      <c r="E206" s="86"/>
      <c r="F206" s="52"/>
      <c r="G206" s="52"/>
      <c r="H206" s="52"/>
      <c r="I206" s="93" t="str">
        <f aca="false">IF(COUNT(G206:H206)=0,"",IF(COUNT(G206:H206)=1,SUM(G206:H206),ROUND(G206*Settings!$B$8+H206*(1-Settings!$B$8),1)))</f>
        <v/>
      </c>
      <c r="J206" s="85" t="str">
        <f aca="false">IF(I206="","",IF(I206&gt;=Settings!$E$11,Settings!$F$11,IF(I206&gt;=Settings!$E$12,Settings!$F$12,IF(I206&gt;=Settings!$E$13,Settings!$F$13,IF(I206&gt;=Settings!$E$14,Settings!$F$14,Settings!$F$15)))))</f>
        <v/>
      </c>
      <c r="K206" s="85" t="str">
        <f aca="false">IF(I206="","",IF(I206&gt;=Settings!$E$11,Settings!$G$11,IF(I206&gt;=Settings!$E$12,Settings!$G$12,IF(I206&gt;=Settings!$E$13,Settings!$G$13,IF(I206&gt;=Settings!$E$14,Settings!$G$14,Settings!$G$15)))))</f>
        <v/>
      </c>
    </row>
    <row r="207" customFormat="false" ht="19.5" hidden="false" customHeight="true" outlineLevel="0" collapsed="false">
      <c r="A207" s="52"/>
      <c r="B207" s="89" t="str">
        <f aca="false">IF(A207="","",IFERROR(INDEX(Students!$B$5:$B$304,MATCH(A207,Students!$A$5:$A$304,0)),"ID not found"))</f>
        <v/>
      </c>
      <c r="C207" s="85" t="str">
        <f aca="false">IF(A207="","",IFERROR(INDEX(Students!$E$5:$E$304,MATCH(A207,Students!$A$5:$A$304,0)),""))</f>
        <v/>
      </c>
      <c r="D207" s="85" t="str">
        <f aca="false">IF(A207="","",IFERROR(INDEX(Students!$F$5:$F$304,MATCH(A207,Students!$A$5:$A$304,0)),""))</f>
        <v/>
      </c>
      <c r="E207" s="86"/>
      <c r="F207" s="52"/>
      <c r="G207" s="52"/>
      <c r="H207" s="52"/>
      <c r="I207" s="93" t="str">
        <f aca="false">IF(COUNT(G207:H207)=0,"",IF(COUNT(G207:H207)=1,SUM(G207:H207),ROUND(G207*Settings!$B$8+H207*(1-Settings!$B$8),1)))</f>
        <v/>
      </c>
      <c r="J207" s="85" t="str">
        <f aca="false">IF(I207="","",IF(I207&gt;=Settings!$E$11,Settings!$F$11,IF(I207&gt;=Settings!$E$12,Settings!$F$12,IF(I207&gt;=Settings!$E$13,Settings!$F$13,IF(I207&gt;=Settings!$E$14,Settings!$F$14,Settings!$F$15)))))</f>
        <v/>
      </c>
      <c r="K207" s="85" t="str">
        <f aca="false">IF(I207="","",IF(I207&gt;=Settings!$E$11,Settings!$G$11,IF(I207&gt;=Settings!$E$12,Settings!$G$12,IF(I207&gt;=Settings!$E$13,Settings!$G$13,IF(I207&gt;=Settings!$E$14,Settings!$G$14,Settings!$G$15)))))</f>
        <v/>
      </c>
    </row>
    <row r="208" customFormat="false" ht="19.5" hidden="false" customHeight="true" outlineLevel="0" collapsed="false">
      <c r="A208" s="52"/>
      <c r="B208" s="89" t="str">
        <f aca="false">IF(A208="","",IFERROR(INDEX(Students!$B$5:$B$304,MATCH(A208,Students!$A$5:$A$304,0)),"ID not found"))</f>
        <v/>
      </c>
      <c r="C208" s="85" t="str">
        <f aca="false">IF(A208="","",IFERROR(INDEX(Students!$E$5:$E$304,MATCH(A208,Students!$A$5:$A$304,0)),""))</f>
        <v/>
      </c>
      <c r="D208" s="85" t="str">
        <f aca="false">IF(A208="","",IFERROR(INDEX(Students!$F$5:$F$304,MATCH(A208,Students!$A$5:$A$304,0)),""))</f>
        <v/>
      </c>
      <c r="E208" s="86"/>
      <c r="F208" s="52"/>
      <c r="G208" s="52"/>
      <c r="H208" s="52"/>
      <c r="I208" s="93" t="str">
        <f aca="false">IF(COUNT(G208:H208)=0,"",IF(COUNT(G208:H208)=1,SUM(G208:H208),ROUND(G208*Settings!$B$8+H208*(1-Settings!$B$8),1)))</f>
        <v/>
      </c>
      <c r="J208" s="85" t="str">
        <f aca="false">IF(I208="","",IF(I208&gt;=Settings!$E$11,Settings!$F$11,IF(I208&gt;=Settings!$E$12,Settings!$F$12,IF(I208&gt;=Settings!$E$13,Settings!$F$13,IF(I208&gt;=Settings!$E$14,Settings!$F$14,Settings!$F$15)))))</f>
        <v/>
      </c>
      <c r="K208" s="85" t="str">
        <f aca="false">IF(I208="","",IF(I208&gt;=Settings!$E$11,Settings!$G$11,IF(I208&gt;=Settings!$E$12,Settings!$G$12,IF(I208&gt;=Settings!$E$13,Settings!$G$13,IF(I208&gt;=Settings!$E$14,Settings!$G$14,Settings!$G$15)))))</f>
        <v/>
      </c>
    </row>
    <row r="209" customFormat="false" ht="19.5" hidden="false" customHeight="true" outlineLevel="0" collapsed="false">
      <c r="A209" s="52"/>
      <c r="B209" s="89" t="str">
        <f aca="false">IF(A209="","",IFERROR(INDEX(Students!$B$5:$B$304,MATCH(A209,Students!$A$5:$A$304,0)),"ID not found"))</f>
        <v/>
      </c>
      <c r="C209" s="85" t="str">
        <f aca="false">IF(A209="","",IFERROR(INDEX(Students!$E$5:$E$304,MATCH(A209,Students!$A$5:$A$304,0)),""))</f>
        <v/>
      </c>
      <c r="D209" s="85" t="str">
        <f aca="false">IF(A209="","",IFERROR(INDEX(Students!$F$5:$F$304,MATCH(A209,Students!$A$5:$A$304,0)),""))</f>
        <v/>
      </c>
      <c r="E209" s="86"/>
      <c r="F209" s="52"/>
      <c r="G209" s="52"/>
      <c r="H209" s="52"/>
      <c r="I209" s="93" t="str">
        <f aca="false">IF(COUNT(G209:H209)=0,"",IF(COUNT(G209:H209)=1,SUM(G209:H209),ROUND(G209*Settings!$B$8+H209*(1-Settings!$B$8),1)))</f>
        <v/>
      </c>
      <c r="J209" s="85" t="str">
        <f aca="false">IF(I209="","",IF(I209&gt;=Settings!$E$11,Settings!$F$11,IF(I209&gt;=Settings!$E$12,Settings!$F$12,IF(I209&gt;=Settings!$E$13,Settings!$F$13,IF(I209&gt;=Settings!$E$14,Settings!$F$14,Settings!$F$15)))))</f>
        <v/>
      </c>
      <c r="K209" s="85" t="str">
        <f aca="false">IF(I209="","",IF(I209&gt;=Settings!$E$11,Settings!$G$11,IF(I209&gt;=Settings!$E$12,Settings!$G$12,IF(I209&gt;=Settings!$E$13,Settings!$G$13,IF(I209&gt;=Settings!$E$14,Settings!$G$14,Settings!$G$15)))))</f>
        <v/>
      </c>
    </row>
    <row r="210" customFormat="false" ht="19.5" hidden="false" customHeight="true" outlineLevel="0" collapsed="false">
      <c r="A210" s="52"/>
      <c r="B210" s="89" t="str">
        <f aca="false">IF(A210="","",IFERROR(INDEX(Students!$B$5:$B$304,MATCH(A210,Students!$A$5:$A$304,0)),"ID not found"))</f>
        <v/>
      </c>
      <c r="C210" s="85" t="str">
        <f aca="false">IF(A210="","",IFERROR(INDEX(Students!$E$5:$E$304,MATCH(A210,Students!$A$5:$A$304,0)),""))</f>
        <v/>
      </c>
      <c r="D210" s="85" t="str">
        <f aca="false">IF(A210="","",IFERROR(INDEX(Students!$F$5:$F$304,MATCH(A210,Students!$A$5:$A$304,0)),""))</f>
        <v/>
      </c>
      <c r="E210" s="86"/>
      <c r="F210" s="52"/>
      <c r="G210" s="52"/>
      <c r="H210" s="52"/>
      <c r="I210" s="93" t="str">
        <f aca="false">IF(COUNT(G210:H210)=0,"",IF(COUNT(G210:H210)=1,SUM(G210:H210),ROUND(G210*Settings!$B$8+H210*(1-Settings!$B$8),1)))</f>
        <v/>
      </c>
      <c r="J210" s="85" t="str">
        <f aca="false">IF(I210="","",IF(I210&gt;=Settings!$E$11,Settings!$F$11,IF(I210&gt;=Settings!$E$12,Settings!$F$12,IF(I210&gt;=Settings!$E$13,Settings!$F$13,IF(I210&gt;=Settings!$E$14,Settings!$F$14,Settings!$F$15)))))</f>
        <v/>
      </c>
      <c r="K210" s="85" t="str">
        <f aca="false">IF(I210="","",IF(I210&gt;=Settings!$E$11,Settings!$G$11,IF(I210&gt;=Settings!$E$12,Settings!$G$12,IF(I210&gt;=Settings!$E$13,Settings!$G$13,IF(I210&gt;=Settings!$E$14,Settings!$G$14,Settings!$G$15)))))</f>
        <v/>
      </c>
    </row>
    <row r="211" customFormat="false" ht="19.5" hidden="false" customHeight="true" outlineLevel="0" collapsed="false">
      <c r="A211" s="52"/>
      <c r="B211" s="89" t="str">
        <f aca="false">IF(A211="","",IFERROR(INDEX(Students!$B$5:$B$304,MATCH(A211,Students!$A$5:$A$304,0)),"ID not found"))</f>
        <v/>
      </c>
      <c r="C211" s="85" t="str">
        <f aca="false">IF(A211="","",IFERROR(INDEX(Students!$E$5:$E$304,MATCH(A211,Students!$A$5:$A$304,0)),""))</f>
        <v/>
      </c>
      <c r="D211" s="85" t="str">
        <f aca="false">IF(A211="","",IFERROR(INDEX(Students!$F$5:$F$304,MATCH(A211,Students!$A$5:$A$304,0)),""))</f>
        <v/>
      </c>
      <c r="E211" s="86"/>
      <c r="F211" s="52"/>
      <c r="G211" s="52"/>
      <c r="H211" s="52"/>
      <c r="I211" s="93" t="str">
        <f aca="false">IF(COUNT(G211:H211)=0,"",IF(COUNT(G211:H211)=1,SUM(G211:H211),ROUND(G211*Settings!$B$8+H211*(1-Settings!$B$8),1)))</f>
        <v/>
      </c>
      <c r="J211" s="85" t="str">
        <f aca="false">IF(I211="","",IF(I211&gt;=Settings!$E$11,Settings!$F$11,IF(I211&gt;=Settings!$E$12,Settings!$F$12,IF(I211&gt;=Settings!$E$13,Settings!$F$13,IF(I211&gt;=Settings!$E$14,Settings!$F$14,Settings!$F$15)))))</f>
        <v/>
      </c>
      <c r="K211" s="85" t="str">
        <f aca="false">IF(I211="","",IF(I211&gt;=Settings!$E$11,Settings!$G$11,IF(I211&gt;=Settings!$E$12,Settings!$G$12,IF(I211&gt;=Settings!$E$13,Settings!$G$13,IF(I211&gt;=Settings!$E$14,Settings!$G$14,Settings!$G$15)))))</f>
        <v/>
      </c>
    </row>
    <row r="212" customFormat="false" ht="19.5" hidden="false" customHeight="true" outlineLevel="0" collapsed="false">
      <c r="A212" s="52"/>
      <c r="B212" s="89" t="str">
        <f aca="false">IF(A212="","",IFERROR(INDEX(Students!$B$5:$B$304,MATCH(A212,Students!$A$5:$A$304,0)),"ID not found"))</f>
        <v/>
      </c>
      <c r="C212" s="85" t="str">
        <f aca="false">IF(A212="","",IFERROR(INDEX(Students!$E$5:$E$304,MATCH(A212,Students!$A$5:$A$304,0)),""))</f>
        <v/>
      </c>
      <c r="D212" s="85" t="str">
        <f aca="false">IF(A212="","",IFERROR(INDEX(Students!$F$5:$F$304,MATCH(A212,Students!$A$5:$A$304,0)),""))</f>
        <v/>
      </c>
      <c r="E212" s="86"/>
      <c r="F212" s="52"/>
      <c r="G212" s="52"/>
      <c r="H212" s="52"/>
      <c r="I212" s="93" t="str">
        <f aca="false">IF(COUNT(G212:H212)=0,"",IF(COUNT(G212:H212)=1,SUM(G212:H212),ROUND(G212*Settings!$B$8+H212*(1-Settings!$B$8),1)))</f>
        <v/>
      </c>
      <c r="J212" s="85" t="str">
        <f aca="false">IF(I212="","",IF(I212&gt;=Settings!$E$11,Settings!$F$11,IF(I212&gt;=Settings!$E$12,Settings!$F$12,IF(I212&gt;=Settings!$E$13,Settings!$F$13,IF(I212&gt;=Settings!$E$14,Settings!$F$14,Settings!$F$15)))))</f>
        <v/>
      </c>
      <c r="K212" s="85" t="str">
        <f aca="false">IF(I212="","",IF(I212&gt;=Settings!$E$11,Settings!$G$11,IF(I212&gt;=Settings!$E$12,Settings!$G$12,IF(I212&gt;=Settings!$E$13,Settings!$G$13,IF(I212&gt;=Settings!$E$14,Settings!$G$14,Settings!$G$15)))))</f>
        <v/>
      </c>
    </row>
    <row r="213" customFormat="false" ht="19.5" hidden="false" customHeight="true" outlineLevel="0" collapsed="false">
      <c r="A213" s="52"/>
      <c r="B213" s="89" t="str">
        <f aca="false">IF(A213="","",IFERROR(INDEX(Students!$B$5:$B$304,MATCH(A213,Students!$A$5:$A$304,0)),"ID not found"))</f>
        <v/>
      </c>
      <c r="C213" s="85" t="str">
        <f aca="false">IF(A213="","",IFERROR(INDEX(Students!$E$5:$E$304,MATCH(A213,Students!$A$5:$A$304,0)),""))</f>
        <v/>
      </c>
      <c r="D213" s="85" t="str">
        <f aca="false">IF(A213="","",IFERROR(INDEX(Students!$F$5:$F$304,MATCH(A213,Students!$A$5:$A$304,0)),""))</f>
        <v/>
      </c>
      <c r="E213" s="86"/>
      <c r="F213" s="52"/>
      <c r="G213" s="52"/>
      <c r="H213" s="52"/>
      <c r="I213" s="93" t="str">
        <f aca="false">IF(COUNT(G213:H213)=0,"",IF(COUNT(G213:H213)=1,SUM(G213:H213),ROUND(G213*Settings!$B$8+H213*(1-Settings!$B$8),1)))</f>
        <v/>
      </c>
      <c r="J213" s="85" t="str">
        <f aca="false">IF(I213="","",IF(I213&gt;=Settings!$E$11,Settings!$F$11,IF(I213&gt;=Settings!$E$12,Settings!$F$12,IF(I213&gt;=Settings!$E$13,Settings!$F$13,IF(I213&gt;=Settings!$E$14,Settings!$F$14,Settings!$F$15)))))</f>
        <v/>
      </c>
      <c r="K213" s="85" t="str">
        <f aca="false">IF(I213="","",IF(I213&gt;=Settings!$E$11,Settings!$G$11,IF(I213&gt;=Settings!$E$12,Settings!$G$12,IF(I213&gt;=Settings!$E$13,Settings!$G$13,IF(I213&gt;=Settings!$E$14,Settings!$G$14,Settings!$G$15)))))</f>
        <v/>
      </c>
    </row>
    <row r="214" customFormat="false" ht="19.5" hidden="false" customHeight="true" outlineLevel="0" collapsed="false">
      <c r="A214" s="52"/>
      <c r="B214" s="89" t="str">
        <f aca="false">IF(A214="","",IFERROR(INDEX(Students!$B$5:$B$304,MATCH(A214,Students!$A$5:$A$304,0)),"ID not found"))</f>
        <v/>
      </c>
      <c r="C214" s="85" t="str">
        <f aca="false">IF(A214="","",IFERROR(INDEX(Students!$E$5:$E$304,MATCH(A214,Students!$A$5:$A$304,0)),""))</f>
        <v/>
      </c>
      <c r="D214" s="85" t="str">
        <f aca="false">IF(A214="","",IFERROR(INDEX(Students!$F$5:$F$304,MATCH(A214,Students!$A$5:$A$304,0)),""))</f>
        <v/>
      </c>
      <c r="E214" s="86"/>
      <c r="F214" s="52"/>
      <c r="G214" s="52"/>
      <c r="H214" s="52"/>
      <c r="I214" s="93" t="str">
        <f aca="false">IF(COUNT(G214:H214)=0,"",IF(COUNT(G214:H214)=1,SUM(G214:H214),ROUND(G214*Settings!$B$8+H214*(1-Settings!$B$8),1)))</f>
        <v/>
      </c>
      <c r="J214" s="85" t="str">
        <f aca="false">IF(I214="","",IF(I214&gt;=Settings!$E$11,Settings!$F$11,IF(I214&gt;=Settings!$E$12,Settings!$F$12,IF(I214&gt;=Settings!$E$13,Settings!$F$13,IF(I214&gt;=Settings!$E$14,Settings!$F$14,Settings!$F$15)))))</f>
        <v/>
      </c>
      <c r="K214" s="85" t="str">
        <f aca="false">IF(I214="","",IF(I214&gt;=Settings!$E$11,Settings!$G$11,IF(I214&gt;=Settings!$E$12,Settings!$G$12,IF(I214&gt;=Settings!$E$13,Settings!$G$13,IF(I214&gt;=Settings!$E$14,Settings!$G$14,Settings!$G$15)))))</f>
        <v/>
      </c>
    </row>
    <row r="215" customFormat="false" ht="19.5" hidden="false" customHeight="true" outlineLevel="0" collapsed="false">
      <c r="A215" s="52"/>
      <c r="B215" s="89" t="str">
        <f aca="false">IF(A215="","",IFERROR(INDEX(Students!$B$5:$B$304,MATCH(A215,Students!$A$5:$A$304,0)),"ID not found"))</f>
        <v/>
      </c>
      <c r="C215" s="85" t="str">
        <f aca="false">IF(A215="","",IFERROR(INDEX(Students!$E$5:$E$304,MATCH(A215,Students!$A$5:$A$304,0)),""))</f>
        <v/>
      </c>
      <c r="D215" s="85" t="str">
        <f aca="false">IF(A215="","",IFERROR(INDEX(Students!$F$5:$F$304,MATCH(A215,Students!$A$5:$A$304,0)),""))</f>
        <v/>
      </c>
      <c r="E215" s="86"/>
      <c r="F215" s="52"/>
      <c r="G215" s="52"/>
      <c r="H215" s="52"/>
      <c r="I215" s="93" t="str">
        <f aca="false">IF(COUNT(G215:H215)=0,"",IF(COUNT(G215:H215)=1,SUM(G215:H215),ROUND(G215*Settings!$B$8+H215*(1-Settings!$B$8),1)))</f>
        <v/>
      </c>
      <c r="J215" s="85" t="str">
        <f aca="false">IF(I215="","",IF(I215&gt;=Settings!$E$11,Settings!$F$11,IF(I215&gt;=Settings!$E$12,Settings!$F$12,IF(I215&gt;=Settings!$E$13,Settings!$F$13,IF(I215&gt;=Settings!$E$14,Settings!$F$14,Settings!$F$15)))))</f>
        <v/>
      </c>
      <c r="K215" s="85" t="str">
        <f aca="false">IF(I215="","",IF(I215&gt;=Settings!$E$11,Settings!$G$11,IF(I215&gt;=Settings!$E$12,Settings!$G$12,IF(I215&gt;=Settings!$E$13,Settings!$G$13,IF(I215&gt;=Settings!$E$14,Settings!$G$14,Settings!$G$15)))))</f>
        <v/>
      </c>
    </row>
    <row r="216" customFormat="false" ht="19.5" hidden="false" customHeight="true" outlineLevel="0" collapsed="false">
      <c r="A216" s="52"/>
      <c r="B216" s="89" t="str">
        <f aca="false">IF(A216="","",IFERROR(INDEX(Students!$B$5:$B$304,MATCH(A216,Students!$A$5:$A$304,0)),"ID not found"))</f>
        <v/>
      </c>
      <c r="C216" s="85" t="str">
        <f aca="false">IF(A216="","",IFERROR(INDEX(Students!$E$5:$E$304,MATCH(A216,Students!$A$5:$A$304,0)),""))</f>
        <v/>
      </c>
      <c r="D216" s="85" t="str">
        <f aca="false">IF(A216="","",IFERROR(INDEX(Students!$F$5:$F$304,MATCH(A216,Students!$A$5:$A$304,0)),""))</f>
        <v/>
      </c>
      <c r="E216" s="86"/>
      <c r="F216" s="52"/>
      <c r="G216" s="52"/>
      <c r="H216" s="52"/>
      <c r="I216" s="93" t="str">
        <f aca="false">IF(COUNT(G216:H216)=0,"",IF(COUNT(G216:H216)=1,SUM(G216:H216),ROUND(G216*Settings!$B$8+H216*(1-Settings!$B$8),1)))</f>
        <v/>
      </c>
      <c r="J216" s="85" t="str">
        <f aca="false">IF(I216="","",IF(I216&gt;=Settings!$E$11,Settings!$F$11,IF(I216&gt;=Settings!$E$12,Settings!$F$12,IF(I216&gt;=Settings!$E$13,Settings!$F$13,IF(I216&gt;=Settings!$E$14,Settings!$F$14,Settings!$F$15)))))</f>
        <v/>
      </c>
      <c r="K216" s="85" t="str">
        <f aca="false">IF(I216="","",IF(I216&gt;=Settings!$E$11,Settings!$G$11,IF(I216&gt;=Settings!$E$12,Settings!$G$12,IF(I216&gt;=Settings!$E$13,Settings!$G$13,IF(I216&gt;=Settings!$E$14,Settings!$G$14,Settings!$G$15)))))</f>
        <v/>
      </c>
    </row>
    <row r="217" customFormat="false" ht="19.5" hidden="false" customHeight="true" outlineLevel="0" collapsed="false">
      <c r="A217" s="52"/>
      <c r="B217" s="89" t="str">
        <f aca="false">IF(A217="","",IFERROR(INDEX(Students!$B$5:$B$304,MATCH(A217,Students!$A$5:$A$304,0)),"ID not found"))</f>
        <v/>
      </c>
      <c r="C217" s="85" t="str">
        <f aca="false">IF(A217="","",IFERROR(INDEX(Students!$E$5:$E$304,MATCH(A217,Students!$A$5:$A$304,0)),""))</f>
        <v/>
      </c>
      <c r="D217" s="85" t="str">
        <f aca="false">IF(A217="","",IFERROR(INDEX(Students!$F$5:$F$304,MATCH(A217,Students!$A$5:$A$304,0)),""))</f>
        <v/>
      </c>
      <c r="E217" s="86"/>
      <c r="F217" s="52"/>
      <c r="G217" s="52"/>
      <c r="H217" s="52"/>
      <c r="I217" s="93" t="str">
        <f aca="false">IF(COUNT(G217:H217)=0,"",IF(COUNT(G217:H217)=1,SUM(G217:H217),ROUND(G217*Settings!$B$8+H217*(1-Settings!$B$8),1)))</f>
        <v/>
      </c>
      <c r="J217" s="85" t="str">
        <f aca="false">IF(I217="","",IF(I217&gt;=Settings!$E$11,Settings!$F$11,IF(I217&gt;=Settings!$E$12,Settings!$F$12,IF(I217&gt;=Settings!$E$13,Settings!$F$13,IF(I217&gt;=Settings!$E$14,Settings!$F$14,Settings!$F$15)))))</f>
        <v/>
      </c>
      <c r="K217" s="85" t="str">
        <f aca="false">IF(I217="","",IF(I217&gt;=Settings!$E$11,Settings!$G$11,IF(I217&gt;=Settings!$E$12,Settings!$G$12,IF(I217&gt;=Settings!$E$13,Settings!$G$13,IF(I217&gt;=Settings!$E$14,Settings!$G$14,Settings!$G$15)))))</f>
        <v/>
      </c>
    </row>
    <row r="218" customFormat="false" ht="19.5" hidden="false" customHeight="true" outlineLevel="0" collapsed="false">
      <c r="A218" s="52"/>
      <c r="B218" s="89" t="str">
        <f aca="false">IF(A218="","",IFERROR(INDEX(Students!$B$5:$B$304,MATCH(A218,Students!$A$5:$A$304,0)),"ID not found"))</f>
        <v/>
      </c>
      <c r="C218" s="85" t="str">
        <f aca="false">IF(A218="","",IFERROR(INDEX(Students!$E$5:$E$304,MATCH(A218,Students!$A$5:$A$304,0)),""))</f>
        <v/>
      </c>
      <c r="D218" s="85" t="str">
        <f aca="false">IF(A218="","",IFERROR(INDEX(Students!$F$5:$F$304,MATCH(A218,Students!$A$5:$A$304,0)),""))</f>
        <v/>
      </c>
      <c r="E218" s="86"/>
      <c r="F218" s="52"/>
      <c r="G218" s="52"/>
      <c r="H218" s="52"/>
      <c r="I218" s="93" t="str">
        <f aca="false">IF(COUNT(G218:H218)=0,"",IF(COUNT(G218:H218)=1,SUM(G218:H218),ROUND(G218*Settings!$B$8+H218*(1-Settings!$B$8),1)))</f>
        <v/>
      </c>
      <c r="J218" s="85" t="str">
        <f aca="false">IF(I218="","",IF(I218&gt;=Settings!$E$11,Settings!$F$11,IF(I218&gt;=Settings!$E$12,Settings!$F$12,IF(I218&gt;=Settings!$E$13,Settings!$F$13,IF(I218&gt;=Settings!$E$14,Settings!$F$14,Settings!$F$15)))))</f>
        <v/>
      </c>
      <c r="K218" s="85" t="str">
        <f aca="false">IF(I218="","",IF(I218&gt;=Settings!$E$11,Settings!$G$11,IF(I218&gt;=Settings!$E$12,Settings!$G$12,IF(I218&gt;=Settings!$E$13,Settings!$G$13,IF(I218&gt;=Settings!$E$14,Settings!$G$14,Settings!$G$15)))))</f>
        <v/>
      </c>
    </row>
    <row r="219" customFormat="false" ht="19.5" hidden="false" customHeight="true" outlineLevel="0" collapsed="false">
      <c r="A219" s="52"/>
      <c r="B219" s="89" t="str">
        <f aca="false">IF(A219="","",IFERROR(INDEX(Students!$B$5:$B$304,MATCH(A219,Students!$A$5:$A$304,0)),"ID not found"))</f>
        <v/>
      </c>
      <c r="C219" s="85" t="str">
        <f aca="false">IF(A219="","",IFERROR(INDEX(Students!$E$5:$E$304,MATCH(A219,Students!$A$5:$A$304,0)),""))</f>
        <v/>
      </c>
      <c r="D219" s="85" t="str">
        <f aca="false">IF(A219="","",IFERROR(INDEX(Students!$F$5:$F$304,MATCH(A219,Students!$A$5:$A$304,0)),""))</f>
        <v/>
      </c>
      <c r="E219" s="86"/>
      <c r="F219" s="52"/>
      <c r="G219" s="52"/>
      <c r="H219" s="52"/>
      <c r="I219" s="93" t="str">
        <f aca="false">IF(COUNT(G219:H219)=0,"",IF(COUNT(G219:H219)=1,SUM(G219:H219),ROUND(G219*Settings!$B$8+H219*(1-Settings!$B$8),1)))</f>
        <v/>
      </c>
      <c r="J219" s="85" t="str">
        <f aca="false">IF(I219="","",IF(I219&gt;=Settings!$E$11,Settings!$F$11,IF(I219&gt;=Settings!$E$12,Settings!$F$12,IF(I219&gt;=Settings!$E$13,Settings!$F$13,IF(I219&gt;=Settings!$E$14,Settings!$F$14,Settings!$F$15)))))</f>
        <v/>
      </c>
      <c r="K219" s="85" t="str">
        <f aca="false">IF(I219="","",IF(I219&gt;=Settings!$E$11,Settings!$G$11,IF(I219&gt;=Settings!$E$12,Settings!$G$12,IF(I219&gt;=Settings!$E$13,Settings!$G$13,IF(I219&gt;=Settings!$E$14,Settings!$G$14,Settings!$G$15)))))</f>
        <v/>
      </c>
    </row>
    <row r="220" customFormat="false" ht="19.5" hidden="false" customHeight="true" outlineLevel="0" collapsed="false">
      <c r="A220" s="52"/>
      <c r="B220" s="89" t="str">
        <f aca="false">IF(A220="","",IFERROR(INDEX(Students!$B$5:$B$304,MATCH(A220,Students!$A$5:$A$304,0)),"ID not found"))</f>
        <v/>
      </c>
      <c r="C220" s="85" t="str">
        <f aca="false">IF(A220="","",IFERROR(INDEX(Students!$E$5:$E$304,MATCH(A220,Students!$A$5:$A$304,0)),""))</f>
        <v/>
      </c>
      <c r="D220" s="85" t="str">
        <f aca="false">IF(A220="","",IFERROR(INDEX(Students!$F$5:$F$304,MATCH(A220,Students!$A$5:$A$304,0)),""))</f>
        <v/>
      </c>
      <c r="E220" s="86"/>
      <c r="F220" s="52"/>
      <c r="G220" s="52"/>
      <c r="H220" s="52"/>
      <c r="I220" s="93" t="str">
        <f aca="false">IF(COUNT(G220:H220)=0,"",IF(COUNT(G220:H220)=1,SUM(G220:H220),ROUND(G220*Settings!$B$8+H220*(1-Settings!$B$8),1)))</f>
        <v/>
      </c>
      <c r="J220" s="85" t="str">
        <f aca="false">IF(I220="","",IF(I220&gt;=Settings!$E$11,Settings!$F$11,IF(I220&gt;=Settings!$E$12,Settings!$F$12,IF(I220&gt;=Settings!$E$13,Settings!$F$13,IF(I220&gt;=Settings!$E$14,Settings!$F$14,Settings!$F$15)))))</f>
        <v/>
      </c>
      <c r="K220" s="85" t="str">
        <f aca="false">IF(I220="","",IF(I220&gt;=Settings!$E$11,Settings!$G$11,IF(I220&gt;=Settings!$E$12,Settings!$G$12,IF(I220&gt;=Settings!$E$13,Settings!$G$13,IF(I220&gt;=Settings!$E$14,Settings!$G$14,Settings!$G$15)))))</f>
        <v/>
      </c>
    </row>
    <row r="221" customFormat="false" ht="19.5" hidden="false" customHeight="true" outlineLevel="0" collapsed="false">
      <c r="A221" s="52"/>
      <c r="B221" s="89" t="str">
        <f aca="false">IF(A221="","",IFERROR(INDEX(Students!$B$5:$B$304,MATCH(A221,Students!$A$5:$A$304,0)),"ID not found"))</f>
        <v/>
      </c>
      <c r="C221" s="85" t="str">
        <f aca="false">IF(A221="","",IFERROR(INDEX(Students!$E$5:$E$304,MATCH(A221,Students!$A$5:$A$304,0)),""))</f>
        <v/>
      </c>
      <c r="D221" s="85" t="str">
        <f aca="false">IF(A221="","",IFERROR(INDEX(Students!$F$5:$F$304,MATCH(A221,Students!$A$5:$A$304,0)),""))</f>
        <v/>
      </c>
      <c r="E221" s="86"/>
      <c r="F221" s="52"/>
      <c r="G221" s="52"/>
      <c r="H221" s="52"/>
      <c r="I221" s="93" t="str">
        <f aca="false">IF(COUNT(G221:H221)=0,"",IF(COUNT(G221:H221)=1,SUM(G221:H221),ROUND(G221*Settings!$B$8+H221*(1-Settings!$B$8),1)))</f>
        <v/>
      </c>
      <c r="J221" s="85" t="str">
        <f aca="false">IF(I221="","",IF(I221&gt;=Settings!$E$11,Settings!$F$11,IF(I221&gt;=Settings!$E$12,Settings!$F$12,IF(I221&gt;=Settings!$E$13,Settings!$F$13,IF(I221&gt;=Settings!$E$14,Settings!$F$14,Settings!$F$15)))))</f>
        <v/>
      </c>
      <c r="K221" s="85" t="str">
        <f aca="false">IF(I221="","",IF(I221&gt;=Settings!$E$11,Settings!$G$11,IF(I221&gt;=Settings!$E$12,Settings!$G$12,IF(I221&gt;=Settings!$E$13,Settings!$G$13,IF(I221&gt;=Settings!$E$14,Settings!$G$14,Settings!$G$15)))))</f>
        <v/>
      </c>
    </row>
    <row r="222" customFormat="false" ht="19.5" hidden="false" customHeight="true" outlineLevel="0" collapsed="false">
      <c r="A222" s="52"/>
      <c r="B222" s="89" t="str">
        <f aca="false">IF(A222="","",IFERROR(INDEX(Students!$B$5:$B$304,MATCH(A222,Students!$A$5:$A$304,0)),"ID not found"))</f>
        <v/>
      </c>
      <c r="C222" s="85" t="str">
        <f aca="false">IF(A222="","",IFERROR(INDEX(Students!$E$5:$E$304,MATCH(A222,Students!$A$5:$A$304,0)),""))</f>
        <v/>
      </c>
      <c r="D222" s="85" t="str">
        <f aca="false">IF(A222="","",IFERROR(INDEX(Students!$F$5:$F$304,MATCH(A222,Students!$A$5:$A$304,0)),""))</f>
        <v/>
      </c>
      <c r="E222" s="86"/>
      <c r="F222" s="52"/>
      <c r="G222" s="52"/>
      <c r="H222" s="52"/>
      <c r="I222" s="93" t="str">
        <f aca="false">IF(COUNT(G222:H222)=0,"",IF(COUNT(G222:H222)=1,SUM(G222:H222),ROUND(G222*Settings!$B$8+H222*(1-Settings!$B$8),1)))</f>
        <v/>
      </c>
      <c r="J222" s="85" t="str">
        <f aca="false">IF(I222="","",IF(I222&gt;=Settings!$E$11,Settings!$F$11,IF(I222&gt;=Settings!$E$12,Settings!$F$12,IF(I222&gt;=Settings!$E$13,Settings!$F$13,IF(I222&gt;=Settings!$E$14,Settings!$F$14,Settings!$F$15)))))</f>
        <v/>
      </c>
      <c r="K222" s="85" t="str">
        <f aca="false">IF(I222="","",IF(I222&gt;=Settings!$E$11,Settings!$G$11,IF(I222&gt;=Settings!$E$12,Settings!$G$12,IF(I222&gt;=Settings!$E$13,Settings!$G$13,IF(I222&gt;=Settings!$E$14,Settings!$G$14,Settings!$G$15)))))</f>
        <v/>
      </c>
    </row>
    <row r="223" customFormat="false" ht="19.5" hidden="false" customHeight="true" outlineLevel="0" collapsed="false">
      <c r="A223" s="52"/>
      <c r="B223" s="89" t="str">
        <f aca="false">IF(A223="","",IFERROR(INDEX(Students!$B$5:$B$304,MATCH(A223,Students!$A$5:$A$304,0)),"ID not found"))</f>
        <v/>
      </c>
      <c r="C223" s="85" t="str">
        <f aca="false">IF(A223="","",IFERROR(INDEX(Students!$E$5:$E$304,MATCH(A223,Students!$A$5:$A$304,0)),""))</f>
        <v/>
      </c>
      <c r="D223" s="85" t="str">
        <f aca="false">IF(A223="","",IFERROR(INDEX(Students!$F$5:$F$304,MATCH(A223,Students!$A$5:$A$304,0)),""))</f>
        <v/>
      </c>
      <c r="E223" s="86"/>
      <c r="F223" s="52"/>
      <c r="G223" s="52"/>
      <c r="H223" s="52"/>
      <c r="I223" s="93" t="str">
        <f aca="false">IF(COUNT(G223:H223)=0,"",IF(COUNT(G223:H223)=1,SUM(G223:H223),ROUND(G223*Settings!$B$8+H223*(1-Settings!$B$8),1)))</f>
        <v/>
      </c>
      <c r="J223" s="85" t="str">
        <f aca="false">IF(I223="","",IF(I223&gt;=Settings!$E$11,Settings!$F$11,IF(I223&gt;=Settings!$E$12,Settings!$F$12,IF(I223&gt;=Settings!$E$13,Settings!$F$13,IF(I223&gt;=Settings!$E$14,Settings!$F$14,Settings!$F$15)))))</f>
        <v/>
      </c>
      <c r="K223" s="85" t="str">
        <f aca="false">IF(I223="","",IF(I223&gt;=Settings!$E$11,Settings!$G$11,IF(I223&gt;=Settings!$E$12,Settings!$G$12,IF(I223&gt;=Settings!$E$13,Settings!$G$13,IF(I223&gt;=Settings!$E$14,Settings!$G$14,Settings!$G$15)))))</f>
        <v/>
      </c>
    </row>
    <row r="224" customFormat="false" ht="19.5" hidden="false" customHeight="true" outlineLevel="0" collapsed="false">
      <c r="A224" s="52"/>
      <c r="B224" s="89" t="str">
        <f aca="false">IF(A224="","",IFERROR(INDEX(Students!$B$5:$B$304,MATCH(A224,Students!$A$5:$A$304,0)),"ID not found"))</f>
        <v/>
      </c>
      <c r="C224" s="85" t="str">
        <f aca="false">IF(A224="","",IFERROR(INDEX(Students!$E$5:$E$304,MATCH(A224,Students!$A$5:$A$304,0)),""))</f>
        <v/>
      </c>
      <c r="D224" s="85" t="str">
        <f aca="false">IF(A224="","",IFERROR(INDEX(Students!$F$5:$F$304,MATCH(A224,Students!$A$5:$A$304,0)),""))</f>
        <v/>
      </c>
      <c r="E224" s="86"/>
      <c r="F224" s="52"/>
      <c r="G224" s="52"/>
      <c r="H224" s="52"/>
      <c r="I224" s="93" t="str">
        <f aca="false">IF(COUNT(G224:H224)=0,"",IF(COUNT(G224:H224)=1,SUM(G224:H224),ROUND(G224*Settings!$B$8+H224*(1-Settings!$B$8),1)))</f>
        <v/>
      </c>
      <c r="J224" s="85" t="str">
        <f aca="false">IF(I224="","",IF(I224&gt;=Settings!$E$11,Settings!$F$11,IF(I224&gt;=Settings!$E$12,Settings!$F$12,IF(I224&gt;=Settings!$E$13,Settings!$F$13,IF(I224&gt;=Settings!$E$14,Settings!$F$14,Settings!$F$15)))))</f>
        <v/>
      </c>
      <c r="K224" s="85" t="str">
        <f aca="false">IF(I224="","",IF(I224&gt;=Settings!$E$11,Settings!$G$11,IF(I224&gt;=Settings!$E$12,Settings!$G$12,IF(I224&gt;=Settings!$E$13,Settings!$G$13,IF(I224&gt;=Settings!$E$14,Settings!$G$14,Settings!$G$15)))))</f>
        <v/>
      </c>
    </row>
    <row r="225" customFormat="false" ht="19.5" hidden="false" customHeight="true" outlineLevel="0" collapsed="false">
      <c r="A225" s="52"/>
      <c r="B225" s="89" t="str">
        <f aca="false">IF(A225="","",IFERROR(INDEX(Students!$B$5:$B$304,MATCH(A225,Students!$A$5:$A$304,0)),"ID not found"))</f>
        <v/>
      </c>
      <c r="C225" s="85" t="str">
        <f aca="false">IF(A225="","",IFERROR(INDEX(Students!$E$5:$E$304,MATCH(A225,Students!$A$5:$A$304,0)),""))</f>
        <v/>
      </c>
      <c r="D225" s="85" t="str">
        <f aca="false">IF(A225="","",IFERROR(INDEX(Students!$F$5:$F$304,MATCH(A225,Students!$A$5:$A$304,0)),""))</f>
        <v/>
      </c>
      <c r="E225" s="86"/>
      <c r="F225" s="52"/>
      <c r="G225" s="52"/>
      <c r="H225" s="52"/>
      <c r="I225" s="93" t="str">
        <f aca="false">IF(COUNT(G225:H225)=0,"",IF(COUNT(G225:H225)=1,SUM(G225:H225),ROUND(G225*Settings!$B$8+H225*(1-Settings!$B$8),1)))</f>
        <v/>
      </c>
      <c r="J225" s="85" t="str">
        <f aca="false">IF(I225="","",IF(I225&gt;=Settings!$E$11,Settings!$F$11,IF(I225&gt;=Settings!$E$12,Settings!$F$12,IF(I225&gt;=Settings!$E$13,Settings!$F$13,IF(I225&gt;=Settings!$E$14,Settings!$F$14,Settings!$F$15)))))</f>
        <v/>
      </c>
      <c r="K225" s="85" t="str">
        <f aca="false">IF(I225="","",IF(I225&gt;=Settings!$E$11,Settings!$G$11,IF(I225&gt;=Settings!$E$12,Settings!$G$12,IF(I225&gt;=Settings!$E$13,Settings!$G$13,IF(I225&gt;=Settings!$E$14,Settings!$G$14,Settings!$G$15)))))</f>
        <v/>
      </c>
    </row>
    <row r="226" customFormat="false" ht="19.5" hidden="false" customHeight="true" outlineLevel="0" collapsed="false">
      <c r="A226" s="52"/>
      <c r="B226" s="89" t="str">
        <f aca="false">IF(A226="","",IFERROR(INDEX(Students!$B$5:$B$304,MATCH(A226,Students!$A$5:$A$304,0)),"ID not found"))</f>
        <v/>
      </c>
      <c r="C226" s="85" t="str">
        <f aca="false">IF(A226="","",IFERROR(INDEX(Students!$E$5:$E$304,MATCH(A226,Students!$A$5:$A$304,0)),""))</f>
        <v/>
      </c>
      <c r="D226" s="85" t="str">
        <f aca="false">IF(A226="","",IFERROR(INDEX(Students!$F$5:$F$304,MATCH(A226,Students!$A$5:$A$304,0)),""))</f>
        <v/>
      </c>
      <c r="E226" s="86"/>
      <c r="F226" s="52"/>
      <c r="G226" s="52"/>
      <c r="H226" s="52"/>
      <c r="I226" s="93" t="str">
        <f aca="false">IF(COUNT(G226:H226)=0,"",IF(COUNT(G226:H226)=1,SUM(G226:H226),ROUND(G226*Settings!$B$8+H226*(1-Settings!$B$8),1)))</f>
        <v/>
      </c>
      <c r="J226" s="85" t="str">
        <f aca="false">IF(I226="","",IF(I226&gt;=Settings!$E$11,Settings!$F$11,IF(I226&gt;=Settings!$E$12,Settings!$F$12,IF(I226&gt;=Settings!$E$13,Settings!$F$13,IF(I226&gt;=Settings!$E$14,Settings!$F$14,Settings!$F$15)))))</f>
        <v/>
      </c>
      <c r="K226" s="85" t="str">
        <f aca="false">IF(I226="","",IF(I226&gt;=Settings!$E$11,Settings!$G$11,IF(I226&gt;=Settings!$E$12,Settings!$G$12,IF(I226&gt;=Settings!$E$13,Settings!$G$13,IF(I226&gt;=Settings!$E$14,Settings!$G$14,Settings!$G$15)))))</f>
        <v/>
      </c>
    </row>
    <row r="227" customFormat="false" ht="19.5" hidden="false" customHeight="true" outlineLevel="0" collapsed="false">
      <c r="A227" s="52"/>
      <c r="B227" s="89" t="str">
        <f aca="false">IF(A227="","",IFERROR(INDEX(Students!$B$5:$B$304,MATCH(A227,Students!$A$5:$A$304,0)),"ID not found"))</f>
        <v/>
      </c>
      <c r="C227" s="85" t="str">
        <f aca="false">IF(A227="","",IFERROR(INDEX(Students!$E$5:$E$304,MATCH(A227,Students!$A$5:$A$304,0)),""))</f>
        <v/>
      </c>
      <c r="D227" s="85" t="str">
        <f aca="false">IF(A227="","",IFERROR(INDEX(Students!$F$5:$F$304,MATCH(A227,Students!$A$5:$A$304,0)),""))</f>
        <v/>
      </c>
      <c r="E227" s="86"/>
      <c r="F227" s="52"/>
      <c r="G227" s="52"/>
      <c r="H227" s="52"/>
      <c r="I227" s="93" t="str">
        <f aca="false">IF(COUNT(G227:H227)=0,"",IF(COUNT(G227:H227)=1,SUM(G227:H227),ROUND(G227*Settings!$B$8+H227*(1-Settings!$B$8),1)))</f>
        <v/>
      </c>
      <c r="J227" s="85" t="str">
        <f aca="false">IF(I227="","",IF(I227&gt;=Settings!$E$11,Settings!$F$11,IF(I227&gt;=Settings!$E$12,Settings!$F$12,IF(I227&gt;=Settings!$E$13,Settings!$F$13,IF(I227&gt;=Settings!$E$14,Settings!$F$14,Settings!$F$15)))))</f>
        <v/>
      </c>
      <c r="K227" s="85" t="str">
        <f aca="false">IF(I227="","",IF(I227&gt;=Settings!$E$11,Settings!$G$11,IF(I227&gt;=Settings!$E$12,Settings!$G$12,IF(I227&gt;=Settings!$E$13,Settings!$G$13,IF(I227&gt;=Settings!$E$14,Settings!$G$14,Settings!$G$15)))))</f>
        <v/>
      </c>
    </row>
    <row r="228" customFormat="false" ht="19.5" hidden="false" customHeight="true" outlineLevel="0" collapsed="false">
      <c r="A228" s="52"/>
      <c r="B228" s="89" t="str">
        <f aca="false">IF(A228="","",IFERROR(INDEX(Students!$B$5:$B$304,MATCH(A228,Students!$A$5:$A$304,0)),"ID not found"))</f>
        <v/>
      </c>
      <c r="C228" s="85" t="str">
        <f aca="false">IF(A228="","",IFERROR(INDEX(Students!$E$5:$E$304,MATCH(A228,Students!$A$5:$A$304,0)),""))</f>
        <v/>
      </c>
      <c r="D228" s="85" t="str">
        <f aca="false">IF(A228="","",IFERROR(INDEX(Students!$F$5:$F$304,MATCH(A228,Students!$A$5:$A$304,0)),""))</f>
        <v/>
      </c>
      <c r="E228" s="86"/>
      <c r="F228" s="52"/>
      <c r="G228" s="52"/>
      <c r="H228" s="52"/>
      <c r="I228" s="93" t="str">
        <f aca="false">IF(COUNT(G228:H228)=0,"",IF(COUNT(G228:H228)=1,SUM(G228:H228),ROUND(G228*Settings!$B$8+H228*(1-Settings!$B$8),1)))</f>
        <v/>
      </c>
      <c r="J228" s="85" t="str">
        <f aca="false">IF(I228="","",IF(I228&gt;=Settings!$E$11,Settings!$F$11,IF(I228&gt;=Settings!$E$12,Settings!$F$12,IF(I228&gt;=Settings!$E$13,Settings!$F$13,IF(I228&gt;=Settings!$E$14,Settings!$F$14,Settings!$F$15)))))</f>
        <v/>
      </c>
      <c r="K228" s="85" t="str">
        <f aca="false">IF(I228="","",IF(I228&gt;=Settings!$E$11,Settings!$G$11,IF(I228&gt;=Settings!$E$12,Settings!$G$12,IF(I228&gt;=Settings!$E$13,Settings!$G$13,IF(I228&gt;=Settings!$E$14,Settings!$G$14,Settings!$G$15)))))</f>
        <v/>
      </c>
    </row>
    <row r="229" customFormat="false" ht="19.5" hidden="false" customHeight="true" outlineLevel="0" collapsed="false">
      <c r="A229" s="52"/>
      <c r="B229" s="89" t="str">
        <f aca="false">IF(A229="","",IFERROR(INDEX(Students!$B$5:$B$304,MATCH(A229,Students!$A$5:$A$304,0)),"ID not found"))</f>
        <v/>
      </c>
      <c r="C229" s="85" t="str">
        <f aca="false">IF(A229="","",IFERROR(INDEX(Students!$E$5:$E$304,MATCH(A229,Students!$A$5:$A$304,0)),""))</f>
        <v/>
      </c>
      <c r="D229" s="85" t="str">
        <f aca="false">IF(A229="","",IFERROR(INDEX(Students!$F$5:$F$304,MATCH(A229,Students!$A$5:$A$304,0)),""))</f>
        <v/>
      </c>
      <c r="E229" s="86"/>
      <c r="F229" s="52"/>
      <c r="G229" s="52"/>
      <c r="H229" s="52"/>
      <c r="I229" s="93" t="str">
        <f aca="false">IF(COUNT(G229:H229)=0,"",IF(COUNT(G229:H229)=1,SUM(G229:H229),ROUND(G229*Settings!$B$8+H229*(1-Settings!$B$8),1)))</f>
        <v/>
      </c>
      <c r="J229" s="85" t="str">
        <f aca="false">IF(I229="","",IF(I229&gt;=Settings!$E$11,Settings!$F$11,IF(I229&gt;=Settings!$E$12,Settings!$F$12,IF(I229&gt;=Settings!$E$13,Settings!$F$13,IF(I229&gt;=Settings!$E$14,Settings!$F$14,Settings!$F$15)))))</f>
        <v/>
      </c>
      <c r="K229" s="85" t="str">
        <f aca="false">IF(I229="","",IF(I229&gt;=Settings!$E$11,Settings!$G$11,IF(I229&gt;=Settings!$E$12,Settings!$G$12,IF(I229&gt;=Settings!$E$13,Settings!$G$13,IF(I229&gt;=Settings!$E$14,Settings!$G$14,Settings!$G$15)))))</f>
        <v/>
      </c>
    </row>
    <row r="230" customFormat="false" ht="19.5" hidden="false" customHeight="true" outlineLevel="0" collapsed="false">
      <c r="A230" s="52"/>
      <c r="B230" s="89" t="str">
        <f aca="false">IF(A230="","",IFERROR(INDEX(Students!$B$5:$B$304,MATCH(A230,Students!$A$5:$A$304,0)),"ID not found"))</f>
        <v/>
      </c>
      <c r="C230" s="85" t="str">
        <f aca="false">IF(A230="","",IFERROR(INDEX(Students!$E$5:$E$304,MATCH(A230,Students!$A$5:$A$304,0)),""))</f>
        <v/>
      </c>
      <c r="D230" s="85" t="str">
        <f aca="false">IF(A230="","",IFERROR(INDEX(Students!$F$5:$F$304,MATCH(A230,Students!$A$5:$A$304,0)),""))</f>
        <v/>
      </c>
      <c r="E230" s="86"/>
      <c r="F230" s="52"/>
      <c r="G230" s="52"/>
      <c r="H230" s="52"/>
      <c r="I230" s="93" t="str">
        <f aca="false">IF(COUNT(G230:H230)=0,"",IF(COUNT(G230:H230)=1,SUM(G230:H230),ROUND(G230*Settings!$B$8+H230*(1-Settings!$B$8),1)))</f>
        <v/>
      </c>
      <c r="J230" s="85" t="str">
        <f aca="false">IF(I230="","",IF(I230&gt;=Settings!$E$11,Settings!$F$11,IF(I230&gt;=Settings!$E$12,Settings!$F$12,IF(I230&gt;=Settings!$E$13,Settings!$F$13,IF(I230&gt;=Settings!$E$14,Settings!$F$14,Settings!$F$15)))))</f>
        <v/>
      </c>
      <c r="K230" s="85" t="str">
        <f aca="false">IF(I230="","",IF(I230&gt;=Settings!$E$11,Settings!$G$11,IF(I230&gt;=Settings!$E$12,Settings!$G$12,IF(I230&gt;=Settings!$E$13,Settings!$G$13,IF(I230&gt;=Settings!$E$14,Settings!$G$14,Settings!$G$15)))))</f>
        <v/>
      </c>
    </row>
    <row r="231" customFormat="false" ht="19.5" hidden="false" customHeight="true" outlineLevel="0" collapsed="false">
      <c r="A231" s="52"/>
      <c r="B231" s="89" t="str">
        <f aca="false">IF(A231="","",IFERROR(INDEX(Students!$B$5:$B$304,MATCH(A231,Students!$A$5:$A$304,0)),"ID not found"))</f>
        <v/>
      </c>
      <c r="C231" s="85" t="str">
        <f aca="false">IF(A231="","",IFERROR(INDEX(Students!$E$5:$E$304,MATCH(A231,Students!$A$5:$A$304,0)),""))</f>
        <v/>
      </c>
      <c r="D231" s="85" t="str">
        <f aca="false">IF(A231="","",IFERROR(INDEX(Students!$F$5:$F$304,MATCH(A231,Students!$A$5:$A$304,0)),""))</f>
        <v/>
      </c>
      <c r="E231" s="86"/>
      <c r="F231" s="52"/>
      <c r="G231" s="52"/>
      <c r="H231" s="52"/>
      <c r="I231" s="93" t="str">
        <f aca="false">IF(COUNT(G231:H231)=0,"",IF(COUNT(G231:H231)=1,SUM(G231:H231),ROUND(G231*Settings!$B$8+H231*(1-Settings!$B$8),1)))</f>
        <v/>
      </c>
      <c r="J231" s="85" t="str">
        <f aca="false">IF(I231="","",IF(I231&gt;=Settings!$E$11,Settings!$F$11,IF(I231&gt;=Settings!$E$12,Settings!$F$12,IF(I231&gt;=Settings!$E$13,Settings!$F$13,IF(I231&gt;=Settings!$E$14,Settings!$F$14,Settings!$F$15)))))</f>
        <v/>
      </c>
      <c r="K231" s="85" t="str">
        <f aca="false">IF(I231="","",IF(I231&gt;=Settings!$E$11,Settings!$G$11,IF(I231&gt;=Settings!$E$12,Settings!$G$12,IF(I231&gt;=Settings!$E$13,Settings!$G$13,IF(I231&gt;=Settings!$E$14,Settings!$G$14,Settings!$G$15)))))</f>
        <v/>
      </c>
    </row>
    <row r="232" customFormat="false" ht="19.5" hidden="false" customHeight="true" outlineLevel="0" collapsed="false">
      <c r="A232" s="52"/>
      <c r="B232" s="89" t="str">
        <f aca="false">IF(A232="","",IFERROR(INDEX(Students!$B$5:$B$304,MATCH(A232,Students!$A$5:$A$304,0)),"ID not found"))</f>
        <v/>
      </c>
      <c r="C232" s="85" t="str">
        <f aca="false">IF(A232="","",IFERROR(INDEX(Students!$E$5:$E$304,MATCH(A232,Students!$A$5:$A$304,0)),""))</f>
        <v/>
      </c>
      <c r="D232" s="85" t="str">
        <f aca="false">IF(A232="","",IFERROR(INDEX(Students!$F$5:$F$304,MATCH(A232,Students!$A$5:$A$304,0)),""))</f>
        <v/>
      </c>
      <c r="E232" s="86"/>
      <c r="F232" s="52"/>
      <c r="G232" s="52"/>
      <c r="H232" s="52"/>
      <c r="I232" s="93" t="str">
        <f aca="false">IF(COUNT(G232:H232)=0,"",IF(COUNT(G232:H232)=1,SUM(G232:H232),ROUND(G232*Settings!$B$8+H232*(1-Settings!$B$8),1)))</f>
        <v/>
      </c>
      <c r="J232" s="85" t="str">
        <f aca="false">IF(I232="","",IF(I232&gt;=Settings!$E$11,Settings!$F$11,IF(I232&gt;=Settings!$E$12,Settings!$F$12,IF(I232&gt;=Settings!$E$13,Settings!$F$13,IF(I232&gt;=Settings!$E$14,Settings!$F$14,Settings!$F$15)))))</f>
        <v/>
      </c>
      <c r="K232" s="85" t="str">
        <f aca="false">IF(I232="","",IF(I232&gt;=Settings!$E$11,Settings!$G$11,IF(I232&gt;=Settings!$E$12,Settings!$G$12,IF(I232&gt;=Settings!$E$13,Settings!$G$13,IF(I232&gt;=Settings!$E$14,Settings!$G$14,Settings!$G$15)))))</f>
        <v/>
      </c>
    </row>
    <row r="233" customFormat="false" ht="19.5" hidden="false" customHeight="true" outlineLevel="0" collapsed="false">
      <c r="A233" s="52"/>
      <c r="B233" s="89" t="str">
        <f aca="false">IF(A233="","",IFERROR(INDEX(Students!$B$5:$B$304,MATCH(A233,Students!$A$5:$A$304,0)),"ID not found"))</f>
        <v/>
      </c>
      <c r="C233" s="85" t="str">
        <f aca="false">IF(A233="","",IFERROR(INDEX(Students!$E$5:$E$304,MATCH(A233,Students!$A$5:$A$304,0)),""))</f>
        <v/>
      </c>
      <c r="D233" s="85" t="str">
        <f aca="false">IF(A233="","",IFERROR(INDEX(Students!$F$5:$F$304,MATCH(A233,Students!$A$5:$A$304,0)),""))</f>
        <v/>
      </c>
      <c r="E233" s="86"/>
      <c r="F233" s="52"/>
      <c r="G233" s="52"/>
      <c r="H233" s="52"/>
      <c r="I233" s="93" t="str">
        <f aca="false">IF(COUNT(G233:H233)=0,"",IF(COUNT(G233:H233)=1,SUM(G233:H233),ROUND(G233*Settings!$B$8+H233*(1-Settings!$B$8),1)))</f>
        <v/>
      </c>
      <c r="J233" s="85" t="str">
        <f aca="false">IF(I233="","",IF(I233&gt;=Settings!$E$11,Settings!$F$11,IF(I233&gt;=Settings!$E$12,Settings!$F$12,IF(I233&gt;=Settings!$E$13,Settings!$F$13,IF(I233&gt;=Settings!$E$14,Settings!$F$14,Settings!$F$15)))))</f>
        <v/>
      </c>
      <c r="K233" s="85" t="str">
        <f aca="false">IF(I233="","",IF(I233&gt;=Settings!$E$11,Settings!$G$11,IF(I233&gt;=Settings!$E$12,Settings!$G$12,IF(I233&gt;=Settings!$E$13,Settings!$G$13,IF(I233&gt;=Settings!$E$14,Settings!$G$14,Settings!$G$15)))))</f>
        <v/>
      </c>
    </row>
    <row r="234" customFormat="false" ht="19.5" hidden="false" customHeight="true" outlineLevel="0" collapsed="false">
      <c r="A234" s="52"/>
      <c r="B234" s="89" t="str">
        <f aca="false">IF(A234="","",IFERROR(INDEX(Students!$B$5:$B$304,MATCH(A234,Students!$A$5:$A$304,0)),"ID not found"))</f>
        <v/>
      </c>
      <c r="C234" s="85" t="str">
        <f aca="false">IF(A234="","",IFERROR(INDEX(Students!$E$5:$E$304,MATCH(A234,Students!$A$5:$A$304,0)),""))</f>
        <v/>
      </c>
      <c r="D234" s="85" t="str">
        <f aca="false">IF(A234="","",IFERROR(INDEX(Students!$F$5:$F$304,MATCH(A234,Students!$A$5:$A$304,0)),""))</f>
        <v/>
      </c>
      <c r="E234" s="86"/>
      <c r="F234" s="52"/>
      <c r="G234" s="52"/>
      <c r="H234" s="52"/>
      <c r="I234" s="93" t="str">
        <f aca="false">IF(COUNT(G234:H234)=0,"",IF(COUNT(G234:H234)=1,SUM(G234:H234),ROUND(G234*Settings!$B$8+H234*(1-Settings!$B$8),1)))</f>
        <v/>
      </c>
      <c r="J234" s="85" t="str">
        <f aca="false">IF(I234="","",IF(I234&gt;=Settings!$E$11,Settings!$F$11,IF(I234&gt;=Settings!$E$12,Settings!$F$12,IF(I234&gt;=Settings!$E$13,Settings!$F$13,IF(I234&gt;=Settings!$E$14,Settings!$F$14,Settings!$F$15)))))</f>
        <v/>
      </c>
      <c r="K234" s="85" t="str">
        <f aca="false">IF(I234="","",IF(I234&gt;=Settings!$E$11,Settings!$G$11,IF(I234&gt;=Settings!$E$12,Settings!$G$12,IF(I234&gt;=Settings!$E$13,Settings!$G$13,IF(I234&gt;=Settings!$E$14,Settings!$G$14,Settings!$G$15)))))</f>
        <v/>
      </c>
    </row>
    <row r="235" customFormat="false" ht="19.5" hidden="false" customHeight="true" outlineLevel="0" collapsed="false">
      <c r="A235" s="52"/>
      <c r="B235" s="89" t="str">
        <f aca="false">IF(A235="","",IFERROR(INDEX(Students!$B$5:$B$304,MATCH(A235,Students!$A$5:$A$304,0)),"ID not found"))</f>
        <v/>
      </c>
      <c r="C235" s="85" t="str">
        <f aca="false">IF(A235="","",IFERROR(INDEX(Students!$E$5:$E$304,MATCH(A235,Students!$A$5:$A$304,0)),""))</f>
        <v/>
      </c>
      <c r="D235" s="85" t="str">
        <f aca="false">IF(A235="","",IFERROR(INDEX(Students!$F$5:$F$304,MATCH(A235,Students!$A$5:$A$304,0)),""))</f>
        <v/>
      </c>
      <c r="E235" s="86"/>
      <c r="F235" s="52"/>
      <c r="G235" s="52"/>
      <c r="H235" s="52"/>
      <c r="I235" s="93" t="str">
        <f aca="false">IF(COUNT(G235:H235)=0,"",IF(COUNT(G235:H235)=1,SUM(G235:H235),ROUND(G235*Settings!$B$8+H235*(1-Settings!$B$8),1)))</f>
        <v/>
      </c>
      <c r="J235" s="85" t="str">
        <f aca="false">IF(I235="","",IF(I235&gt;=Settings!$E$11,Settings!$F$11,IF(I235&gt;=Settings!$E$12,Settings!$F$12,IF(I235&gt;=Settings!$E$13,Settings!$F$13,IF(I235&gt;=Settings!$E$14,Settings!$F$14,Settings!$F$15)))))</f>
        <v/>
      </c>
      <c r="K235" s="85" t="str">
        <f aca="false">IF(I235="","",IF(I235&gt;=Settings!$E$11,Settings!$G$11,IF(I235&gt;=Settings!$E$12,Settings!$G$12,IF(I235&gt;=Settings!$E$13,Settings!$G$13,IF(I235&gt;=Settings!$E$14,Settings!$G$14,Settings!$G$15)))))</f>
        <v/>
      </c>
    </row>
    <row r="236" customFormat="false" ht="19.5" hidden="false" customHeight="true" outlineLevel="0" collapsed="false">
      <c r="A236" s="52"/>
      <c r="B236" s="89" t="str">
        <f aca="false">IF(A236="","",IFERROR(INDEX(Students!$B$5:$B$304,MATCH(A236,Students!$A$5:$A$304,0)),"ID not found"))</f>
        <v/>
      </c>
      <c r="C236" s="85" t="str">
        <f aca="false">IF(A236="","",IFERROR(INDEX(Students!$E$5:$E$304,MATCH(A236,Students!$A$5:$A$304,0)),""))</f>
        <v/>
      </c>
      <c r="D236" s="85" t="str">
        <f aca="false">IF(A236="","",IFERROR(INDEX(Students!$F$5:$F$304,MATCH(A236,Students!$A$5:$A$304,0)),""))</f>
        <v/>
      </c>
      <c r="E236" s="86"/>
      <c r="F236" s="52"/>
      <c r="G236" s="52"/>
      <c r="H236" s="52"/>
      <c r="I236" s="93" t="str">
        <f aca="false">IF(COUNT(G236:H236)=0,"",IF(COUNT(G236:H236)=1,SUM(G236:H236),ROUND(G236*Settings!$B$8+H236*(1-Settings!$B$8),1)))</f>
        <v/>
      </c>
      <c r="J236" s="85" t="str">
        <f aca="false">IF(I236="","",IF(I236&gt;=Settings!$E$11,Settings!$F$11,IF(I236&gt;=Settings!$E$12,Settings!$F$12,IF(I236&gt;=Settings!$E$13,Settings!$F$13,IF(I236&gt;=Settings!$E$14,Settings!$F$14,Settings!$F$15)))))</f>
        <v/>
      </c>
      <c r="K236" s="85" t="str">
        <f aca="false">IF(I236="","",IF(I236&gt;=Settings!$E$11,Settings!$G$11,IF(I236&gt;=Settings!$E$12,Settings!$G$12,IF(I236&gt;=Settings!$E$13,Settings!$G$13,IF(I236&gt;=Settings!$E$14,Settings!$G$14,Settings!$G$15)))))</f>
        <v/>
      </c>
    </row>
    <row r="237" customFormat="false" ht="19.5" hidden="false" customHeight="true" outlineLevel="0" collapsed="false">
      <c r="A237" s="52"/>
      <c r="B237" s="89" t="str">
        <f aca="false">IF(A237="","",IFERROR(INDEX(Students!$B$5:$B$304,MATCH(A237,Students!$A$5:$A$304,0)),"ID not found"))</f>
        <v/>
      </c>
      <c r="C237" s="85" t="str">
        <f aca="false">IF(A237="","",IFERROR(INDEX(Students!$E$5:$E$304,MATCH(A237,Students!$A$5:$A$304,0)),""))</f>
        <v/>
      </c>
      <c r="D237" s="85" t="str">
        <f aca="false">IF(A237="","",IFERROR(INDEX(Students!$F$5:$F$304,MATCH(A237,Students!$A$5:$A$304,0)),""))</f>
        <v/>
      </c>
      <c r="E237" s="86"/>
      <c r="F237" s="52"/>
      <c r="G237" s="52"/>
      <c r="H237" s="52"/>
      <c r="I237" s="93" t="str">
        <f aca="false">IF(COUNT(G237:H237)=0,"",IF(COUNT(G237:H237)=1,SUM(G237:H237),ROUND(G237*Settings!$B$8+H237*(1-Settings!$B$8),1)))</f>
        <v/>
      </c>
      <c r="J237" s="85" t="str">
        <f aca="false">IF(I237="","",IF(I237&gt;=Settings!$E$11,Settings!$F$11,IF(I237&gt;=Settings!$E$12,Settings!$F$12,IF(I237&gt;=Settings!$E$13,Settings!$F$13,IF(I237&gt;=Settings!$E$14,Settings!$F$14,Settings!$F$15)))))</f>
        <v/>
      </c>
      <c r="K237" s="85" t="str">
        <f aca="false">IF(I237="","",IF(I237&gt;=Settings!$E$11,Settings!$G$11,IF(I237&gt;=Settings!$E$12,Settings!$G$12,IF(I237&gt;=Settings!$E$13,Settings!$G$13,IF(I237&gt;=Settings!$E$14,Settings!$G$14,Settings!$G$15)))))</f>
        <v/>
      </c>
    </row>
    <row r="238" customFormat="false" ht="19.5" hidden="false" customHeight="true" outlineLevel="0" collapsed="false">
      <c r="A238" s="52"/>
      <c r="B238" s="89" t="str">
        <f aca="false">IF(A238="","",IFERROR(INDEX(Students!$B$5:$B$304,MATCH(A238,Students!$A$5:$A$304,0)),"ID not found"))</f>
        <v/>
      </c>
      <c r="C238" s="85" t="str">
        <f aca="false">IF(A238="","",IFERROR(INDEX(Students!$E$5:$E$304,MATCH(A238,Students!$A$5:$A$304,0)),""))</f>
        <v/>
      </c>
      <c r="D238" s="85" t="str">
        <f aca="false">IF(A238="","",IFERROR(INDEX(Students!$F$5:$F$304,MATCH(A238,Students!$A$5:$A$304,0)),""))</f>
        <v/>
      </c>
      <c r="E238" s="86"/>
      <c r="F238" s="52"/>
      <c r="G238" s="52"/>
      <c r="H238" s="52"/>
      <c r="I238" s="93" t="str">
        <f aca="false">IF(COUNT(G238:H238)=0,"",IF(COUNT(G238:H238)=1,SUM(G238:H238),ROUND(G238*Settings!$B$8+H238*(1-Settings!$B$8),1)))</f>
        <v/>
      </c>
      <c r="J238" s="85" t="str">
        <f aca="false">IF(I238="","",IF(I238&gt;=Settings!$E$11,Settings!$F$11,IF(I238&gt;=Settings!$E$12,Settings!$F$12,IF(I238&gt;=Settings!$E$13,Settings!$F$13,IF(I238&gt;=Settings!$E$14,Settings!$F$14,Settings!$F$15)))))</f>
        <v/>
      </c>
      <c r="K238" s="85" t="str">
        <f aca="false">IF(I238="","",IF(I238&gt;=Settings!$E$11,Settings!$G$11,IF(I238&gt;=Settings!$E$12,Settings!$G$12,IF(I238&gt;=Settings!$E$13,Settings!$G$13,IF(I238&gt;=Settings!$E$14,Settings!$G$14,Settings!$G$15)))))</f>
        <v/>
      </c>
    </row>
    <row r="239" customFormat="false" ht="19.5" hidden="false" customHeight="true" outlineLevel="0" collapsed="false">
      <c r="A239" s="52"/>
      <c r="B239" s="89" t="str">
        <f aca="false">IF(A239="","",IFERROR(INDEX(Students!$B$5:$B$304,MATCH(A239,Students!$A$5:$A$304,0)),"ID not found"))</f>
        <v/>
      </c>
      <c r="C239" s="85" t="str">
        <f aca="false">IF(A239="","",IFERROR(INDEX(Students!$E$5:$E$304,MATCH(A239,Students!$A$5:$A$304,0)),""))</f>
        <v/>
      </c>
      <c r="D239" s="85" t="str">
        <f aca="false">IF(A239="","",IFERROR(INDEX(Students!$F$5:$F$304,MATCH(A239,Students!$A$5:$A$304,0)),""))</f>
        <v/>
      </c>
      <c r="E239" s="86"/>
      <c r="F239" s="52"/>
      <c r="G239" s="52"/>
      <c r="H239" s="52"/>
      <c r="I239" s="93" t="str">
        <f aca="false">IF(COUNT(G239:H239)=0,"",IF(COUNT(G239:H239)=1,SUM(G239:H239),ROUND(G239*Settings!$B$8+H239*(1-Settings!$B$8),1)))</f>
        <v/>
      </c>
      <c r="J239" s="85" t="str">
        <f aca="false">IF(I239="","",IF(I239&gt;=Settings!$E$11,Settings!$F$11,IF(I239&gt;=Settings!$E$12,Settings!$F$12,IF(I239&gt;=Settings!$E$13,Settings!$F$13,IF(I239&gt;=Settings!$E$14,Settings!$F$14,Settings!$F$15)))))</f>
        <v/>
      </c>
      <c r="K239" s="85" t="str">
        <f aca="false">IF(I239="","",IF(I239&gt;=Settings!$E$11,Settings!$G$11,IF(I239&gt;=Settings!$E$12,Settings!$G$12,IF(I239&gt;=Settings!$E$13,Settings!$G$13,IF(I239&gt;=Settings!$E$14,Settings!$G$14,Settings!$G$15)))))</f>
        <v/>
      </c>
    </row>
    <row r="240" customFormat="false" ht="19.5" hidden="false" customHeight="true" outlineLevel="0" collapsed="false">
      <c r="A240" s="52"/>
      <c r="B240" s="89" t="str">
        <f aca="false">IF(A240="","",IFERROR(INDEX(Students!$B$5:$B$304,MATCH(A240,Students!$A$5:$A$304,0)),"ID not found"))</f>
        <v/>
      </c>
      <c r="C240" s="85" t="str">
        <f aca="false">IF(A240="","",IFERROR(INDEX(Students!$E$5:$E$304,MATCH(A240,Students!$A$5:$A$304,0)),""))</f>
        <v/>
      </c>
      <c r="D240" s="85" t="str">
        <f aca="false">IF(A240="","",IFERROR(INDEX(Students!$F$5:$F$304,MATCH(A240,Students!$A$5:$A$304,0)),""))</f>
        <v/>
      </c>
      <c r="E240" s="86"/>
      <c r="F240" s="52"/>
      <c r="G240" s="52"/>
      <c r="H240" s="52"/>
      <c r="I240" s="93" t="str">
        <f aca="false">IF(COUNT(G240:H240)=0,"",IF(COUNT(G240:H240)=1,SUM(G240:H240),ROUND(G240*Settings!$B$8+H240*(1-Settings!$B$8),1)))</f>
        <v/>
      </c>
      <c r="J240" s="85" t="str">
        <f aca="false">IF(I240="","",IF(I240&gt;=Settings!$E$11,Settings!$F$11,IF(I240&gt;=Settings!$E$12,Settings!$F$12,IF(I240&gt;=Settings!$E$13,Settings!$F$13,IF(I240&gt;=Settings!$E$14,Settings!$F$14,Settings!$F$15)))))</f>
        <v/>
      </c>
      <c r="K240" s="85" t="str">
        <f aca="false">IF(I240="","",IF(I240&gt;=Settings!$E$11,Settings!$G$11,IF(I240&gt;=Settings!$E$12,Settings!$G$12,IF(I240&gt;=Settings!$E$13,Settings!$G$13,IF(I240&gt;=Settings!$E$14,Settings!$G$14,Settings!$G$15)))))</f>
        <v/>
      </c>
    </row>
    <row r="241" customFormat="false" ht="19.5" hidden="false" customHeight="true" outlineLevel="0" collapsed="false">
      <c r="A241" s="52"/>
      <c r="B241" s="89" t="str">
        <f aca="false">IF(A241="","",IFERROR(INDEX(Students!$B$5:$B$304,MATCH(A241,Students!$A$5:$A$304,0)),"ID not found"))</f>
        <v/>
      </c>
      <c r="C241" s="85" t="str">
        <f aca="false">IF(A241="","",IFERROR(INDEX(Students!$E$5:$E$304,MATCH(A241,Students!$A$5:$A$304,0)),""))</f>
        <v/>
      </c>
      <c r="D241" s="85" t="str">
        <f aca="false">IF(A241="","",IFERROR(INDEX(Students!$F$5:$F$304,MATCH(A241,Students!$A$5:$A$304,0)),""))</f>
        <v/>
      </c>
      <c r="E241" s="86"/>
      <c r="F241" s="52"/>
      <c r="G241" s="52"/>
      <c r="H241" s="52"/>
      <c r="I241" s="93" t="str">
        <f aca="false">IF(COUNT(G241:H241)=0,"",IF(COUNT(G241:H241)=1,SUM(G241:H241),ROUND(G241*Settings!$B$8+H241*(1-Settings!$B$8),1)))</f>
        <v/>
      </c>
      <c r="J241" s="85" t="str">
        <f aca="false">IF(I241="","",IF(I241&gt;=Settings!$E$11,Settings!$F$11,IF(I241&gt;=Settings!$E$12,Settings!$F$12,IF(I241&gt;=Settings!$E$13,Settings!$F$13,IF(I241&gt;=Settings!$E$14,Settings!$F$14,Settings!$F$15)))))</f>
        <v/>
      </c>
      <c r="K241" s="85" t="str">
        <f aca="false">IF(I241="","",IF(I241&gt;=Settings!$E$11,Settings!$G$11,IF(I241&gt;=Settings!$E$12,Settings!$G$12,IF(I241&gt;=Settings!$E$13,Settings!$G$13,IF(I241&gt;=Settings!$E$14,Settings!$G$14,Settings!$G$15)))))</f>
        <v/>
      </c>
    </row>
    <row r="242" customFormat="false" ht="19.5" hidden="false" customHeight="true" outlineLevel="0" collapsed="false">
      <c r="A242" s="52"/>
      <c r="B242" s="89" t="str">
        <f aca="false">IF(A242="","",IFERROR(INDEX(Students!$B$5:$B$304,MATCH(A242,Students!$A$5:$A$304,0)),"ID not found"))</f>
        <v/>
      </c>
      <c r="C242" s="85" t="str">
        <f aca="false">IF(A242="","",IFERROR(INDEX(Students!$E$5:$E$304,MATCH(A242,Students!$A$5:$A$304,0)),""))</f>
        <v/>
      </c>
      <c r="D242" s="85" t="str">
        <f aca="false">IF(A242="","",IFERROR(INDEX(Students!$F$5:$F$304,MATCH(A242,Students!$A$5:$A$304,0)),""))</f>
        <v/>
      </c>
      <c r="E242" s="86"/>
      <c r="F242" s="52"/>
      <c r="G242" s="52"/>
      <c r="H242" s="52"/>
      <c r="I242" s="93" t="str">
        <f aca="false">IF(COUNT(G242:H242)=0,"",IF(COUNT(G242:H242)=1,SUM(G242:H242),ROUND(G242*Settings!$B$8+H242*(1-Settings!$B$8),1)))</f>
        <v/>
      </c>
      <c r="J242" s="85" t="str">
        <f aca="false">IF(I242="","",IF(I242&gt;=Settings!$E$11,Settings!$F$11,IF(I242&gt;=Settings!$E$12,Settings!$F$12,IF(I242&gt;=Settings!$E$13,Settings!$F$13,IF(I242&gt;=Settings!$E$14,Settings!$F$14,Settings!$F$15)))))</f>
        <v/>
      </c>
      <c r="K242" s="85" t="str">
        <f aca="false">IF(I242="","",IF(I242&gt;=Settings!$E$11,Settings!$G$11,IF(I242&gt;=Settings!$E$12,Settings!$G$12,IF(I242&gt;=Settings!$E$13,Settings!$G$13,IF(I242&gt;=Settings!$E$14,Settings!$G$14,Settings!$G$15)))))</f>
        <v/>
      </c>
    </row>
    <row r="243" customFormat="false" ht="19.5" hidden="false" customHeight="true" outlineLevel="0" collapsed="false">
      <c r="A243" s="52"/>
      <c r="B243" s="89" t="str">
        <f aca="false">IF(A243="","",IFERROR(INDEX(Students!$B$5:$B$304,MATCH(A243,Students!$A$5:$A$304,0)),"ID not found"))</f>
        <v/>
      </c>
      <c r="C243" s="85" t="str">
        <f aca="false">IF(A243="","",IFERROR(INDEX(Students!$E$5:$E$304,MATCH(A243,Students!$A$5:$A$304,0)),""))</f>
        <v/>
      </c>
      <c r="D243" s="85" t="str">
        <f aca="false">IF(A243="","",IFERROR(INDEX(Students!$F$5:$F$304,MATCH(A243,Students!$A$5:$A$304,0)),""))</f>
        <v/>
      </c>
      <c r="E243" s="86"/>
      <c r="F243" s="52"/>
      <c r="G243" s="52"/>
      <c r="H243" s="52"/>
      <c r="I243" s="93" t="str">
        <f aca="false">IF(COUNT(G243:H243)=0,"",IF(COUNT(G243:H243)=1,SUM(G243:H243),ROUND(G243*Settings!$B$8+H243*(1-Settings!$B$8),1)))</f>
        <v/>
      </c>
      <c r="J243" s="85" t="str">
        <f aca="false">IF(I243="","",IF(I243&gt;=Settings!$E$11,Settings!$F$11,IF(I243&gt;=Settings!$E$12,Settings!$F$12,IF(I243&gt;=Settings!$E$13,Settings!$F$13,IF(I243&gt;=Settings!$E$14,Settings!$F$14,Settings!$F$15)))))</f>
        <v/>
      </c>
      <c r="K243" s="85" t="str">
        <f aca="false">IF(I243="","",IF(I243&gt;=Settings!$E$11,Settings!$G$11,IF(I243&gt;=Settings!$E$12,Settings!$G$12,IF(I243&gt;=Settings!$E$13,Settings!$G$13,IF(I243&gt;=Settings!$E$14,Settings!$G$14,Settings!$G$15)))))</f>
        <v/>
      </c>
    </row>
    <row r="244" customFormat="false" ht="19.5" hidden="false" customHeight="true" outlineLevel="0" collapsed="false">
      <c r="A244" s="52"/>
      <c r="B244" s="89" t="str">
        <f aca="false">IF(A244="","",IFERROR(INDEX(Students!$B$5:$B$304,MATCH(A244,Students!$A$5:$A$304,0)),"ID not found"))</f>
        <v/>
      </c>
      <c r="C244" s="85" t="str">
        <f aca="false">IF(A244="","",IFERROR(INDEX(Students!$E$5:$E$304,MATCH(A244,Students!$A$5:$A$304,0)),""))</f>
        <v/>
      </c>
      <c r="D244" s="85" t="str">
        <f aca="false">IF(A244="","",IFERROR(INDEX(Students!$F$5:$F$304,MATCH(A244,Students!$A$5:$A$304,0)),""))</f>
        <v/>
      </c>
      <c r="E244" s="86"/>
      <c r="F244" s="52"/>
      <c r="G244" s="52"/>
      <c r="H244" s="52"/>
      <c r="I244" s="93" t="str">
        <f aca="false">IF(COUNT(G244:H244)=0,"",IF(COUNT(G244:H244)=1,SUM(G244:H244),ROUND(G244*Settings!$B$8+H244*(1-Settings!$B$8),1)))</f>
        <v/>
      </c>
      <c r="J244" s="85" t="str">
        <f aca="false">IF(I244="","",IF(I244&gt;=Settings!$E$11,Settings!$F$11,IF(I244&gt;=Settings!$E$12,Settings!$F$12,IF(I244&gt;=Settings!$E$13,Settings!$F$13,IF(I244&gt;=Settings!$E$14,Settings!$F$14,Settings!$F$15)))))</f>
        <v/>
      </c>
      <c r="K244" s="85" t="str">
        <f aca="false">IF(I244="","",IF(I244&gt;=Settings!$E$11,Settings!$G$11,IF(I244&gt;=Settings!$E$12,Settings!$G$12,IF(I244&gt;=Settings!$E$13,Settings!$G$13,IF(I244&gt;=Settings!$E$14,Settings!$G$14,Settings!$G$15)))))</f>
        <v/>
      </c>
    </row>
    <row r="245" customFormat="false" ht="19.5" hidden="false" customHeight="true" outlineLevel="0" collapsed="false">
      <c r="A245" s="52"/>
      <c r="B245" s="89" t="str">
        <f aca="false">IF(A245="","",IFERROR(INDEX(Students!$B$5:$B$304,MATCH(A245,Students!$A$5:$A$304,0)),"ID not found"))</f>
        <v/>
      </c>
      <c r="C245" s="85" t="str">
        <f aca="false">IF(A245="","",IFERROR(INDEX(Students!$E$5:$E$304,MATCH(A245,Students!$A$5:$A$304,0)),""))</f>
        <v/>
      </c>
      <c r="D245" s="85" t="str">
        <f aca="false">IF(A245="","",IFERROR(INDEX(Students!$F$5:$F$304,MATCH(A245,Students!$A$5:$A$304,0)),""))</f>
        <v/>
      </c>
      <c r="E245" s="86"/>
      <c r="F245" s="52"/>
      <c r="G245" s="52"/>
      <c r="H245" s="52"/>
      <c r="I245" s="93" t="str">
        <f aca="false">IF(COUNT(G245:H245)=0,"",IF(COUNT(G245:H245)=1,SUM(G245:H245),ROUND(G245*Settings!$B$8+H245*(1-Settings!$B$8),1)))</f>
        <v/>
      </c>
      <c r="J245" s="85" t="str">
        <f aca="false">IF(I245="","",IF(I245&gt;=Settings!$E$11,Settings!$F$11,IF(I245&gt;=Settings!$E$12,Settings!$F$12,IF(I245&gt;=Settings!$E$13,Settings!$F$13,IF(I245&gt;=Settings!$E$14,Settings!$F$14,Settings!$F$15)))))</f>
        <v/>
      </c>
      <c r="K245" s="85" t="str">
        <f aca="false">IF(I245="","",IF(I245&gt;=Settings!$E$11,Settings!$G$11,IF(I245&gt;=Settings!$E$12,Settings!$G$12,IF(I245&gt;=Settings!$E$13,Settings!$G$13,IF(I245&gt;=Settings!$E$14,Settings!$G$14,Settings!$G$15)))))</f>
        <v/>
      </c>
    </row>
    <row r="246" customFormat="false" ht="19.5" hidden="false" customHeight="true" outlineLevel="0" collapsed="false">
      <c r="A246" s="52"/>
      <c r="B246" s="89" t="str">
        <f aca="false">IF(A246="","",IFERROR(INDEX(Students!$B$5:$B$304,MATCH(A246,Students!$A$5:$A$304,0)),"ID not found"))</f>
        <v/>
      </c>
      <c r="C246" s="85" t="str">
        <f aca="false">IF(A246="","",IFERROR(INDEX(Students!$E$5:$E$304,MATCH(A246,Students!$A$5:$A$304,0)),""))</f>
        <v/>
      </c>
      <c r="D246" s="85" t="str">
        <f aca="false">IF(A246="","",IFERROR(INDEX(Students!$F$5:$F$304,MATCH(A246,Students!$A$5:$A$304,0)),""))</f>
        <v/>
      </c>
      <c r="E246" s="86"/>
      <c r="F246" s="52"/>
      <c r="G246" s="52"/>
      <c r="H246" s="52"/>
      <c r="I246" s="93" t="str">
        <f aca="false">IF(COUNT(G246:H246)=0,"",IF(COUNT(G246:H246)=1,SUM(G246:H246),ROUND(G246*Settings!$B$8+H246*(1-Settings!$B$8),1)))</f>
        <v/>
      </c>
      <c r="J246" s="85" t="str">
        <f aca="false">IF(I246="","",IF(I246&gt;=Settings!$E$11,Settings!$F$11,IF(I246&gt;=Settings!$E$12,Settings!$F$12,IF(I246&gt;=Settings!$E$13,Settings!$F$13,IF(I246&gt;=Settings!$E$14,Settings!$F$14,Settings!$F$15)))))</f>
        <v/>
      </c>
      <c r="K246" s="85" t="str">
        <f aca="false">IF(I246="","",IF(I246&gt;=Settings!$E$11,Settings!$G$11,IF(I246&gt;=Settings!$E$12,Settings!$G$12,IF(I246&gt;=Settings!$E$13,Settings!$G$13,IF(I246&gt;=Settings!$E$14,Settings!$G$14,Settings!$G$15)))))</f>
        <v/>
      </c>
    </row>
    <row r="247" customFormat="false" ht="19.5" hidden="false" customHeight="true" outlineLevel="0" collapsed="false">
      <c r="A247" s="52"/>
      <c r="B247" s="89" t="str">
        <f aca="false">IF(A247="","",IFERROR(INDEX(Students!$B$5:$B$304,MATCH(A247,Students!$A$5:$A$304,0)),"ID not found"))</f>
        <v/>
      </c>
      <c r="C247" s="85" t="str">
        <f aca="false">IF(A247="","",IFERROR(INDEX(Students!$E$5:$E$304,MATCH(A247,Students!$A$5:$A$304,0)),""))</f>
        <v/>
      </c>
      <c r="D247" s="85" t="str">
        <f aca="false">IF(A247="","",IFERROR(INDEX(Students!$F$5:$F$304,MATCH(A247,Students!$A$5:$A$304,0)),""))</f>
        <v/>
      </c>
      <c r="E247" s="86"/>
      <c r="F247" s="52"/>
      <c r="G247" s="52"/>
      <c r="H247" s="52"/>
      <c r="I247" s="93" t="str">
        <f aca="false">IF(COUNT(G247:H247)=0,"",IF(COUNT(G247:H247)=1,SUM(G247:H247),ROUND(G247*Settings!$B$8+H247*(1-Settings!$B$8),1)))</f>
        <v/>
      </c>
      <c r="J247" s="85" t="str">
        <f aca="false">IF(I247="","",IF(I247&gt;=Settings!$E$11,Settings!$F$11,IF(I247&gt;=Settings!$E$12,Settings!$F$12,IF(I247&gt;=Settings!$E$13,Settings!$F$13,IF(I247&gt;=Settings!$E$14,Settings!$F$14,Settings!$F$15)))))</f>
        <v/>
      </c>
      <c r="K247" s="85" t="str">
        <f aca="false">IF(I247="","",IF(I247&gt;=Settings!$E$11,Settings!$G$11,IF(I247&gt;=Settings!$E$12,Settings!$G$12,IF(I247&gt;=Settings!$E$13,Settings!$G$13,IF(I247&gt;=Settings!$E$14,Settings!$G$14,Settings!$G$15)))))</f>
        <v/>
      </c>
    </row>
    <row r="248" customFormat="false" ht="19.5" hidden="false" customHeight="true" outlineLevel="0" collapsed="false">
      <c r="A248" s="52"/>
      <c r="B248" s="89" t="str">
        <f aca="false">IF(A248="","",IFERROR(INDEX(Students!$B$5:$B$304,MATCH(A248,Students!$A$5:$A$304,0)),"ID not found"))</f>
        <v/>
      </c>
      <c r="C248" s="85" t="str">
        <f aca="false">IF(A248="","",IFERROR(INDEX(Students!$E$5:$E$304,MATCH(A248,Students!$A$5:$A$304,0)),""))</f>
        <v/>
      </c>
      <c r="D248" s="85" t="str">
        <f aca="false">IF(A248="","",IFERROR(INDEX(Students!$F$5:$F$304,MATCH(A248,Students!$A$5:$A$304,0)),""))</f>
        <v/>
      </c>
      <c r="E248" s="86"/>
      <c r="F248" s="52"/>
      <c r="G248" s="52"/>
      <c r="H248" s="52"/>
      <c r="I248" s="93" t="str">
        <f aca="false">IF(COUNT(G248:H248)=0,"",IF(COUNT(G248:H248)=1,SUM(G248:H248),ROUND(G248*Settings!$B$8+H248*(1-Settings!$B$8),1)))</f>
        <v/>
      </c>
      <c r="J248" s="85" t="str">
        <f aca="false">IF(I248="","",IF(I248&gt;=Settings!$E$11,Settings!$F$11,IF(I248&gt;=Settings!$E$12,Settings!$F$12,IF(I248&gt;=Settings!$E$13,Settings!$F$13,IF(I248&gt;=Settings!$E$14,Settings!$F$14,Settings!$F$15)))))</f>
        <v/>
      </c>
      <c r="K248" s="85" t="str">
        <f aca="false">IF(I248="","",IF(I248&gt;=Settings!$E$11,Settings!$G$11,IF(I248&gt;=Settings!$E$12,Settings!$G$12,IF(I248&gt;=Settings!$E$13,Settings!$G$13,IF(I248&gt;=Settings!$E$14,Settings!$G$14,Settings!$G$15)))))</f>
        <v/>
      </c>
    </row>
    <row r="249" customFormat="false" ht="19.5" hidden="false" customHeight="true" outlineLevel="0" collapsed="false">
      <c r="A249" s="52"/>
      <c r="B249" s="89" t="str">
        <f aca="false">IF(A249="","",IFERROR(INDEX(Students!$B$5:$B$304,MATCH(A249,Students!$A$5:$A$304,0)),"ID not found"))</f>
        <v/>
      </c>
      <c r="C249" s="85" t="str">
        <f aca="false">IF(A249="","",IFERROR(INDEX(Students!$E$5:$E$304,MATCH(A249,Students!$A$5:$A$304,0)),""))</f>
        <v/>
      </c>
      <c r="D249" s="85" t="str">
        <f aca="false">IF(A249="","",IFERROR(INDEX(Students!$F$5:$F$304,MATCH(A249,Students!$A$5:$A$304,0)),""))</f>
        <v/>
      </c>
      <c r="E249" s="86"/>
      <c r="F249" s="52"/>
      <c r="G249" s="52"/>
      <c r="H249" s="52"/>
      <c r="I249" s="93" t="str">
        <f aca="false">IF(COUNT(G249:H249)=0,"",IF(COUNT(G249:H249)=1,SUM(G249:H249),ROUND(G249*Settings!$B$8+H249*(1-Settings!$B$8),1)))</f>
        <v/>
      </c>
      <c r="J249" s="85" t="str">
        <f aca="false">IF(I249="","",IF(I249&gt;=Settings!$E$11,Settings!$F$11,IF(I249&gt;=Settings!$E$12,Settings!$F$12,IF(I249&gt;=Settings!$E$13,Settings!$F$13,IF(I249&gt;=Settings!$E$14,Settings!$F$14,Settings!$F$15)))))</f>
        <v/>
      </c>
      <c r="K249" s="85" t="str">
        <f aca="false">IF(I249="","",IF(I249&gt;=Settings!$E$11,Settings!$G$11,IF(I249&gt;=Settings!$E$12,Settings!$G$12,IF(I249&gt;=Settings!$E$13,Settings!$G$13,IF(I249&gt;=Settings!$E$14,Settings!$G$14,Settings!$G$15)))))</f>
        <v/>
      </c>
    </row>
    <row r="250" customFormat="false" ht="19.5" hidden="false" customHeight="true" outlineLevel="0" collapsed="false">
      <c r="A250" s="52"/>
      <c r="B250" s="89" t="str">
        <f aca="false">IF(A250="","",IFERROR(INDEX(Students!$B$5:$B$304,MATCH(A250,Students!$A$5:$A$304,0)),"ID not found"))</f>
        <v/>
      </c>
      <c r="C250" s="85" t="str">
        <f aca="false">IF(A250="","",IFERROR(INDEX(Students!$E$5:$E$304,MATCH(A250,Students!$A$5:$A$304,0)),""))</f>
        <v/>
      </c>
      <c r="D250" s="85" t="str">
        <f aca="false">IF(A250="","",IFERROR(INDEX(Students!$F$5:$F$304,MATCH(A250,Students!$A$5:$A$304,0)),""))</f>
        <v/>
      </c>
      <c r="E250" s="86"/>
      <c r="F250" s="52"/>
      <c r="G250" s="52"/>
      <c r="H250" s="52"/>
      <c r="I250" s="93" t="str">
        <f aca="false">IF(COUNT(G250:H250)=0,"",IF(COUNT(G250:H250)=1,SUM(G250:H250),ROUND(G250*Settings!$B$8+H250*(1-Settings!$B$8),1)))</f>
        <v/>
      </c>
      <c r="J250" s="85" t="str">
        <f aca="false">IF(I250="","",IF(I250&gt;=Settings!$E$11,Settings!$F$11,IF(I250&gt;=Settings!$E$12,Settings!$F$12,IF(I250&gt;=Settings!$E$13,Settings!$F$13,IF(I250&gt;=Settings!$E$14,Settings!$F$14,Settings!$F$15)))))</f>
        <v/>
      </c>
      <c r="K250" s="85" t="str">
        <f aca="false">IF(I250="","",IF(I250&gt;=Settings!$E$11,Settings!$G$11,IF(I250&gt;=Settings!$E$12,Settings!$G$12,IF(I250&gt;=Settings!$E$13,Settings!$G$13,IF(I250&gt;=Settings!$E$14,Settings!$G$14,Settings!$G$15)))))</f>
        <v/>
      </c>
    </row>
    <row r="251" customFormat="false" ht="19.5" hidden="false" customHeight="true" outlineLevel="0" collapsed="false">
      <c r="A251" s="52"/>
      <c r="B251" s="89" t="str">
        <f aca="false">IF(A251="","",IFERROR(INDEX(Students!$B$5:$B$304,MATCH(A251,Students!$A$5:$A$304,0)),"ID not found"))</f>
        <v/>
      </c>
      <c r="C251" s="85" t="str">
        <f aca="false">IF(A251="","",IFERROR(INDEX(Students!$E$5:$E$304,MATCH(A251,Students!$A$5:$A$304,0)),""))</f>
        <v/>
      </c>
      <c r="D251" s="85" t="str">
        <f aca="false">IF(A251="","",IFERROR(INDEX(Students!$F$5:$F$304,MATCH(A251,Students!$A$5:$A$304,0)),""))</f>
        <v/>
      </c>
      <c r="E251" s="86"/>
      <c r="F251" s="52"/>
      <c r="G251" s="52"/>
      <c r="H251" s="52"/>
      <c r="I251" s="93" t="str">
        <f aca="false">IF(COUNT(G251:H251)=0,"",IF(COUNT(G251:H251)=1,SUM(G251:H251),ROUND(G251*Settings!$B$8+H251*(1-Settings!$B$8),1)))</f>
        <v/>
      </c>
      <c r="J251" s="85" t="str">
        <f aca="false">IF(I251="","",IF(I251&gt;=Settings!$E$11,Settings!$F$11,IF(I251&gt;=Settings!$E$12,Settings!$F$12,IF(I251&gt;=Settings!$E$13,Settings!$F$13,IF(I251&gt;=Settings!$E$14,Settings!$F$14,Settings!$F$15)))))</f>
        <v/>
      </c>
      <c r="K251" s="85" t="str">
        <f aca="false">IF(I251="","",IF(I251&gt;=Settings!$E$11,Settings!$G$11,IF(I251&gt;=Settings!$E$12,Settings!$G$12,IF(I251&gt;=Settings!$E$13,Settings!$G$13,IF(I251&gt;=Settings!$E$14,Settings!$G$14,Settings!$G$15)))))</f>
        <v/>
      </c>
    </row>
    <row r="252" customFormat="false" ht="19.5" hidden="false" customHeight="true" outlineLevel="0" collapsed="false">
      <c r="A252" s="52"/>
      <c r="B252" s="89" t="str">
        <f aca="false">IF(A252="","",IFERROR(INDEX(Students!$B$5:$B$304,MATCH(A252,Students!$A$5:$A$304,0)),"ID not found"))</f>
        <v/>
      </c>
      <c r="C252" s="85" t="str">
        <f aca="false">IF(A252="","",IFERROR(INDEX(Students!$E$5:$E$304,MATCH(A252,Students!$A$5:$A$304,0)),""))</f>
        <v/>
      </c>
      <c r="D252" s="85" t="str">
        <f aca="false">IF(A252="","",IFERROR(INDEX(Students!$F$5:$F$304,MATCH(A252,Students!$A$5:$A$304,0)),""))</f>
        <v/>
      </c>
      <c r="E252" s="86"/>
      <c r="F252" s="52"/>
      <c r="G252" s="52"/>
      <c r="H252" s="52"/>
      <c r="I252" s="93" t="str">
        <f aca="false">IF(COUNT(G252:H252)=0,"",IF(COUNT(G252:H252)=1,SUM(G252:H252),ROUND(G252*Settings!$B$8+H252*(1-Settings!$B$8),1)))</f>
        <v/>
      </c>
      <c r="J252" s="85" t="str">
        <f aca="false">IF(I252="","",IF(I252&gt;=Settings!$E$11,Settings!$F$11,IF(I252&gt;=Settings!$E$12,Settings!$F$12,IF(I252&gt;=Settings!$E$13,Settings!$F$13,IF(I252&gt;=Settings!$E$14,Settings!$F$14,Settings!$F$15)))))</f>
        <v/>
      </c>
      <c r="K252" s="85" t="str">
        <f aca="false">IF(I252="","",IF(I252&gt;=Settings!$E$11,Settings!$G$11,IF(I252&gt;=Settings!$E$12,Settings!$G$12,IF(I252&gt;=Settings!$E$13,Settings!$G$13,IF(I252&gt;=Settings!$E$14,Settings!$G$14,Settings!$G$15)))))</f>
        <v/>
      </c>
    </row>
    <row r="253" customFormat="false" ht="19.5" hidden="false" customHeight="true" outlineLevel="0" collapsed="false">
      <c r="A253" s="52"/>
      <c r="B253" s="89" t="str">
        <f aca="false">IF(A253="","",IFERROR(INDEX(Students!$B$5:$B$304,MATCH(A253,Students!$A$5:$A$304,0)),"ID not found"))</f>
        <v/>
      </c>
      <c r="C253" s="85" t="str">
        <f aca="false">IF(A253="","",IFERROR(INDEX(Students!$E$5:$E$304,MATCH(A253,Students!$A$5:$A$304,0)),""))</f>
        <v/>
      </c>
      <c r="D253" s="85" t="str">
        <f aca="false">IF(A253="","",IFERROR(INDEX(Students!$F$5:$F$304,MATCH(A253,Students!$A$5:$A$304,0)),""))</f>
        <v/>
      </c>
      <c r="E253" s="86"/>
      <c r="F253" s="52"/>
      <c r="G253" s="52"/>
      <c r="H253" s="52"/>
      <c r="I253" s="93" t="str">
        <f aca="false">IF(COUNT(G253:H253)=0,"",IF(COUNT(G253:H253)=1,SUM(G253:H253),ROUND(G253*Settings!$B$8+H253*(1-Settings!$B$8),1)))</f>
        <v/>
      </c>
      <c r="J253" s="85" t="str">
        <f aca="false">IF(I253="","",IF(I253&gt;=Settings!$E$11,Settings!$F$11,IF(I253&gt;=Settings!$E$12,Settings!$F$12,IF(I253&gt;=Settings!$E$13,Settings!$F$13,IF(I253&gt;=Settings!$E$14,Settings!$F$14,Settings!$F$15)))))</f>
        <v/>
      </c>
      <c r="K253" s="85" t="str">
        <f aca="false">IF(I253="","",IF(I253&gt;=Settings!$E$11,Settings!$G$11,IF(I253&gt;=Settings!$E$12,Settings!$G$12,IF(I253&gt;=Settings!$E$13,Settings!$G$13,IF(I253&gt;=Settings!$E$14,Settings!$G$14,Settings!$G$15)))))</f>
        <v/>
      </c>
    </row>
    <row r="254" customFormat="false" ht="19.5" hidden="false" customHeight="true" outlineLevel="0" collapsed="false">
      <c r="A254" s="52"/>
      <c r="B254" s="89" t="str">
        <f aca="false">IF(A254="","",IFERROR(INDEX(Students!$B$5:$B$304,MATCH(A254,Students!$A$5:$A$304,0)),"ID not found"))</f>
        <v/>
      </c>
      <c r="C254" s="85" t="str">
        <f aca="false">IF(A254="","",IFERROR(INDEX(Students!$E$5:$E$304,MATCH(A254,Students!$A$5:$A$304,0)),""))</f>
        <v/>
      </c>
      <c r="D254" s="85" t="str">
        <f aca="false">IF(A254="","",IFERROR(INDEX(Students!$F$5:$F$304,MATCH(A254,Students!$A$5:$A$304,0)),""))</f>
        <v/>
      </c>
      <c r="E254" s="86"/>
      <c r="F254" s="52"/>
      <c r="G254" s="52"/>
      <c r="H254" s="52"/>
      <c r="I254" s="93" t="str">
        <f aca="false">IF(COUNT(G254:H254)=0,"",IF(COUNT(G254:H254)=1,SUM(G254:H254),ROUND(G254*Settings!$B$8+H254*(1-Settings!$B$8),1)))</f>
        <v/>
      </c>
      <c r="J254" s="85" t="str">
        <f aca="false">IF(I254="","",IF(I254&gt;=Settings!$E$11,Settings!$F$11,IF(I254&gt;=Settings!$E$12,Settings!$F$12,IF(I254&gt;=Settings!$E$13,Settings!$F$13,IF(I254&gt;=Settings!$E$14,Settings!$F$14,Settings!$F$15)))))</f>
        <v/>
      </c>
      <c r="K254" s="85" t="str">
        <f aca="false">IF(I254="","",IF(I254&gt;=Settings!$E$11,Settings!$G$11,IF(I254&gt;=Settings!$E$12,Settings!$G$12,IF(I254&gt;=Settings!$E$13,Settings!$G$13,IF(I254&gt;=Settings!$E$14,Settings!$G$14,Settings!$G$15)))))</f>
        <v/>
      </c>
    </row>
    <row r="255" customFormat="false" ht="19.5" hidden="false" customHeight="true" outlineLevel="0" collapsed="false">
      <c r="A255" s="52"/>
      <c r="B255" s="89" t="str">
        <f aca="false">IF(A255="","",IFERROR(INDEX(Students!$B$5:$B$304,MATCH(A255,Students!$A$5:$A$304,0)),"ID not found"))</f>
        <v/>
      </c>
      <c r="C255" s="85" t="str">
        <f aca="false">IF(A255="","",IFERROR(INDEX(Students!$E$5:$E$304,MATCH(A255,Students!$A$5:$A$304,0)),""))</f>
        <v/>
      </c>
      <c r="D255" s="85" t="str">
        <f aca="false">IF(A255="","",IFERROR(INDEX(Students!$F$5:$F$304,MATCH(A255,Students!$A$5:$A$304,0)),""))</f>
        <v/>
      </c>
      <c r="E255" s="86"/>
      <c r="F255" s="52"/>
      <c r="G255" s="52"/>
      <c r="H255" s="52"/>
      <c r="I255" s="93" t="str">
        <f aca="false">IF(COUNT(G255:H255)=0,"",IF(COUNT(G255:H255)=1,SUM(G255:H255),ROUND(G255*Settings!$B$8+H255*(1-Settings!$B$8),1)))</f>
        <v/>
      </c>
      <c r="J255" s="85" t="str">
        <f aca="false">IF(I255="","",IF(I255&gt;=Settings!$E$11,Settings!$F$11,IF(I255&gt;=Settings!$E$12,Settings!$F$12,IF(I255&gt;=Settings!$E$13,Settings!$F$13,IF(I255&gt;=Settings!$E$14,Settings!$F$14,Settings!$F$15)))))</f>
        <v/>
      </c>
      <c r="K255" s="85" t="str">
        <f aca="false">IF(I255="","",IF(I255&gt;=Settings!$E$11,Settings!$G$11,IF(I255&gt;=Settings!$E$12,Settings!$G$12,IF(I255&gt;=Settings!$E$13,Settings!$G$13,IF(I255&gt;=Settings!$E$14,Settings!$G$14,Settings!$G$15)))))</f>
        <v/>
      </c>
    </row>
    <row r="256" customFormat="false" ht="19.5" hidden="false" customHeight="true" outlineLevel="0" collapsed="false">
      <c r="A256" s="52"/>
      <c r="B256" s="89" t="str">
        <f aca="false">IF(A256="","",IFERROR(INDEX(Students!$B$5:$B$304,MATCH(A256,Students!$A$5:$A$304,0)),"ID not found"))</f>
        <v/>
      </c>
      <c r="C256" s="85" t="str">
        <f aca="false">IF(A256="","",IFERROR(INDEX(Students!$E$5:$E$304,MATCH(A256,Students!$A$5:$A$304,0)),""))</f>
        <v/>
      </c>
      <c r="D256" s="85" t="str">
        <f aca="false">IF(A256="","",IFERROR(INDEX(Students!$F$5:$F$304,MATCH(A256,Students!$A$5:$A$304,0)),""))</f>
        <v/>
      </c>
      <c r="E256" s="86"/>
      <c r="F256" s="52"/>
      <c r="G256" s="52"/>
      <c r="H256" s="52"/>
      <c r="I256" s="93" t="str">
        <f aca="false">IF(COUNT(G256:H256)=0,"",IF(COUNT(G256:H256)=1,SUM(G256:H256),ROUND(G256*Settings!$B$8+H256*(1-Settings!$B$8),1)))</f>
        <v/>
      </c>
      <c r="J256" s="85" t="str">
        <f aca="false">IF(I256="","",IF(I256&gt;=Settings!$E$11,Settings!$F$11,IF(I256&gt;=Settings!$E$12,Settings!$F$12,IF(I256&gt;=Settings!$E$13,Settings!$F$13,IF(I256&gt;=Settings!$E$14,Settings!$F$14,Settings!$F$15)))))</f>
        <v/>
      </c>
      <c r="K256" s="85" t="str">
        <f aca="false">IF(I256="","",IF(I256&gt;=Settings!$E$11,Settings!$G$11,IF(I256&gt;=Settings!$E$12,Settings!$G$12,IF(I256&gt;=Settings!$E$13,Settings!$G$13,IF(I256&gt;=Settings!$E$14,Settings!$G$14,Settings!$G$15)))))</f>
        <v/>
      </c>
    </row>
    <row r="257" customFormat="false" ht="19.5" hidden="false" customHeight="true" outlineLevel="0" collapsed="false">
      <c r="A257" s="52"/>
      <c r="B257" s="89" t="str">
        <f aca="false">IF(A257="","",IFERROR(INDEX(Students!$B$5:$B$304,MATCH(A257,Students!$A$5:$A$304,0)),"ID not found"))</f>
        <v/>
      </c>
      <c r="C257" s="85" t="str">
        <f aca="false">IF(A257="","",IFERROR(INDEX(Students!$E$5:$E$304,MATCH(A257,Students!$A$5:$A$304,0)),""))</f>
        <v/>
      </c>
      <c r="D257" s="85" t="str">
        <f aca="false">IF(A257="","",IFERROR(INDEX(Students!$F$5:$F$304,MATCH(A257,Students!$A$5:$A$304,0)),""))</f>
        <v/>
      </c>
      <c r="E257" s="86"/>
      <c r="F257" s="52"/>
      <c r="G257" s="52"/>
      <c r="H257" s="52"/>
      <c r="I257" s="93" t="str">
        <f aca="false">IF(COUNT(G257:H257)=0,"",IF(COUNT(G257:H257)=1,SUM(G257:H257),ROUND(G257*Settings!$B$8+H257*(1-Settings!$B$8),1)))</f>
        <v/>
      </c>
      <c r="J257" s="85" t="str">
        <f aca="false">IF(I257="","",IF(I257&gt;=Settings!$E$11,Settings!$F$11,IF(I257&gt;=Settings!$E$12,Settings!$F$12,IF(I257&gt;=Settings!$E$13,Settings!$F$13,IF(I257&gt;=Settings!$E$14,Settings!$F$14,Settings!$F$15)))))</f>
        <v/>
      </c>
      <c r="K257" s="85" t="str">
        <f aca="false">IF(I257="","",IF(I257&gt;=Settings!$E$11,Settings!$G$11,IF(I257&gt;=Settings!$E$12,Settings!$G$12,IF(I257&gt;=Settings!$E$13,Settings!$G$13,IF(I257&gt;=Settings!$E$14,Settings!$G$14,Settings!$G$15)))))</f>
        <v/>
      </c>
    </row>
    <row r="258" customFormat="false" ht="19.5" hidden="false" customHeight="true" outlineLevel="0" collapsed="false">
      <c r="A258" s="52"/>
      <c r="B258" s="89" t="str">
        <f aca="false">IF(A258="","",IFERROR(INDEX(Students!$B$5:$B$304,MATCH(A258,Students!$A$5:$A$304,0)),"ID not found"))</f>
        <v/>
      </c>
      <c r="C258" s="85" t="str">
        <f aca="false">IF(A258="","",IFERROR(INDEX(Students!$E$5:$E$304,MATCH(A258,Students!$A$5:$A$304,0)),""))</f>
        <v/>
      </c>
      <c r="D258" s="85" t="str">
        <f aca="false">IF(A258="","",IFERROR(INDEX(Students!$F$5:$F$304,MATCH(A258,Students!$A$5:$A$304,0)),""))</f>
        <v/>
      </c>
      <c r="E258" s="86"/>
      <c r="F258" s="52"/>
      <c r="G258" s="52"/>
      <c r="H258" s="52"/>
      <c r="I258" s="93" t="str">
        <f aca="false">IF(COUNT(G258:H258)=0,"",IF(COUNT(G258:H258)=1,SUM(G258:H258),ROUND(G258*Settings!$B$8+H258*(1-Settings!$B$8),1)))</f>
        <v/>
      </c>
      <c r="J258" s="85" t="str">
        <f aca="false">IF(I258="","",IF(I258&gt;=Settings!$E$11,Settings!$F$11,IF(I258&gt;=Settings!$E$12,Settings!$F$12,IF(I258&gt;=Settings!$E$13,Settings!$F$13,IF(I258&gt;=Settings!$E$14,Settings!$F$14,Settings!$F$15)))))</f>
        <v/>
      </c>
      <c r="K258" s="85" t="str">
        <f aca="false">IF(I258="","",IF(I258&gt;=Settings!$E$11,Settings!$G$11,IF(I258&gt;=Settings!$E$12,Settings!$G$12,IF(I258&gt;=Settings!$E$13,Settings!$G$13,IF(I258&gt;=Settings!$E$14,Settings!$G$14,Settings!$G$15)))))</f>
        <v/>
      </c>
    </row>
    <row r="259" customFormat="false" ht="19.5" hidden="false" customHeight="true" outlineLevel="0" collapsed="false">
      <c r="A259" s="52"/>
      <c r="B259" s="89" t="str">
        <f aca="false">IF(A259="","",IFERROR(INDEX(Students!$B$5:$B$304,MATCH(A259,Students!$A$5:$A$304,0)),"ID not found"))</f>
        <v/>
      </c>
      <c r="C259" s="85" t="str">
        <f aca="false">IF(A259="","",IFERROR(INDEX(Students!$E$5:$E$304,MATCH(A259,Students!$A$5:$A$304,0)),""))</f>
        <v/>
      </c>
      <c r="D259" s="85" t="str">
        <f aca="false">IF(A259="","",IFERROR(INDEX(Students!$F$5:$F$304,MATCH(A259,Students!$A$5:$A$304,0)),""))</f>
        <v/>
      </c>
      <c r="E259" s="86"/>
      <c r="F259" s="52"/>
      <c r="G259" s="52"/>
      <c r="H259" s="52"/>
      <c r="I259" s="93" t="str">
        <f aca="false">IF(COUNT(G259:H259)=0,"",IF(COUNT(G259:H259)=1,SUM(G259:H259),ROUND(G259*Settings!$B$8+H259*(1-Settings!$B$8),1)))</f>
        <v/>
      </c>
      <c r="J259" s="85" t="str">
        <f aca="false">IF(I259="","",IF(I259&gt;=Settings!$E$11,Settings!$F$11,IF(I259&gt;=Settings!$E$12,Settings!$F$12,IF(I259&gt;=Settings!$E$13,Settings!$F$13,IF(I259&gt;=Settings!$E$14,Settings!$F$14,Settings!$F$15)))))</f>
        <v/>
      </c>
      <c r="K259" s="85" t="str">
        <f aca="false">IF(I259="","",IF(I259&gt;=Settings!$E$11,Settings!$G$11,IF(I259&gt;=Settings!$E$12,Settings!$G$12,IF(I259&gt;=Settings!$E$13,Settings!$G$13,IF(I259&gt;=Settings!$E$14,Settings!$G$14,Settings!$G$15)))))</f>
        <v/>
      </c>
    </row>
    <row r="260" customFormat="false" ht="19.5" hidden="false" customHeight="true" outlineLevel="0" collapsed="false">
      <c r="A260" s="52"/>
      <c r="B260" s="89" t="str">
        <f aca="false">IF(A260="","",IFERROR(INDEX(Students!$B$5:$B$304,MATCH(A260,Students!$A$5:$A$304,0)),"ID not found"))</f>
        <v/>
      </c>
      <c r="C260" s="85" t="str">
        <f aca="false">IF(A260="","",IFERROR(INDEX(Students!$E$5:$E$304,MATCH(A260,Students!$A$5:$A$304,0)),""))</f>
        <v/>
      </c>
      <c r="D260" s="85" t="str">
        <f aca="false">IF(A260="","",IFERROR(INDEX(Students!$F$5:$F$304,MATCH(A260,Students!$A$5:$A$304,0)),""))</f>
        <v/>
      </c>
      <c r="E260" s="86"/>
      <c r="F260" s="52"/>
      <c r="G260" s="52"/>
      <c r="H260" s="52"/>
      <c r="I260" s="93" t="str">
        <f aca="false">IF(COUNT(G260:H260)=0,"",IF(COUNT(G260:H260)=1,SUM(G260:H260),ROUND(G260*Settings!$B$8+H260*(1-Settings!$B$8),1)))</f>
        <v/>
      </c>
      <c r="J260" s="85" t="str">
        <f aca="false">IF(I260="","",IF(I260&gt;=Settings!$E$11,Settings!$F$11,IF(I260&gt;=Settings!$E$12,Settings!$F$12,IF(I260&gt;=Settings!$E$13,Settings!$F$13,IF(I260&gt;=Settings!$E$14,Settings!$F$14,Settings!$F$15)))))</f>
        <v/>
      </c>
      <c r="K260" s="85" t="str">
        <f aca="false">IF(I260="","",IF(I260&gt;=Settings!$E$11,Settings!$G$11,IF(I260&gt;=Settings!$E$12,Settings!$G$12,IF(I260&gt;=Settings!$E$13,Settings!$G$13,IF(I260&gt;=Settings!$E$14,Settings!$G$14,Settings!$G$15)))))</f>
        <v/>
      </c>
    </row>
    <row r="261" customFormat="false" ht="19.5" hidden="false" customHeight="true" outlineLevel="0" collapsed="false">
      <c r="A261" s="52"/>
      <c r="B261" s="89" t="str">
        <f aca="false">IF(A261="","",IFERROR(INDEX(Students!$B$5:$B$304,MATCH(A261,Students!$A$5:$A$304,0)),"ID not found"))</f>
        <v/>
      </c>
      <c r="C261" s="85" t="str">
        <f aca="false">IF(A261="","",IFERROR(INDEX(Students!$E$5:$E$304,MATCH(A261,Students!$A$5:$A$304,0)),""))</f>
        <v/>
      </c>
      <c r="D261" s="85" t="str">
        <f aca="false">IF(A261="","",IFERROR(INDEX(Students!$F$5:$F$304,MATCH(A261,Students!$A$5:$A$304,0)),""))</f>
        <v/>
      </c>
      <c r="E261" s="86"/>
      <c r="F261" s="52"/>
      <c r="G261" s="52"/>
      <c r="H261" s="52"/>
      <c r="I261" s="93" t="str">
        <f aca="false">IF(COUNT(G261:H261)=0,"",IF(COUNT(G261:H261)=1,SUM(G261:H261),ROUND(G261*Settings!$B$8+H261*(1-Settings!$B$8),1)))</f>
        <v/>
      </c>
      <c r="J261" s="85" t="str">
        <f aca="false">IF(I261="","",IF(I261&gt;=Settings!$E$11,Settings!$F$11,IF(I261&gt;=Settings!$E$12,Settings!$F$12,IF(I261&gt;=Settings!$E$13,Settings!$F$13,IF(I261&gt;=Settings!$E$14,Settings!$F$14,Settings!$F$15)))))</f>
        <v/>
      </c>
      <c r="K261" s="85" t="str">
        <f aca="false">IF(I261="","",IF(I261&gt;=Settings!$E$11,Settings!$G$11,IF(I261&gt;=Settings!$E$12,Settings!$G$12,IF(I261&gt;=Settings!$E$13,Settings!$G$13,IF(I261&gt;=Settings!$E$14,Settings!$G$14,Settings!$G$15)))))</f>
        <v/>
      </c>
    </row>
    <row r="262" customFormat="false" ht="19.5" hidden="false" customHeight="true" outlineLevel="0" collapsed="false">
      <c r="A262" s="52"/>
      <c r="B262" s="89" t="str">
        <f aca="false">IF(A262="","",IFERROR(INDEX(Students!$B$5:$B$304,MATCH(A262,Students!$A$5:$A$304,0)),"ID not found"))</f>
        <v/>
      </c>
      <c r="C262" s="85" t="str">
        <f aca="false">IF(A262="","",IFERROR(INDEX(Students!$E$5:$E$304,MATCH(A262,Students!$A$5:$A$304,0)),""))</f>
        <v/>
      </c>
      <c r="D262" s="85" t="str">
        <f aca="false">IF(A262="","",IFERROR(INDEX(Students!$F$5:$F$304,MATCH(A262,Students!$A$5:$A$304,0)),""))</f>
        <v/>
      </c>
      <c r="E262" s="86"/>
      <c r="F262" s="52"/>
      <c r="G262" s="52"/>
      <c r="H262" s="52"/>
      <c r="I262" s="93" t="str">
        <f aca="false">IF(COUNT(G262:H262)=0,"",IF(COUNT(G262:H262)=1,SUM(G262:H262),ROUND(G262*Settings!$B$8+H262*(1-Settings!$B$8),1)))</f>
        <v/>
      </c>
      <c r="J262" s="85" t="str">
        <f aca="false">IF(I262="","",IF(I262&gt;=Settings!$E$11,Settings!$F$11,IF(I262&gt;=Settings!$E$12,Settings!$F$12,IF(I262&gt;=Settings!$E$13,Settings!$F$13,IF(I262&gt;=Settings!$E$14,Settings!$F$14,Settings!$F$15)))))</f>
        <v/>
      </c>
      <c r="K262" s="85" t="str">
        <f aca="false">IF(I262="","",IF(I262&gt;=Settings!$E$11,Settings!$G$11,IF(I262&gt;=Settings!$E$12,Settings!$G$12,IF(I262&gt;=Settings!$E$13,Settings!$G$13,IF(I262&gt;=Settings!$E$14,Settings!$G$14,Settings!$G$15)))))</f>
        <v/>
      </c>
    </row>
    <row r="263" customFormat="false" ht="19.5" hidden="false" customHeight="true" outlineLevel="0" collapsed="false">
      <c r="A263" s="52"/>
      <c r="B263" s="89" t="str">
        <f aca="false">IF(A263="","",IFERROR(INDEX(Students!$B$5:$B$304,MATCH(A263,Students!$A$5:$A$304,0)),"ID not found"))</f>
        <v/>
      </c>
      <c r="C263" s="85" t="str">
        <f aca="false">IF(A263="","",IFERROR(INDEX(Students!$E$5:$E$304,MATCH(A263,Students!$A$5:$A$304,0)),""))</f>
        <v/>
      </c>
      <c r="D263" s="85" t="str">
        <f aca="false">IF(A263="","",IFERROR(INDEX(Students!$F$5:$F$304,MATCH(A263,Students!$A$5:$A$304,0)),""))</f>
        <v/>
      </c>
      <c r="E263" s="86"/>
      <c r="F263" s="52"/>
      <c r="G263" s="52"/>
      <c r="H263" s="52"/>
      <c r="I263" s="93" t="str">
        <f aca="false">IF(COUNT(G263:H263)=0,"",IF(COUNT(G263:H263)=1,SUM(G263:H263),ROUND(G263*Settings!$B$8+H263*(1-Settings!$B$8),1)))</f>
        <v/>
      </c>
      <c r="J263" s="85" t="str">
        <f aca="false">IF(I263="","",IF(I263&gt;=Settings!$E$11,Settings!$F$11,IF(I263&gt;=Settings!$E$12,Settings!$F$12,IF(I263&gt;=Settings!$E$13,Settings!$F$13,IF(I263&gt;=Settings!$E$14,Settings!$F$14,Settings!$F$15)))))</f>
        <v/>
      </c>
      <c r="K263" s="85" t="str">
        <f aca="false">IF(I263="","",IF(I263&gt;=Settings!$E$11,Settings!$G$11,IF(I263&gt;=Settings!$E$12,Settings!$G$12,IF(I263&gt;=Settings!$E$13,Settings!$G$13,IF(I263&gt;=Settings!$E$14,Settings!$G$14,Settings!$G$15)))))</f>
        <v/>
      </c>
    </row>
    <row r="264" customFormat="false" ht="19.5" hidden="false" customHeight="true" outlineLevel="0" collapsed="false">
      <c r="A264" s="52"/>
      <c r="B264" s="89" t="str">
        <f aca="false">IF(A264="","",IFERROR(INDEX(Students!$B$5:$B$304,MATCH(A264,Students!$A$5:$A$304,0)),"ID not found"))</f>
        <v/>
      </c>
      <c r="C264" s="85" t="str">
        <f aca="false">IF(A264="","",IFERROR(INDEX(Students!$E$5:$E$304,MATCH(A264,Students!$A$5:$A$304,0)),""))</f>
        <v/>
      </c>
      <c r="D264" s="85" t="str">
        <f aca="false">IF(A264="","",IFERROR(INDEX(Students!$F$5:$F$304,MATCH(A264,Students!$A$5:$A$304,0)),""))</f>
        <v/>
      </c>
      <c r="E264" s="86"/>
      <c r="F264" s="52"/>
      <c r="G264" s="52"/>
      <c r="H264" s="52"/>
      <c r="I264" s="93" t="str">
        <f aca="false">IF(COUNT(G264:H264)=0,"",IF(COUNT(G264:H264)=1,SUM(G264:H264),ROUND(G264*Settings!$B$8+H264*(1-Settings!$B$8),1)))</f>
        <v/>
      </c>
      <c r="J264" s="85" t="str">
        <f aca="false">IF(I264="","",IF(I264&gt;=Settings!$E$11,Settings!$F$11,IF(I264&gt;=Settings!$E$12,Settings!$F$12,IF(I264&gt;=Settings!$E$13,Settings!$F$13,IF(I264&gt;=Settings!$E$14,Settings!$F$14,Settings!$F$15)))))</f>
        <v/>
      </c>
      <c r="K264" s="85" t="str">
        <f aca="false">IF(I264="","",IF(I264&gt;=Settings!$E$11,Settings!$G$11,IF(I264&gt;=Settings!$E$12,Settings!$G$12,IF(I264&gt;=Settings!$E$13,Settings!$G$13,IF(I264&gt;=Settings!$E$14,Settings!$G$14,Settings!$G$15)))))</f>
        <v/>
      </c>
    </row>
    <row r="265" customFormat="false" ht="19.5" hidden="false" customHeight="true" outlineLevel="0" collapsed="false">
      <c r="A265" s="52"/>
      <c r="B265" s="89" t="str">
        <f aca="false">IF(A265="","",IFERROR(INDEX(Students!$B$5:$B$304,MATCH(A265,Students!$A$5:$A$304,0)),"ID not found"))</f>
        <v/>
      </c>
      <c r="C265" s="85" t="str">
        <f aca="false">IF(A265="","",IFERROR(INDEX(Students!$E$5:$E$304,MATCH(A265,Students!$A$5:$A$304,0)),""))</f>
        <v/>
      </c>
      <c r="D265" s="85" t="str">
        <f aca="false">IF(A265="","",IFERROR(INDEX(Students!$F$5:$F$304,MATCH(A265,Students!$A$5:$A$304,0)),""))</f>
        <v/>
      </c>
      <c r="E265" s="86"/>
      <c r="F265" s="52"/>
      <c r="G265" s="52"/>
      <c r="H265" s="52"/>
      <c r="I265" s="93" t="str">
        <f aca="false">IF(COUNT(G265:H265)=0,"",IF(COUNT(G265:H265)=1,SUM(G265:H265),ROUND(G265*Settings!$B$8+H265*(1-Settings!$B$8),1)))</f>
        <v/>
      </c>
      <c r="J265" s="85" t="str">
        <f aca="false">IF(I265="","",IF(I265&gt;=Settings!$E$11,Settings!$F$11,IF(I265&gt;=Settings!$E$12,Settings!$F$12,IF(I265&gt;=Settings!$E$13,Settings!$F$13,IF(I265&gt;=Settings!$E$14,Settings!$F$14,Settings!$F$15)))))</f>
        <v/>
      </c>
      <c r="K265" s="85" t="str">
        <f aca="false">IF(I265="","",IF(I265&gt;=Settings!$E$11,Settings!$G$11,IF(I265&gt;=Settings!$E$12,Settings!$G$12,IF(I265&gt;=Settings!$E$13,Settings!$G$13,IF(I265&gt;=Settings!$E$14,Settings!$G$14,Settings!$G$15)))))</f>
        <v/>
      </c>
    </row>
    <row r="266" customFormat="false" ht="19.5" hidden="false" customHeight="true" outlineLevel="0" collapsed="false">
      <c r="A266" s="52"/>
      <c r="B266" s="89" t="str">
        <f aca="false">IF(A266="","",IFERROR(INDEX(Students!$B$5:$B$304,MATCH(A266,Students!$A$5:$A$304,0)),"ID not found"))</f>
        <v/>
      </c>
      <c r="C266" s="85" t="str">
        <f aca="false">IF(A266="","",IFERROR(INDEX(Students!$E$5:$E$304,MATCH(A266,Students!$A$5:$A$304,0)),""))</f>
        <v/>
      </c>
      <c r="D266" s="85" t="str">
        <f aca="false">IF(A266="","",IFERROR(INDEX(Students!$F$5:$F$304,MATCH(A266,Students!$A$5:$A$304,0)),""))</f>
        <v/>
      </c>
      <c r="E266" s="86"/>
      <c r="F266" s="52"/>
      <c r="G266" s="52"/>
      <c r="H266" s="52"/>
      <c r="I266" s="93" t="str">
        <f aca="false">IF(COUNT(G266:H266)=0,"",IF(COUNT(G266:H266)=1,SUM(G266:H266),ROUND(G266*Settings!$B$8+H266*(1-Settings!$B$8),1)))</f>
        <v/>
      </c>
      <c r="J266" s="85" t="str">
        <f aca="false">IF(I266="","",IF(I266&gt;=Settings!$E$11,Settings!$F$11,IF(I266&gt;=Settings!$E$12,Settings!$F$12,IF(I266&gt;=Settings!$E$13,Settings!$F$13,IF(I266&gt;=Settings!$E$14,Settings!$F$14,Settings!$F$15)))))</f>
        <v/>
      </c>
      <c r="K266" s="85" t="str">
        <f aca="false">IF(I266="","",IF(I266&gt;=Settings!$E$11,Settings!$G$11,IF(I266&gt;=Settings!$E$12,Settings!$G$12,IF(I266&gt;=Settings!$E$13,Settings!$G$13,IF(I266&gt;=Settings!$E$14,Settings!$G$14,Settings!$G$15)))))</f>
        <v/>
      </c>
    </row>
    <row r="267" customFormat="false" ht="19.5" hidden="false" customHeight="true" outlineLevel="0" collapsed="false">
      <c r="A267" s="52"/>
      <c r="B267" s="89" t="str">
        <f aca="false">IF(A267="","",IFERROR(INDEX(Students!$B$5:$B$304,MATCH(A267,Students!$A$5:$A$304,0)),"ID not found"))</f>
        <v/>
      </c>
      <c r="C267" s="85" t="str">
        <f aca="false">IF(A267="","",IFERROR(INDEX(Students!$E$5:$E$304,MATCH(A267,Students!$A$5:$A$304,0)),""))</f>
        <v/>
      </c>
      <c r="D267" s="85" t="str">
        <f aca="false">IF(A267="","",IFERROR(INDEX(Students!$F$5:$F$304,MATCH(A267,Students!$A$5:$A$304,0)),""))</f>
        <v/>
      </c>
      <c r="E267" s="86"/>
      <c r="F267" s="52"/>
      <c r="G267" s="52"/>
      <c r="H267" s="52"/>
      <c r="I267" s="93" t="str">
        <f aca="false">IF(COUNT(G267:H267)=0,"",IF(COUNT(G267:H267)=1,SUM(G267:H267),ROUND(G267*Settings!$B$8+H267*(1-Settings!$B$8),1)))</f>
        <v/>
      </c>
      <c r="J267" s="85" t="str">
        <f aca="false">IF(I267="","",IF(I267&gt;=Settings!$E$11,Settings!$F$11,IF(I267&gt;=Settings!$E$12,Settings!$F$12,IF(I267&gt;=Settings!$E$13,Settings!$F$13,IF(I267&gt;=Settings!$E$14,Settings!$F$14,Settings!$F$15)))))</f>
        <v/>
      </c>
      <c r="K267" s="85" t="str">
        <f aca="false">IF(I267="","",IF(I267&gt;=Settings!$E$11,Settings!$G$11,IF(I267&gt;=Settings!$E$12,Settings!$G$12,IF(I267&gt;=Settings!$E$13,Settings!$G$13,IF(I267&gt;=Settings!$E$14,Settings!$G$14,Settings!$G$15)))))</f>
        <v/>
      </c>
    </row>
    <row r="268" customFormat="false" ht="19.5" hidden="false" customHeight="true" outlineLevel="0" collapsed="false">
      <c r="A268" s="52"/>
      <c r="B268" s="89" t="str">
        <f aca="false">IF(A268="","",IFERROR(INDEX(Students!$B$5:$B$304,MATCH(A268,Students!$A$5:$A$304,0)),"ID not found"))</f>
        <v/>
      </c>
      <c r="C268" s="85" t="str">
        <f aca="false">IF(A268="","",IFERROR(INDEX(Students!$E$5:$E$304,MATCH(A268,Students!$A$5:$A$304,0)),""))</f>
        <v/>
      </c>
      <c r="D268" s="85" t="str">
        <f aca="false">IF(A268="","",IFERROR(INDEX(Students!$F$5:$F$304,MATCH(A268,Students!$A$5:$A$304,0)),""))</f>
        <v/>
      </c>
      <c r="E268" s="86"/>
      <c r="F268" s="52"/>
      <c r="G268" s="52"/>
      <c r="H268" s="52"/>
      <c r="I268" s="93" t="str">
        <f aca="false">IF(COUNT(G268:H268)=0,"",IF(COUNT(G268:H268)=1,SUM(G268:H268),ROUND(G268*Settings!$B$8+H268*(1-Settings!$B$8),1)))</f>
        <v/>
      </c>
      <c r="J268" s="85" t="str">
        <f aca="false">IF(I268="","",IF(I268&gt;=Settings!$E$11,Settings!$F$11,IF(I268&gt;=Settings!$E$12,Settings!$F$12,IF(I268&gt;=Settings!$E$13,Settings!$F$13,IF(I268&gt;=Settings!$E$14,Settings!$F$14,Settings!$F$15)))))</f>
        <v/>
      </c>
      <c r="K268" s="85" t="str">
        <f aca="false">IF(I268="","",IF(I268&gt;=Settings!$E$11,Settings!$G$11,IF(I268&gt;=Settings!$E$12,Settings!$G$12,IF(I268&gt;=Settings!$E$13,Settings!$G$13,IF(I268&gt;=Settings!$E$14,Settings!$G$14,Settings!$G$15)))))</f>
        <v/>
      </c>
    </row>
    <row r="269" customFormat="false" ht="19.5" hidden="false" customHeight="true" outlineLevel="0" collapsed="false">
      <c r="A269" s="52"/>
      <c r="B269" s="89" t="str">
        <f aca="false">IF(A269="","",IFERROR(INDEX(Students!$B$5:$B$304,MATCH(A269,Students!$A$5:$A$304,0)),"ID not found"))</f>
        <v/>
      </c>
      <c r="C269" s="85" t="str">
        <f aca="false">IF(A269="","",IFERROR(INDEX(Students!$E$5:$E$304,MATCH(A269,Students!$A$5:$A$304,0)),""))</f>
        <v/>
      </c>
      <c r="D269" s="85" t="str">
        <f aca="false">IF(A269="","",IFERROR(INDEX(Students!$F$5:$F$304,MATCH(A269,Students!$A$5:$A$304,0)),""))</f>
        <v/>
      </c>
      <c r="E269" s="86"/>
      <c r="F269" s="52"/>
      <c r="G269" s="52"/>
      <c r="H269" s="52"/>
      <c r="I269" s="93" t="str">
        <f aca="false">IF(COUNT(G269:H269)=0,"",IF(COUNT(G269:H269)=1,SUM(G269:H269),ROUND(G269*Settings!$B$8+H269*(1-Settings!$B$8),1)))</f>
        <v/>
      </c>
      <c r="J269" s="85" t="str">
        <f aca="false">IF(I269="","",IF(I269&gt;=Settings!$E$11,Settings!$F$11,IF(I269&gt;=Settings!$E$12,Settings!$F$12,IF(I269&gt;=Settings!$E$13,Settings!$F$13,IF(I269&gt;=Settings!$E$14,Settings!$F$14,Settings!$F$15)))))</f>
        <v/>
      </c>
      <c r="K269" s="85" t="str">
        <f aca="false">IF(I269="","",IF(I269&gt;=Settings!$E$11,Settings!$G$11,IF(I269&gt;=Settings!$E$12,Settings!$G$12,IF(I269&gt;=Settings!$E$13,Settings!$G$13,IF(I269&gt;=Settings!$E$14,Settings!$G$14,Settings!$G$15)))))</f>
        <v/>
      </c>
    </row>
    <row r="270" customFormat="false" ht="19.5" hidden="false" customHeight="true" outlineLevel="0" collapsed="false">
      <c r="A270" s="52"/>
      <c r="B270" s="89" t="str">
        <f aca="false">IF(A270="","",IFERROR(INDEX(Students!$B$5:$B$304,MATCH(A270,Students!$A$5:$A$304,0)),"ID not found"))</f>
        <v/>
      </c>
      <c r="C270" s="85" t="str">
        <f aca="false">IF(A270="","",IFERROR(INDEX(Students!$E$5:$E$304,MATCH(A270,Students!$A$5:$A$304,0)),""))</f>
        <v/>
      </c>
      <c r="D270" s="85" t="str">
        <f aca="false">IF(A270="","",IFERROR(INDEX(Students!$F$5:$F$304,MATCH(A270,Students!$A$5:$A$304,0)),""))</f>
        <v/>
      </c>
      <c r="E270" s="86"/>
      <c r="F270" s="52"/>
      <c r="G270" s="52"/>
      <c r="H270" s="52"/>
      <c r="I270" s="93" t="str">
        <f aca="false">IF(COUNT(G270:H270)=0,"",IF(COUNT(G270:H270)=1,SUM(G270:H270),ROUND(G270*Settings!$B$8+H270*(1-Settings!$B$8),1)))</f>
        <v/>
      </c>
      <c r="J270" s="85" t="str">
        <f aca="false">IF(I270="","",IF(I270&gt;=Settings!$E$11,Settings!$F$11,IF(I270&gt;=Settings!$E$12,Settings!$F$12,IF(I270&gt;=Settings!$E$13,Settings!$F$13,IF(I270&gt;=Settings!$E$14,Settings!$F$14,Settings!$F$15)))))</f>
        <v/>
      </c>
      <c r="K270" s="85" t="str">
        <f aca="false">IF(I270="","",IF(I270&gt;=Settings!$E$11,Settings!$G$11,IF(I270&gt;=Settings!$E$12,Settings!$G$12,IF(I270&gt;=Settings!$E$13,Settings!$G$13,IF(I270&gt;=Settings!$E$14,Settings!$G$14,Settings!$G$15)))))</f>
        <v/>
      </c>
    </row>
    <row r="271" customFormat="false" ht="19.5" hidden="false" customHeight="true" outlineLevel="0" collapsed="false">
      <c r="A271" s="52"/>
      <c r="B271" s="89" t="str">
        <f aca="false">IF(A271="","",IFERROR(INDEX(Students!$B$5:$B$304,MATCH(A271,Students!$A$5:$A$304,0)),"ID not found"))</f>
        <v/>
      </c>
      <c r="C271" s="85" t="str">
        <f aca="false">IF(A271="","",IFERROR(INDEX(Students!$E$5:$E$304,MATCH(A271,Students!$A$5:$A$304,0)),""))</f>
        <v/>
      </c>
      <c r="D271" s="85" t="str">
        <f aca="false">IF(A271="","",IFERROR(INDEX(Students!$F$5:$F$304,MATCH(A271,Students!$A$5:$A$304,0)),""))</f>
        <v/>
      </c>
      <c r="E271" s="86"/>
      <c r="F271" s="52"/>
      <c r="G271" s="52"/>
      <c r="H271" s="52"/>
      <c r="I271" s="93" t="str">
        <f aca="false">IF(COUNT(G271:H271)=0,"",IF(COUNT(G271:H271)=1,SUM(G271:H271),ROUND(G271*Settings!$B$8+H271*(1-Settings!$B$8),1)))</f>
        <v/>
      </c>
      <c r="J271" s="85" t="str">
        <f aca="false">IF(I271="","",IF(I271&gt;=Settings!$E$11,Settings!$F$11,IF(I271&gt;=Settings!$E$12,Settings!$F$12,IF(I271&gt;=Settings!$E$13,Settings!$F$13,IF(I271&gt;=Settings!$E$14,Settings!$F$14,Settings!$F$15)))))</f>
        <v/>
      </c>
      <c r="K271" s="85" t="str">
        <f aca="false">IF(I271="","",IF(I271&gt;=Settings!$E$11,Settings!$G$11,IF(I271&gt;=Settings!$E$12,Settings!$G$12,IF(I271&gt;=Settings!$E$13,Settings!$G$13,IF(I271&gt;=Settings!$E$14,Settings!$G$14,Settings!$G$15)))))</f>
        <v/>
      </c>
    </row>
    <row r="272" customFormat="false" ht="19.5" hidden="false" customHeight="true" outlineLevel="0" collapsed="false">
      <c r="A272" s="52"/>
      <c r="B272" s="89" t="str">
        <f aca="false">IF(A272="","",IFERROR(INDEX(Students!$B$5:$B$304,MATCH(A272,Students!$A$5:$A$304,0)),"ID not found"))</f>
        <v/>
      </c>
      <c r="C272" s="85" t="str">
        <f aca="false">IF(A272="","",IFERROR(INDEX(Students!$E$5:$E$304,MATCH(A272,Students!$A$5:$A$304,0)),""))</f>
        <v/>
      </c>
      <c r="D272" s="85" t="str">
        <f aca="false">IF(A272="","",IFERROR(INDEX(Students!$F$5:$F$304,MATCH(A272,Students!$A$5:$A$304,0)),""))</f>
        <v/>
      </c>
      <c r="E272" s="86"/>
      <c r="F272" s="52"/>
      <c r="G272" s="52"/>
      <c r="H272" s="52"/>
      <c r="I272" s="93" t="str">
        <f aca="false">IF(COUNT(G272:H272)=0,"",IF(COUNT(G272:H272)=1,SUM(G272:H272),ROUND(G272*Settings!$B$8+H272*(1-Settings!$B$8),1)))</f>
        <v/>
      </c>
      <c r="J272" s="85" t="str">
        <f aca="false">IF(I272="","",IF(I272&gt;=Settings!$E$11,Settings!$F$11,IF(I272&gt;=Settings!$E$12,Settings!$F$12,IF(I272&gt;=Settings!$E$13,Settings!$F$13,IF(I272&gt;=Settings!$E$14,Settings!$F$14,Settings!$F$15)))))</f>
        <v/>
      </c>
      <c r="K272" s="85" t="str">
        <f aca="false">IF(I272="","",IF(I272&gt;=Settings!$E$11,Settings!$G$11,IF(I272&gt;=Settings!$E$12,Settings!$G$12,IF(I272&gt;=Settings!$E$13,Settings!$G$13,IF(I272&gt;=Settings!$E$14,Settings!$G$14,Settings!$G$15)))))</f>
        <v/>
      </c>
    </row>
    <row r="273" customFormat="false" ht="19.5" hidden="false" customHeight="true" outlineLevel="0" collapsed="false">
      <c r="A273" s="52"/>
      <c r="B273" s="89" t="str">
        <f aca="false">IF(A273="","",IFERROR(INDEX(Students!$B$5:$B$304,MATCH(A273,Students!$A$5:$A$304,0)),"ID not found"))</f>
        <v/>
      </c>
      <c r="C273" s="85" t="str">
        <f aca="false">IF(A273="","",IFERROR(INDEX(Students!$E$5:$E$304,MATCH(A273,Students!$A$5:$A$304,0)),""))</f>
        <v/>
      </c>
      <c r="D273" s="85" t="str">
        <f aca="false">IF(A273="","",IFERROR(INDEX(Students!$F$5:$F$304,MATCH(A273,Students!$A$5:$A$304,0)),""))</f>
        <v/>
      </c>
      <c r="E273" s="86"/>
      <c r="F273" s="52"/>
      <c r="G273" s="52"/>
      <c r="H273" s="52"/>
      <c r="I273" s="93" t="str">
        <f aca="false">IF(COUNT(G273:H273)=0,"",IF(COUNT(G273:H273)=1,SUM(G273:H273),ROUND(G273*Settings!$B$8+H273*(1-Settings!$B$8),1)))</f>
        <v/>
      </c>
      <c r="J273" s="85" t="str">
        <f aca="false">IF(I273="","",IF(I273&gt;=Settings!$E$11,Settings!$F$11,IF(I273&gt;=Settings!$E$12,Settings!$F$12,IF(I273&gt;=Settings!$E$13,Settings!$F$13,IF(I273&gt;=Settings!$E$14,Settings!$F$14,Settings!$F$15)))))</f>
        <v/>
      </c>
      <c r="K273" s="85" t="str">
        <f aca="false">IF(I273="","",IF(I273&gt;=Settings!$E$11,Settings!$G$11,IF(I273&gt;=Settings!$E$12,Settings!$G$12,IF(I273&gt;=Settings!$E$13,Settings!$G$13,IF(I273&gt;=Settings!$E$14,Settings!$G$14,Settings!$G$15)))))</f>
        <v/>
      </c>
    </row>
    <row r="274" customFormat="false" ht="19.5" hidden="false" customHeight="true" outlineLevel="0" collapsed="false">
      <c r="A274" s="52"/>
      <c r="B274" s="89" t="str">
        <f aca="false">IF(A274="","",IFERROR(INDEX(Students!$B$5:$B$304,MATCH(A274,Students!$A$5:$A$304,0)),"ID not found"))</f>
        <v/>
      </c>
      <c r="C274" s="85" t="str">
        <f aca="false">IF(A274="","",IFERROR(INDEX(Students!$E$5:$E$304,MATCH(A274,Students!$A$5:$A$304,0)),""))</f>
        <v/>
      </c>
      <c r="D274" s="85" t="str">
        <f aca="false">IF(A274="","",IFERROR(INDEX(Students!$F$5:$F$304,MATCH(A274,Students!$A$5:$A$304,0)),""))</f>
        <v/>
      </c>
      <c r="E274" s="86"/>
      <c r="F274" s="52"/>
      <c r="G274" s="52"/>
      <c r="H274" s="52"/>
      <c r="I274" s="93" t="str">
        <f aca="false">IF(COUNT(G274:H274)=0,"",IF(COUNT(G274:H274)=1,SUM(G274:H274),ROUND(G274*Settings!$B$8+H274*(1-Settings!$B$8),1)))</f>
        <v/>
      </c>
      <c r="J274" s="85" t="str">
        <f aca="false">IF(I274="","",IF(I274&gt;=Settings!$E$11,Settings!$F$11,IF(I274&gt;=Settings!$E$12,Settings!$F$12,IF(I274&gt;=Settings!$E$13,Settings!$F$13,IF(I274&gt;=Settings!$E$14,Settings!$F$14,Settings!$F$15)))))</f>
        <v/>
      </c>
      <c r="K274" s="85" t="str">
        <f aca="false">IF(I274="","",IF(I274&gt;=Settings!$E$11,Settings!$G$11,IF(I274&gt;=Settings!$E$12,Settings!$G$12,IF(I274&gt;=Settings!$E$13,Settings!$G$13,IF(I274&gt;=Settings!$E$14,Settings!$G$14,Settings!$G$15)))))</f>
        <v/>
      </c>
    </row>
    <row r="275" customFormat="false" ht="19.5" hidden="false" customHeight="true" outlineLevel="0" collapsed="false">
      <c r="A275" s="52"/>
      <c r="B275" s="89" t="str">
        <f aca="false">IF(A275="","",IFERROR(INDEX(Students!$B$5:$B$304,MATCH(A275,Students!$A$5:$A$304,0)),"ID not found"))</f>
        <v/>
      </c>
      <c r="C275" s="85" t="str">
        <f aca="false">IF(A275="","",IFERROR(INDEX(Students!$E$5:$E$304,MATCH(A275,Students!$A$5:$A$304,0)),""))</f>
        <v/>
      </c>
      <c r="D275" s="85" t="str">
        <f aca="false">IF(A275="","",IFERROR(INDEX(Students!$F$5:$F$304,MATCH(A275,Students!$A$5:$A$304,0)),""))</f>
        <v/>
      </c>
      <c r="E275" s="86"/>
      <c r="F275" s="52"/>
      <c r="G275" s="52"/>
      <c r="H275" s="52"/>
      <c r="I275" s="93" t="str">
        <f aca="false">IF(COUNT(G275:H275)=0,"",IF(COUNT(G275:H275)=1,SUM(G275:H275),ROUND(G275*Settings!$B$8+H275*(1-Settings!$B$8),1)))</f>
        <v/>
      </c>
      <c r="J275" s="85" t="str">
        <f aca="false">IF(I275="","",IF(I275&gt;=Settings!$E$11,Settings!$F$11,IF(I275&gt;=Settings!$E$12,Settings!$F$12,IF(I275&gt;=Settings!$E$13,Settings!$F$13,IF(I275&gt;=Settings!$E$14,Settings!$F$14,Settings!$F$15)))))</f>
        <v/>
      </c>
      <c r="K275" s="85" t="str">
        <f aca="false">IF(I275="","",IF(I275&gt;=Settings!$E$11,Settings!$G$11,IF(I275&gt;=Settings!$E$12,Settings!$G$12,IF(I275&gt;=Settings!$E$13,Settings!$G$13,IF(I275&gt;=Settings!$E$14,Settings!$G$14,Settings!$G$15)))))</f>
        <v/>
      </c>
    </row>
    <row r="276" customFormat="false" ht="19.5" hidden="false" customHeight="true" outlineLevel="0" collapsed="false">
      <c r="A276" s="52"/>
      <c r="B276" s="89" t="str">
        <f aca="false">IF(A276="","",IFERROR(INDEX(Students!$B$5:$B$304,MATCH(A276,Students!$A$5:$A$304,0)),"ID not found"))</f>
        <v/>
      </c>
      <c r="C276" s="85" t="str">
        <f aca="false">IF(A276="","",IFERROR(INDEX(Students!$E$5:$E$304,MATCH(A276,Students!$A$5:$A$304,0)),""))</f>
        <v/>
      </c>
      <c r="D276" s="85" t="str">
        <f aca="false">IF(A276="","",IFERROR(INDEX(Students!$F$5:$F$304,MATCH(A276,Students!$A$5:$A$304,0)),""))</f>
        <v/>
      </c>
      <c r="E276" s="86"/>
      <c r="F276" s="52"/>
      <c r="G276" s="52"/>
      <c r="H276" s="52"/>
      <c r="I276" s="93" t="str">
        <f aca="false">IF(COUNT(G276:H276)=0,"",IF(COUNT(G276:H276)=1,SUM(G276:H276),ROUND(G276*Settings!$B$8+H276*(1-Settings!$B$8),1)))</f>
        <v/>
      </c>
      <c r="J276" s="85" t="str">
        <f aca="false">IF(I276="","",IF(I276&gt;=Settings!$E$11,Settings!$F$11,IF(I276&gt;=Settings!$E$12,Settings!$F$12,IF(I276&gt;=Settings!$E$13,Settings!$F$13,IF(I276&gt;=Settings!$E$14,Settings!$F$14,Settings!$F$15)))))</f>
        <v/>
      </c>
      <c r="K276" s="85" t="str">
        <f aca="false">IF(I276="","",IF(I276&gt;=Settings!$E$11,Settings!$G$11,IF(I276&gt;=Settings!$E$12,Settings!$G$12,IF(I276&gt;=Settings!$E$13,Settings!$G$13,IF(I276&gt;=Settings!$E$14,Settings!$G$14,Settings!$G$15)))))</f>
        <v/>
      </c>
    </row>
    <row r="277" customFormat="false" ht="19.5" hidden="false" customHeight="true" outlineLevel="0" collapsed="false">
      <c r="A277" s="52"/>
      <c r="B277" s="89" t="str">
        <f aca="false">IF(A277="","",IFERROR(INDEX(Students!$B$5:$B$304,MATCH(A277,Students!$A$5:$A$304,0)),"ID not found"))</f>
        <v/>
      </c>
      <c r="C277" s="85" t="str">
        <f aca="false">IF(A277="","",IFERROR(INDEX(Students!$E$5:$E$304,MATCH(A277,Students!$A$5:$A$304,0)),""))</f>
        <v/>
      </c>
      <c r="D277" s="85" t="str">
        <f aca="false">IF(A277="","",IFERROR(INDEX(Students!$F$5:$F$304,MATCH(A277,Students!$A$5:$A$304,0)),""))</f>
        <v/>
      </c>
      <c r="E277" s="86"/>
      <c r="F277" s="52"/>
      <c r="G277" s="52"/>
      <c r="H277" s="52"/>
      <c r="I277" s="93" t="str">
        <f aca="false">IF(COUNT(G277:H277)=0,"",IF(COUNT(G277:H277)=1,SUM(G277:H277),ROUND(G277*Settings!$B$8+H277*(1-Settings!$B$8),1)))</f>
        <v/>
      </c>
      <c r="J277" s="85" t="str">
        <f aca="false">IF(I277="","",IF(I277&gt;=Settings!$E$11,Settings!$F$11,IF(I277&gt;=Settings!$E$12,Settings!$F$12,IF(I277&gt;=Settings!$E$13,Settings!$F$13,IF(I277&gt;=Settings!$E$14,Settings!$F$14,Settings!$F$15)))))</f>
        <v/>
      </c>
      <c r="K277" s="85" t="str">
        <f aca="false">IF(I277="","",IF(I277&gt;=Settings!$E$11,Settings!$G$11,IF(I277&gt;=Settings!$E$12,Settings!$G$12,IF(I277&gt;=Settings!$E$13,Settings!$G$13,IF(I277&gt;=Settings!$E$14,Settings!$G$14,Settings!$G$15)))))</f>
        <v/>
      </c>
    </row>
    <row r="278" customFormat="false" ht="19.5" hidden="false" customHeight="true" outlineLevel="0" collapsed="false">
      <c r="A278" s="52"/>
      <c r="B278" s="89" t="str">
        <f aca="false">IF(A278="","",IFERROR(INDEX(Students!$B$5:$B$304,MATCH(A278,Students!$A$5:$A$304,0)),"ID not found"))</f>
        <v/>
      </c>
      <c r="C278" s="85" t="str">
        <f aca="false">IF(A278="","",IFERROR(INDEX(Students!$E$5:$E$304,MATCH(A278,Students!$A$5:$A$304,0)),""))</f>
        <v/>
      </c>
      <c r="D278" s="85" t="str">
        <f aca="false">IF(A278="","",IFERROR(INDEX(Students!$F$5:$F$304,MATCH(A278,Students!$A$5:$A$304,0)),""))</f>
        <v/>
      </c>
      <c r="E278" s="86"/>
      <c r="F278" s="52"/>
      <c r="G278" s="52"/>
      <c r="H278" s="52"/>
      <c r="I278" s="93" t="str">
        <f aca="false">IF(COUNT(G278:H278)=0,"",IF(COUNT(G278:H278)=1,SUM(G278:H278),ROUND(G278*Settings!$B$8+H278*(1-Settings!$B$8),1)))</f>
        <v/>
      </c>
      <c r="J278" s="85" t="str">
        <f aca="false">IF(I278="","",IF(I278&gt;=Settings!$E$11,Settings!$F$11,IF(I278&gt;=Settings!$E$12,Settings!$F$12,IF(I278&gt;=Settings!$E$13,Settings!$F$13,IF(I278&gt;=Settings!$E$14,Settings!$F$14,Settings!$F$15)))))</f>
        <v/>
      </c>
      <c r="K278" s="85" t="str">
        <f aca="false">IF(I278="","",IF(I278&gt;=Settings!$E$11,Settings!$G$11,IF(I278&gt;=Settings!$E$12,Settings!$G$12,IF(I278&gt;=Settings!$E$13,Settings!$G$13,IF(I278&gt;=Settings!$E$14,Settings!$G$14,Settings!$G$15)))))</f>
        <v/>
      </c>
    </row>
    <row r="279" customFormat="false" ht="19.5" hidden="false" customHeight="true" outlineLevel="0" collapsed="false">
      <c r="A279" s="52"/>
      <c r="B279" s="89" t="str">
        <f aca="false">IF(A279="","",IFERROR(INDEX(Students!$B$5:$B$304,MATCH(A279,Students!$A$5:$A$304,0)),"ID not found"))</f>
        <v/>
      </c>
      <c r="C279" s="85" t="str">
        <f aca="false">IF(A279="","",IFERROR(INDEX(Students!$E$5:$E$304,MATCH(A279,Students!$A$5:$A$304,0)),""))</f>
        <v/>
      </c>
      <c r="D279" s="85" t="str">
        <f aca="false">IF(A279="","",IFERROR(INDEX(Students!$F$5:$F$304,MATCH(A279,Students!$A$5:$A$304,0)),""))</f>
        <v/>
      </c>
      <c r="E279" s="86"/>
      <c r="F279" s="52"/>
      <c r="G279" s="52"/>
      <c r="H279" s="52"/>
      <c r="I279" s="93" t="str">
        <f aca="false">IF(COUNT(G279:H279)=0,"",IF(COUNT(G279:H279)=1,SUM(G279:H279),ROUND(G279*Settings!$B$8+H279*(1-Settings!$B$8),1)))</f>
        <v/>
      </c>
      <c r="J279" s="85" t="str">
        <f aca="false">IF(I279="","",IF(I279&gt;=Settings!$E$11,Settings!$F$11,IF(I279&gt;=Settings!$E$12,Settings!$F$12,IF(I279&gt;=Settings!$E$13,Settings!$F$13,IF(I279&gt;=Settings!$E$14,Settings!$F$14,Settings!$F$15)))))</f>
        <v/>
      </c>
      <c r="K279" s="85" t="str">
        <f aca="false">IF(I279="","",IF(I279&gt;=Settings!$E$11,Settings!$G$11,IF(I279&gt;=Settings!$E$12,Settings!$G$12,IF(I279&gt;=Settings!$E$13,Settings!$G$13,IF(I279&gt;=Settings!$E$14,Settings!$G$14,Settings!$G$15)))))</f>
        <v/>
      </c>
    </row>
    <row r="280" customFormat="false" ht="19.5" hidden="false" customHeight="true" outlineLevel="0" collapsed="false">
      <c r="A280" s="52"/>
      <c r="B280" s="89" t="str">
        <f aca="false">IF(A280="","",IFERROR(INDEX(Students!$B$5:$B$304,MATCH(A280,Students!$A$5:$A$304,0)),"ID not found"))</f>
        <v/>
      </c>
      <c r="C280" s="85" t="str">
        <f aca="false">IF(A280="","",IFERROR(INDEX(Students!$E$5:$E$304,MATCH(A280,Students!$A$5:$A$304,0)),""))</f>
        <v/>
      </c>
      <c r="D280" s="85" t="str">
        <f aca="false">IF(A280="","",IFERROR(INDEX(Students!$F$5:$F$304,MATCH(A280,Students!$A$5:$A$304,0)),""))</f>
        <v/>
      </c>
      <c r="E280" s="86"/>
      <c r="F280" s="52"/>
      <c r="G280" s="52"/>
      <c r="H280" s="52"/>
      <c r="I280" s="93" t="str">
        <f aca="false">IF(COUNT(G280:H280)=0,"",IF(COUNT(G280:H280)=1,SUM(G280:H280),ROUND(G280*Settings!$B$8+H280*(1-Settings!$B$8),1)))</f>
        <v/>
      </c>
      <c r="J280" s="85" t="str">
        <f aca="false">IF(I280="","",IF(I280&gt;=Settings!$E$11,Settings!$F$11,IF(I280&gt;=Settings!$E$12,Settings!$F$12,IF(I280&gt;=Settings!$E$13,Settings!$F$13,IF(I280&gt;=Settings!$E$14,Settings!$F$14,Settings!$F$15)))))</f>
        <v/>
      </c>
      <c r="K280" s="85" t="str">
        <f aca="false">IF(I280="","",IF(I280&gt;=Settings!$E$11,Settings!$G$11,IF(I280&gt;=Settings!$E$12,Settings!$G$12,IF(I280&gt;=Settings!$E$13,Settings!$G$13,IF(I280&gt;=Settings!$E$14,Settings!$G$14,Settings!$G$15)))))</f>
        <v/>
      </c>
    </row>
    <row r="281" customFormat="false" ht="19.5" hidden="false" customHeight="true" outlineLevel="0" collapsed="false">
      <c r="A281" s="52"/>
      <c r="B281" s="89" t="str">
        <f aca="false">IF(A281="","",IFERROR(INDEX(Students!$B$5:$B$304,MATCH(A281,Students!$A$5:$A$304,0)),"ID not found"))</f>
        <v/>
      </c>
      <c r="C281" s="85" t="str">
        <f aca="false">IF(A281="","",IFERROR(INDEX(Students!$E$5:$E$304,MATCH(A281,Students!$A$5:$A$304,0)),""))</f>
        <v/>
      </c>
      <c r="D281" s="85" t="str">
        <f aca="false">IF(A281="","",IFERROR(INDEX(Students!$F$5:$F$304,MATCH(A281,Students!$A$5:$A$304,0)),""))</f>
        <v/>
      </c>
      <c r="E281" s="86"/>
      <c r="F281" s="52"/>
      <c r="G281" s="52"/>
      <c r="H281" s="52"/>
      <c r="I281" s="93" t="str">
        <f aca="false">IF(COUNT(G281:H281)=0,"",IF(COUNT(G281:H281)=1,SUM(G281:H281),ROUND(G281*Settings!$B$8+H281*(1-Settings!$B$8),1)))</f>
        <v/>
      </c>
      <c r="J281" s="85" t="str">
        <f aca="false">IF(I281="","",IF(I281&gt;=Settings!$E$11,Settings!$F$11,IF(I281&gt;=Settings!$E$12,Settings!$F$12,IF(I281&gt;=Settings!$E$13,Settings!$F$13,IF(I281&gt;=Settings!$E$14,Settings!$F$14,Settings!$F$15)))))</f>
        <v/>
      </c>
      <c r="K281" s="85" t="str">
        <f aca="false">IF(I281="","",IF(I281&gt;=Settings!$E$11,Settings!$G$11,IF(I281&gt;=Settings!$E$12,Settings!$G$12,IF(I281&gt;=Settings!$E$13,Settings!$G$13,IF(I281&gt;=Settings!$E$14,Settings!$G$14,Settings!$G$15)))))</f>
        <v/>
      </c>
    </row>
    <row r="282" customFormat="false" ht="19.5" hidden="false" customHeight="true" outlineLevel="0" collapsed="false">
      <c r="A282" s="52"/>
      <c r="B282" s="89" t="str">
        <f aca="false">IF(A282="","",IFERROR(INDEX(Students!$B$5:$B$304,MATCH(A282,Students!$A$5:$A$304,0)),"ID not found"))</f>
        <v/>
      </c>
      <c r="C282" s="85" t="str">
        <f aca="false">IF(A282="","",IFERROR(INDEX(Students!$E$5:$E$304,MATCH(A282,Students!$A$5:$A$304,0)),""))</f>
        <v/>
      </c>
      <c r="D282" s="85" t="str">
        <f aca="false">IF(A282="","",IFERROR(INDEX(Students!$F$5:$F$304,MATCH(A282,Students!$A$5:$A$304,0)),""))</f>
        <v/>
      </c>
      <c r="E282" s="86"/>
      <c r="F282" s="52"/>
      <c r="G282" s="52"/>
      <c r="H282" s="52"/>
      <c r="I282" s="93" t="str">
        <f aca="false">IF(COUNT(G282:H282)=0,"",IF(COUNT(G282:H282)=1,SUM(G282:H282),ROUND(G282*Settings!$B$8+H282*(1-Settings!$B$8),1)))</f>
        <v/>
      </c>
      <c r="J282" s="85" t="str">
        <f aca="false">IF(I282="","",IF(I282&gt;=Settings!$E$11,Settings!$F$11,IF(I282&gt;=Settings!$E$12,Settings!$F$12,IF(I282&gt;=Settings!$E$13,Settings!$F$13,IF(I282&gt;=Settings!$E$14,Settings!$F$14,Settings!$F$15)))))</f>
        <v/>
      </c>
      <c r="K282" s="85" t="str">
        <f aca="false">IF(I282="","",IF(I282&gt;=Settings!$E$11,Settings!$G$11,IF(I282&gt;=Settings!$E$12,Settings!$G$12,IF(I282&gt;=Settings!$E$13,Settings!$G$13,IF(I282&gt;=Settings!$E$14,Settings!$G$14,Settings!$G$15)))))</f>
        <v/>
      </c>
    </row>
    <row r="283" customFormat="false" ht="19.5" hidden="false" customHeight="true" outlineLevel="0" collapsed="false">
      <c r="A283" s="52"/>
      <c r="B283" s="89" t="str">
        <f aca="false">IF(A283="","",IFERROR(INDEX(Students!$B$5:$B$304,MATCH(A283,Students!$A$5:$A$304,0)),"ID not found"))</f>
        <v/>
      </c>
      <c r="C283" s="85" t="str">
        <f aca="false">IF(A283="","",IFERROR(INDEX(Students!$E$5:$E$304,MATCH(A283,Students!$A$5:$A$304,0)),""))</f>
        <v/>
      </c>
      <c r="D283" s="85" t="str">
        <f aca="false">IF(A283="","",IFERROR(INDEX(Students!$F$5:$F$304,MATCH(A283,Students!$A$5:$A$304,0)),""))</f>
        <v/>
      </c>
      <c r="E283" s="86"/>
      <c r="F283" s="52"/>
      <c r="G283" s="52"/>
      <c r="H283" s="52"/>
      <c r="I283" s="93" t="str">
        <f aca="false">IF(COUNT(G283:H283)=0,"",IF(COUNT(G283:H283)=1,SUM(G283:H283),ROUND(G283*Settings!$B$8+H283*(1-Settings!$B$8),1)))</f>
        <v/>
      </c>
      <c r="J283" s="85" t="str">
        <f aca="false">IF(I283="","",IF(I283&gt;=Settings!$E$11,Settings!$F$11,IF(I283&gt;=Settings!$E$12,Settings!$F$12,IF(I283&gt;=Settings!$E$13,Settings!$F$13,IF(I283&gt;=Settings!$E$14,Settings!$F$14,Settings!$F$15)))))</f>
        <v/>
      </c>
      <c r="K283" s="85" t="str">
        <f aca="false">IF(I283="","",IF(I283&gt;=Settings!$E$11,Settings!$G$11,IF(I283&gt;=Settings!$E$12,Settings!$G$12,IF(I283&gt;=Settings!$E$13,Settings!$G$13,IF(I283&gt;=Settings!$E$14,Settings!$G$14,Settings!$G$15)))))</f>
        <v/>
      </c>
    </row>
    <row r="284" customFormat="false" ht="19.5" hidden="false" customHeight="true" outlineLevel="0" collapsed="false">
      <c r="A284" s="52"/>
      <c r="B284" s="89" t="str">
        <f aca="false">IF(A284="","",IFERROR(INDEX(Students!$B$5:$B$304,MATCH(A284,Students!$A$5:$A$304,0)),"ID not found"))</f>
        <v/>
      </c>
      <c r="C284" s="85" t="str">
        <f aca="false">IF(A284="","",IFERROR(INDEX(Students!$E$5:$E$304,MATCH(A284,Students!$A$5:$A$304,0)),""))</f>
        <v/>
      </c>
      <c r="D284" s="85" t="str">
        <f aca="false">IF(A284="","",IFERROR(INDEX(Students!$F$5:$F$304,MATCH(A284,Students!$A$5:$A$304,0)),""))</f>
        <v/>
      </c>
      <c r="E284" s="86"/>
      <c r="F284" s="52"/>
      <c r="G284" s="52"/>
      <c r="H284" s="52"/>
      <c r="I284" s="93" t="str">
        <f aca="false">IF(COUNT(G284:H284)=0,"",IF(COUNT(G284:H284)=1,SUM(G284:H284),ROUND(G284*Settings!$B$8+H284*(1-Settings!$B$8),1)))</f>
        <v/>
      </c>
      <c r="J284" s="85" t="str">
        <f aca="false">IF(I284="","",IF(I284&gt;=Settings!$E$11,Settings!$F$11,IF(I284&gt;=Settings!$E$12,Settings!$F$12,IF(I284&gt;=Settings!$E$13,Settings!$F$13,IF(I284&gt;=Settings!$E$14,Settings!$F$14,Settings!$F$15)))))</f>
        <v/>
      </c>
      <c r="K284" s="85" t="str">
        <f aca="false">IF(I284="","",IF(I284&gt;=Settings!$E$11,Settings!$G$11,IF(I284&gt;=Settings!$E$12,Settings!$G$12,IF(I284&gt;=Settings!$E$13,Settings!$G$13,IF(I284&gt;=Settings!$E$14,Settings!$G$14,Settings!$G$15)))))</f>
        <v/>
      </c>
    </row>
    <row r="285" customFormat="false" ht="19.5" hidden="false" customHeight="true" outlineLevel="0" collapsed="false">
      <c r="A285" s="52"/>
      <c r="B285" s="89" t="str">
        <f aca="false">IF(A285="","",IFERROR(INDEX(Students!$B$5:$B$304,MATCH(A285,Students!$A$5:$A$304,0)),"ID not found"))</f>
        <v/>
      </c>
      <c r="C285" s="85" t="str">
        <f aca="false">IF(A285="","",IFERROR(INDEX(Students!$E$5:$E$304,MATCH(A285,Students!$A$5:$A$304,0)),""))</f>
        <v/>
      </c>
      <c r="D285" s="85" t="str">
        <f aca="false">IF(A285="","",IFERROR(INDEX(Students!$F$5:$F$304,MATCH(A285,Students!$A$5:$A$304,0)),""))</f>
        <v/>
      </c>
      <c r="E285" s="86"/>
      <c r="F285" s="52"/>
      <c r="G285" s="52"/>
      <c r="H285" s="52"/>
      <c r="I285" s="93" t="str">
        <f aca="false">IF(COUNT(G285:H285)=0,"",IF(COUNT(G285:H285)=1,SUM(G285:H285),ROUND(G285*Settings!$B$8+H285*(1-Settings!$B$8),1)))</f>
        <v/>
      </c>
      <c r="J285" s="85" t="str">
        <f aca="false">IF(I285="","",IF(I285&gt;=Settings!$E$11,Settings!$F$11,IF(I285&gt;=Settings!$E$12,Settings!$F$12,IF(I285&gt;=Settings!$E$13,Settings!$F$13,IF(I285&gt;=Settings!$E$14,Settings!$F$14,Settings!$F$15)))))</f>
        <v/>
      </c>
      <c r="K285" s="85" t="str">
        <f aca="false">IF(I285="","",IF(I285&gt;=Settings!$E$11,Settings!$G$11,IF(I285&gt;=Settings!$E$12,Settings!$G$12,IF(I285&gt;=Settings!$E$13,Settings!$G$13,IF(I285&gt;=Settings!$E$14,Settings!$G$14,Settings!$G$15)))))</f>
        <v/>
      </c>
    </row>
    <row r="286" customFormat="false" ht="19.5" hidden="false" customHeight="true" outlineLevel="0" collapsed="false">
      <c r="A286" s="52"/>
      <c r="B286" s="89" t="str">
        <f aca="false">IF(A286="","",IFERROR(INDEX(Students!$B$5:$B$304,MATCH(A286,Students!$A$5:$A$304,0)),"ID not found"))</f>
        <v/>
      </c>
      <c r="C286" s="85" t="str">
        <f aca="false">IF(A286="","",IFERROR(INDEX(Students!$E$5:$E$304,MATCH(A286,Students!$A$5:$A$304,0)),""))</f>
        <v/>
      </c>
      <c r="D286" s="85" t="str">
        <f aca="false">IF(A286="","",IFERROR(INDEX(Students!$F$5:$F$304,MATCH(A286,Students!$A$5:$A$304,0)),""))</f>
        <v/>
      </c>
      <c r="E286" s="86"/>
      <c r="F286" s="52"/>
      <c r="G286" s="52"/>
      <c r="H286" s="52"/>
      <c r="I286" s="93" t="str">
        <f aca="false">IF(COUNT(G286:H286)=0,"",IF(COUNT(G286:H286)=1,SUM(G286:H286),ROUND(G286*Settings!$B$8+H286*(1-Settings!$B$8),1)))</f>
        <v/>
      </c>
      <c r="J286" s="85" t="str">
        <f aca="false">IF(I286="","",IF(I286&gt;=Settings!$E$11,Settings!$F$11,IF(I286&gt;=Settings!$E$12,Settings!$F$12,IF(I286&gt;=Settings!$E$13,Settings!$F$13,IF(I286&gt;=Settings!$E$14,Settings!$F$14,Settings!$F$15)))))</f>
        <v/>
      </c>
      <c r="K286" s="85" t="str">
        <f aca="false">IF(I286="","",IF(I286&gt;=Settings!$E$11,Settings!$G$11,IF(I286&gt;=Settings!$E$12,Settings!$G$12,IF(I286&gt;=Settings!$E$13,Settings!$G$13,IF(I286&gt;=Settings!$E$14,Settings!$G$14,Settings!$G$15)))))</f>
        <v/>
      </c>
    </row>
    <row r="287" customFormat="false" ht="19.5" hidden="false" customHeight="true" outlineLevel="0" collapsed="false">
      <c r="A287" s="52"/>
      <c r="B287" s="89" t="str">
        <f aca="false">IF(A287="","",IFERROR(INDEX(Students!$B$5:$B$304,MATCH(A287,Students!$A$5:$A$304,0)),"ID not found"))</f>
        <v/>
      </c>
      <c r="C287" s="85" t="str">
        <f aca="false">IF(A287="","",IFERROR(INDEX(Students!$E$5:$E$304,MATCH(A287,Students!$A$5:$A$304,0)),""))</f>
        <v/>
      </c>
      <c r="D287" s="85" t="str">
        <f aca="false">IF(A287="","",IFERROR(INDEX(Students!$F$5:$F$304,MATCH(A287,Students!$A$5:$A$304,0)),""))</f>
        <v/>
      </c>
      <c r="E287" s="86"/>
      <c r="F287" s="52"/>
      <c r="G287" s="52"/>
      <c r="H287" s="52"/>
      <c r="I287" s="93" t="str">
        <f aca="false">IF(COUNT(G287:H287)=0,"",IF(COUNT(G287:H287)=1,SUM(G287:H287),ROUND(G287*Settings!$B$8+H287*(1-Settings!$B$8),1)))</f>
        <v/>
      </c>
      <c r="J287" s="85" t="str">
        <f aca="false">IF(I287="","",IF(I287&gt;=Settings!$E$11,Settings!$F$11,IF(I287&gt;=Settings!$E$12,Settings!$F$12,IF(I287&gt;=Settings!$E$13,Settings!$F$13,IF(I287&gt;=Settings!$E$14,Settings!$F$14,Settings!$F$15)))))</f>
        <v/>
      </c>
      <c r="K287" s="85" t="str">
        <f aca="false">IF(I287="","",IF(I287&gt;=Settings!$E$11,Settings!$G$11,IF(I287&gt;=Settings!$E$12,Settings!$G$12,IF(I287&gt;=Settings!$E$13,Settings!$G$13,IF(I287&gt;=Settings!$E$14,Settings!$G$14,Settings!$G$15)))))</f>
        <v/>
      </c>
    </row>
    <row r="288" customFormat="false" ht="19.5" hidden="false" customHeight="true" outlineLevel="0" collapsed="false">
      <c r="A288" s="52"/>
      <c r="B288" s="89" t="str">
        <f aca="false">IF(A288="","",IFERROR(INDEX(Students!$B$5:$B$304,MATCH(A288,Students!$A$5:$A$304,0)),"ID not found"))</f>
        <v/>
      </c>
      <c r="C288" s="85" t="str">
        <f aca="false">IF(A288="","",IFERROR(INDEX(Students!$E$5:$E$304,MATCH(A288,Students!$A$5:$A$304,0)),""))</f>
        <v/>
      </c>
      <c r="D288" s="85" t="str">
        <f aca="false">IF(A288="","",IFERROR(INDEX(Students!$F$5:$F$304,MATCH(A288,Students!$A$5:$A$304,0)),""))</f>
        <v/>
      </c>
      <c r="E288" s="86"/>
      <c r="F288" s="52"/>
      <c r="G288" s="52"/>
      <c r="H288" s="52"/>
      <c r="I288" s="93" t="str">
        <f aca="false">IF(COUNT(G288:H288)=0,"",IF(COUNT(G288:H288)=1,SUM(G288:H288),ROUND(G288*Settings!$B$8+H288*(1-Settings!$B$8),1)))</f>
        <v/>
      </c>
      <c r="J288" s="85" t="str">
        <f aca="false">IF(I288="","",IF(I288&gt;=Settings!$E$11,Settings!$F$11,IF(I288&gt;=Settings!$E$12,Settings!$F$12,IF(I288&gt;=Settings!$E$13,Settings!$F$13,IF(I288&gt;=Settings!$E$14,Settings!$F$14,Settings!$F$15)))))</f>
        <v/>
      </c>
      <c r="K288" s="85" t="str">
        <f aca="false">IF(I288="","",IF(I288&gt;=Settings!$E$11,Settings!$G$11,IF(I288&gt;=Settings!$E$12,Settings!$G$12,IF(I288&gt;=Settings!$E$13,Settings!$G$13,IF(I288&gt;=Settings!$E$14,Settings!$G$14,Settings!$G$15)))))</f>
        <v/>
      </c>
    </row>
    <row r="289" customFormat="false" ht="19.5" hidden="false" customHeight="true" outlineLevel="0" collapsed="false">
      <c r="A289" s="52"/>
      <c r="B289" s="89" t="str">
        <f aca="false">IF(A289="","",IFERROR(INDEX(Students!$B$5:$B$304,MATCH(A289,Students!$A$5:$A$304,0)),"ID not found"))</f>
        <v/>
      </c>
      <c r="C289" s="85" t="str">
        <f aca="false">IF(A289="","",IFERROR(INDEX(Students!$E$5:$E$304,MATCH(A289,Students!$A$5:$A$304,0)),""))</f>
        <v/>
      </c>
      <c r="D289" s="85" t="str">
        <f aca="false">IF(A289="","",IFERROR(INDEX(Students!$F$5:$F$304,MATCH(A289,Students!$A$5:$A$304,0)),""))</f>
        <v/>
      </c>
      <c r="E289" s="86"/>
      <c r="F289" s="52"/>
      <c r="G289" s="52"/>
      <c r="H289" s="52"/>
      <c r="I289" s="93" t="str">
        <f aca="false">IF(COUNT(G289:H289)=0,"",IF(COUNT(G289:H289)=1,SUM(G289:H289),ROUND(G289*Settings!$B$8+H289*(1-Settings!$B$8),1)))</f>
        <v/>
      </c>
      <c r="J289" s="85" t="str">
        <f aca="false">IF(I289="","",IF(I289&gt;=Settings!$E$11,Settings!$F$11,IF(I289&gt;=Settings!$E$12,Settings!$F$12,IF(I289&gt;=Settings!$E$13,Settings!$F$13,IF(I289&gt;=Settings!$E$14,Settings!$F$14,Settings!$F$15)))))</f>
        <v/>
      </c>
      <c r="K289" s="85" t="str">
        <f aca="false">IF(I289="","",IF(I289&gt;=Settings!$E$11,Settings!$G$11,IF(I289&gt;=Settings!$E$12,Settings!$G$12,IF(I289&gt;=Settings!$E$13,Settings!$G$13,IF(I289&gt;=Settings!$E$14,Settings!$G$14,Settings!$G$15)))))</f>
        <v/>
      </c>
    </row>
    <row r="290" customFormat="false" ht="19.5" hidden="false" customHeight="true" outlineLevel="0" collapsed="false">
      <c r="A290" s="52"/>
      <c r="B290" s="89" t="str">
        <f aca="false">IF(A290="","",IFERROR(INDEX(Students!$B$5:$B$304,MATCH(A290,Students!$A$5:$A$304,0)),"ID not found"))</f>
        <v/>
      </c>
      <c r="C290" s="85" t="str">
        <f aca="false">IF(A290="","",IFERROR(INDEX(Students!$E$5:$E$304,MATCH(A290,Students!$A$5:$A$304,0)),""))</f>
        <v/>
      </c>
      <c r="D290" s="85" t="str">
        <f aca="false">IF(A290="","",IFERROR(INDEX(Students!$F$5:$F$304,MATCH(A290,Students!$A$5:$A$304,0)),""))</f>
        <v/>
      </c>
      <c r="E290" s="86"/>
      <c r="F290" s="52"/>
      <c r="G290" s="52"/>
      <c r="H290" s="52"/>
      <c r="I290" s="93" t="str">
        <f aca="false">IF(COUNT(G290:H290)=0,"",IF(COUNT(G290:H290)=1,SUM(G290:H290),ROUND(G290*Settings!$B$8+H290*(1-Settings!$B$8),1)))</f>
        <v/>
      </c>
      <c r="J290" s="85" t="str">
        <f aca="false">IF(I290="","",IF(I290&gt;=Settings!$E$11,Settings!$F$11,IF(I290&gt;=Settings!$E$12,Settings!$F$12,IF(I290&gt;=Settings!$E$13,Settings!$F$13,IF(I290&gt;=Settings!$E$14,Settings!$F$14,Settings!$F$15)))))</f>
        <v/>
      </c>
      <c r="K290" s="85" t="str">
        <f aca="false">IF(I290="","",IF(I290&gt;=Settings!$E$11,Settings!$G$11,IF(I290&gt;=Settings!$E$12,Settings!$G$12,IF(I290&gt;=Settings!$E$13,Settings!$G$13,IF(I290&gt;=Settings!$E$14,Settings!$G$14,Settings!$G$15)))))</f>
        <v/>
      </c>
    </row>
    <row r="291" customFormat="false" ht="19.5" hidden="false" customHeight="true" outlineLevel="0" collapsed="false">
      <c r="A291" s="52"/>
      <c r="B291" s="89" t="str">
        <f aca="false">IF(A291="","",IFERROR(INDEX(Students!$B$5:$B$304,MATCH(A291,Students!$A$5:$A$304,0)),"ID not found"))</f>
        <v/>
      </c>
      <c r="C291" s="85" t="str">
        <f aca="false">IF(A291="","",IFERROR(INDEX(Students!$E$5:$E$304,MATCH(A291,Students!$A$5:$A$304,0)),""))</f>
        <v/>
      </c>
      <c r="D291" s="85" t="str">
        <f aca="false">IF(A291="","",IFERROR(INDEX(Students!$F$5:$F$304,MATCH(A291,Students!$A$5:$A$304,0)),""))</f>
        <v/>
      </c>
      <c r="E291" s="86"/>
      <c r="F291" s="52"/>
      <c r="G291" s="52"/>
      <c r="H291" s="52"/>
      <c r="I291" s="93" t="str">
        <f aca="false">IF(COUNT(G291:H291)=0,"",IF(COUNT(G291:H291)=1,SUM(G291:H291),ROUND(G291*Settings!$B$8+H291*(1-Settings!$B$8),1)))</f>
        <v/>
      </c>
      <c r="J291" s="85" t="str">
        <f aca="false">IF(I291="","",IF(I291&gt;=Settings!$E$11,Settings!$F$11,IF(I291&gt;=Settings!$E$12,Settings!$F$12,IF(I291&gt;=Settings!$E$13,Settings!$F$13,IF(I291&gt;=Settings!$E$14,Settings!$F$14,Settings!$F$15)))))</f>
        <v/>
      </c>
      <c r="K291" s="85" t="str">
        <f aca="false">IF(I291="","",IF(I291&gt;=Settings!$E$11,Settings!$G$11,IF(I291&gt;=Settings!$E$12,Settings!$G$12,IF(I291&gt;=Settings!$E$13,Settings!$G$13,IF(I291&gt;=Settings!$E$14,Settings!$G$14,Settings!$G$15)))))</f>
        <v/>
      </c>
    </row>
    <row r="292" customFormat="false" ht="19.5" hidden="false" customHeight="true" outlineLevel="0" collapsed="false">
      <c r="A292" s="52"/>
      <c r="B292" s="89" t="str">
        <f aca="false">IF(A292="","",IFERROR(INDEX(Students!$B$5:$B$304,MATCH(A292,Students!$A$5:$A$304,0)),"ID not found"))</f>
        <v/>
      </c>
      <c r="C292" s="85" t="str">
        <f aca="false">IF(A292="","",IFERROR(INDEX(Students!$E$5:$E$304,MATCH(A292,Students!$A$5:$A$304,0)),""))</f>
        <v/>
      </c>
      <c r="D292" s="85" t="str">
        <f aca="false">IF(A292="","",IFERROR(INDEX(Students!$F$5:$F$304,MATCH(A292,Students!$A$5:$A$304,0)),""))</f>
        <v/>
      </c>
      <c r="E292" s="86"/>
      <c r="F292" s="52"/>
      <c r="G292" s="52"/>
      <c r="H292" s="52"/>
      <c r="I292" s="93" t="str">
        <f aca="false">IF(COUNT(G292:H292)=0,"",IF(COUNT(G292:H292)=1,SUM(G292:H292),ROUND(G292*Settings!$B$8+H292*(1-Settings!$B$8),1)))</f>
        <v/>
      </c>
      <c r="J292" s="85" t="str">
        <f aca="false">IF(I292="","",IF(I292&gt;=Settings!$E$11,Settings!$F$11,IF(I292&gt;=Settings!$E$12,Settings!$F$12,IF(I292&gt;=Settings!$E$13,Settings!$F$13,IF(I292&gt;=Settings!$E$14,Settings!$F$14,Settings!$F$15)))))</f>
        <v/>
      </c>
      <c r="K292" s="85" t="str">
        <f aca="false">IF(I292="","",IF(I292&gt;=Settings!$E$11,Settings!$G$11,IF(I292&gt;=Settings!$E$12,Settings!$G$12,IF(I292&gt;=Settings!$E$13,Settings!$G$13,IF(I292&gt;=Settings!$E$14,Settings!$G$14,Settings!$G$15)))))</f>
        <v/>
      </c>
    </row>
    <row r="293" customFormat="false" ht="19.5" hidden="false" customHeight="true" outlineLevel="0" collapsed="false">
      <c r="A293" s="52"/>
      <c r="B293" s="89" t="str">
        <f aca="false">IF(A293="","",IFERROR(INDEX(Students!$B$5:$B$304,MATCH(A293,Students!$A$5:$A$304,0)),"ID not found"))</f>
        <v/>
      </c>
      <c r="C293" s="85" t="str">
        <f aca="false">IF(A293="","",IFERROR(INDEX(Students!$E$5:$E$304,MATCH(A293,Students!$A$5:$A$304,0)),""))</f>
        <v/>
      </c>
      <c r="D293" s="85" t="str">
        <f aca="false">IF(A293="","",IFERROR(INDEX(Students!$F$5:$F$304,MATCH(A293,Students!$A$5:$A$304,0)),""))</f>
        <v/>
      </c>
      <c r="E293" s="86"/>
      <c r="F293" s="52"/>
      <c r="G293" s="52"/>
      <c r="H293" s="52"/>
      <c r="I293" s="93" t="str">
        <f aca="false">IF(COUNT(G293:H293)=0,"",IF(COUNT(G293:H293)=1,SUM(G293:H293),ROUND(G293*Settings!$B$8+H293*(1-Settings!$B$8),1)))</f>
        <v/>
      </c>
      <c r="J293" s="85" t="str">
        <f aca="false">IF(I293="","",IF(I293&gt;=Settings!$E$11,Settings!$F$11,IF(I293&gt;=Settings!$E$12,Settings!$F$12,IF(I293&gt;=Settings!$E$13,Settings!$F$13,IF(I293&gt;=Settings!$E$14,Settings!$F$14,Settings!$F$15)))))</f>
        <v/>
      </c>
      <c r="K293" s="85" t="str">
        <f aca="false">IF(I293="","",IF(I293&gt;=Settings!$E$11,Settings!$G$11,IF(I293&gt;=Settings!$E$12,Settings!$G$12,IF(I293&gt;=Settings!$E$13,Settings!$G$13,IF(I293&gt;=Settings!$E$14,Settings!$G$14,Settings!$G$15)))))</f>
        <v/>
      </c>
    </row>
    <row r="294" customFormat="false" ht="19.5" hidden="false" customHeight="true" outlineLevel="0" collapsed="false">
      <c r="A294" s="52"/>
      <c r="B294" s="89" t="str">
        <f aca="false">IF(A294="","",IFERROR(INDEX(Students!$B$5:$B$304,MATCH(A294,Students!$A$5:$A$304,0)),"ID not found"))</f>
        <v/>
      </c>
      <c r="C294" s="85" t="str">
        <f aca="false">IF(A294="","",IFERROR(INDEX(Students!$E$5:$E$304,MATCH(A294,Students!$A$5:$A$304,0)),""))</f>
        <v/>
      </c>
      <c r="D294" s="85" t="str">
        <f aca="false">IF(A294="","",IFERROR(INDEX(Students!$F$5:$F$304,MATCH(A294,Students!$A$5:$A$304,0)),""))</f>
        <v/>
      </c>
      <c r="E294" s="86"/>
      <c r="F294" s="52"/>
      <c r="G294" s="52"/>
      <c r="H294" s="52"/>
      <c r="I294" s="93" t="str">
        <f aca="false">IF(COUNT(G294:H294)=0,"",IF(COUNT(G294:H294)=1,SUM(G294:H294),ROUND(G294*Settings!$B$8+H294*(1-Settings!$B$8),1)))</f>
        <v/>
      </c>
      <c r="J294" s="85" t="str">
        <f aca="false">IF(I294="","",IF(I294&gt;=Settings!$E$11,Settings!$F$11,IF(I294&gt;=Settings!$E$12,Settings!$F$12,IF(I294&gt;=Settings!$E$13,Settings!$F$13,IF(I294&gt;=Settings!$E$14,Settings!$F$14,Settings!$F$15)))))</f>
        <v/>
      </c>
      <c r="K294" s="85" t="str">
        <f aca="false">IF(I294="","",IF(I294&gt;=Settings!$E$11,Settings!$G$11,IF(I294&gt;=Settings!$E$12,Settings!$G$12,IF(I294&gt;=Settings!$E$13,Settings!$G$13,IF(I294&gt;=Settings!$E$14,Settings!$G$14,Settings!$G$15)))))</f>
        <v/>
      </c>
    </row>
    <row r="295" customFormat="false" ht="19.5" hidden="false" customHeight="true" outlineLevel="0" collapsed="false">
      <c r="A295" s="52"/>
      <c r="B295" s="89" t="str">
        <f aca="false">IF(A295="","",IFERROR(INDEX(Students!$B$5:$B$304,MATCH(A295,Students!$A$5:$A$304,0)),"ID not found"))</f>
        <v/>
      </c>
      <c r="C295" s="85" t="str">
        <f aca="false">IF(A295="","",IFERROR(INDEX(Students!$E$5:$E$304,MATCH(A295,Students!$A$5:$A$304,0)),""))</f>
        <v/>
      </c>
      <c r="D295" s="85" t="str">
        <f aca="false">IF(A295="","",IFERROR(INDEX(Students!$F$5:$F$304,MATCH(A295,Students!$A$5:$A$304,0)),""))</f>
        <v/>
      </c>
      <c r="E295" s="86"/>
      <c r="F295" s="52"/>
      <c r="G295" s="52"/>
      <c r="H295" s="52"/>
      <c r="I295" s="93" t="str">
        <f aca="false">IF(COUNT(G295:H295)=0,"",IF(COUNT(G295:H295)=1,SUM(G295:H295),ROUND(G295*Settings!$B$8+H295*(1-Settings!$B$8),1)))</f>
        <v/>
      </c>
      <c r="J295" s="85" t="str">
        <f aca="false">IF(I295="","",IF(I295&gt;=Settings!$E$11,Settings!$F$11,IF(I295&gt;=Settings!$E$12,Settings!$F$12,IF(I295&gt;=Settings!$E$13,Settings!$F$13,IF(I295&gt;=Settings!$E$14,Settings!$F$14,Settings!$F$15)))))</f>
        <v/>
      </c>
      <c r="K295" s="85" t="str">
        <f aca="false">IF(I295="","",IF(I295&gt;=Settings!$E$11,Settings!$G$11,IF(I295&gt;=Settings!$E$12,Settings!$G$12,IF(I295&gt;=Settings!$E$13,Settings!$G$13,IF(I295&gt;=Settings!$E$14,Settings!$G$14,Settings!$G$15)))))</f>
        <v/>
      </c>
    </row>
    <row r="296" customFormat="false" ht="19.5" hidden="false" customHeight="true" outlineLevel="0" collapsed="false">
      <c r="A296" s="52"/>
      <c r="B296" s="89" t="str">
        <f aca="false">IF(A296="","",IFERROR(INDEX(Students!$B$5:$B$304,MATCH(A296,Students!$A$5:$A$304,0)),"ID not found"))</f>
        <v/>
      </c>
      <c r="C296" s="85" t="str">
        <f aca="false">IF(A296="","",IFERROR(INDEX(Students!$E$5:$E$304,MATCH(A296,Students!$A$5:$A$304,0)),""))</f>
        <v/>
      </c>
      <c r="D296" s="85" t="str">
        <f aca="false">IF(A296="","",IFERROR(INDEX(Students!$F$5:$F$304,MATCH(A296,Students!$A$5:$A$304,0)),""))</f>
        <v/>
      </c>
      <c r="E296" s="86"/>
      <c r="F296" s="52"/>
      <c r="G296" s="52"/>
      <c r="H296" s="52"/>
      <c r="I296" s="93" t="str">
        <f aca="false">IF(COUNT(G296:H296)=0,"",IF(COUNT(G296:H296)=1,SUM(G296:H296),ROUND(G296*Settings!$B$8+H296*(1-Settings!$B$8),1)))</f>
        <v/>
      </c>
      <c r="J296" s="85" t="str">
        <f aca="false">IF(I296="","",IF(I296&gt;=Settings!$E$11,Settings!$F$11,IF(I296&gt;=Settings!$E$12,Settings!$F$12,IF(I296&gt;=Settings!$E$13,Settings!$F$13,IF(I296&gt;=Settings!$E$14,Settings!$F$14,Settings!$F$15)))))</f>
        <v/>
      </c>
      <c r="K296" s="85" t="str">
        <f aca="false">IF(I296="","",IF(I296&gt;=Settings!$E$11,Settings!$G$11,IF(I296&gt;=Settings!$E$12,Settings!$G$12,IF(I296&gt;=Settings!$E$13,Settings!$G$13,IF(I296&gt;=Settings!$E$14,Settings!$G$14,Settings!$G$15)))))</f>
        <v/>
      </c>
    </row>
    <row r="297" customFormat="false" ht="19.5" hidden="false" customHeight="true" outlineLevel="0" collapsed="false">
      <c r="A297" s="52"/>
      <c r="B297" s="89" t="str">
        <f aca="false">IF(A297="","",IFERROR(INDEX(Students!$B$5:$B$304,MATCH(A297,Students!$A$5:$A$304,0)),"ID not found"))</f>
        <v/>
      </c>
      <c r="C297" s="85" t="str">
        <f aca="false">IF(A297="","",IFERROR(INDEX(Students!$E$5:$E$304,MATCH(A297,Students!$A$5:$A$304,0)),""))</f>
        <v/>
      </c>
      <c r="D297" s="85" t="str">
        <f aca="false">IF(A297="","",IFERROR(INDEX(Students!$F$5:$F$304,MATCH(A297,Students!$A$5:$A$304,0)),""))</f>
        <v/>
      </c>
      <c r="E297" s="86"/>
      <c r="F297" s="52"/>
      <c r="G297" s="52"/>
      <c r="H297" s="52"/>
      <c r="I297" s="93" t="str">
        <f aca="false">IF(COUNT(G297:H297)=0,"",IF(COUNT(G297:H297)=1,SUM(G297:H297),ROUND(G297*Settings!$B$8+H297*(1-Settings!$B$8),1)))</f>
        <v/>
      </c>
      <c r="J297" s="85" t="str">
        <f aca="false">IF(I297="","",IF(I297&gt;=Settings!$E$11,Settings!$F$11,IF(I297&gt;=Settings!$E$12,Settings!$F$12,IF(I297&gt;=Settings!$E$13,Settings!$F$13,IF(I297&gt;=Settings!$E$14,Settings!$F$14,Settings!$F$15)))))</f>
        <v/>
      </c>
      <c r="K297" s="85" t="str">
        <f aca="false">IF(I297="","",IF(I297&gt;=Settings!$E$11,Settings!$G$11,IF(I297&gt;=Settings!$E$12,Settings!$G$12,IF(I297&gt;=Settings!$E$13,Settings!$G$13,IF(I297&gt;=Settings!$E$14,Settings!$G$14,Settings!$G$15)))))</f>
        <v/>
      </c>
    </row>
    <row r="298" customFormat="false" ht="19.5" hidden="false" customHeight="true" outlineLevel="0" collapsed="false">
      <c r="A298" s="52"/>
      <c r="B298" s="89" t="str">
        <f aca="false">IF(A298="","",IFERROR(INDEX(Students!$B$5:$B$304,MATCH(A298,Students!$A$5:$A$304,0)),"ID not found"))</f>
        <v/>
      </c>
      <c r="C298" s="85" t="str">
        <f aca="false">IF(A298="","",IFERROR(INDEX(Students!$E$5:$E$304,MATCH(A298,Students!$A$5:$A$304,0)),""))</f>
        <v/>
      </c>
      <c r="D298" s="85" t="str">
        <f aca="false">IF(A298="","",IFERROR(INDEX(Students!$F$5:$F$304,MATCH(A298,Students!$A$5:$A$304,0)),""))</f>
        <v/>
      </c>
      <c r="E298" s="86"/>
      <c r="F298" s="52"/>
      <c r="G298" s="52"/>
      <c r="H298" s="52"/>
      <c r="I298" s="93" t="str">
        <f aca="false">IF(COUNT(G298:H298)=0,"",IF(COUNT(G298:H298)=1,SUM(G298:H298),ROUND(G298*Settings!$B$8+H298*(1-Settings!$B$8),1)))</f>
        <v/>
      </c>
      <c r="J298" s="85" t="str">
        <f aca="false">IF(I298="","",IF(I298&gt;=Settings!$E$11,Settings!$F$11,IF(I298&gt;=Settings!$E$12,Settings!$F$12,IF(I298&gt;=Settings!$E$13,Settings!$F$13,IF(I298&gt;=Settings!$E$14,Settings!$F$14,Settings!$F$15)))))</f>
        <v/>
      </c>
      <c r="K298" s="85" t="str">
        <f aca="false">IF(I298="","",IF(I298&gt;=Settings!$E$11,Settings!$G$11,IF(I298&gt;=Settings!$E$12,Settings!$G$12,IF(I298&gt;=Settings!$E$13,Settings!$G$13,IF(I298&gt;=Settings!$E$14,Settings!$G$14,Settings!$G$15)))))</f>
        <v/>
      </c>
    </row>
    <row r="299" customFormat="false" ht="19.5" hidden="false" customHeight="true" outlineLevel="0" collapsed="false">
      <c r="A299" s="52"/>
      <c r="B299" s="89" t="str">
        <f aca="false">IF(A299="","",IFERROR(INDEX(Students!$B$5:$B$304,MATCH(A299,Students!$A$5:$A$304,0)),"ID not found"))</f>
        <v/>
      </c>
      <c r="C299" s="85" t="str">
        <f aca="false">IF(A299="","",IFERROR(INDEX(Students!$E$5:$E$304,MATCH(A299,Students!$A$5:$A$304,0)),""))</f>
        <v/>
      </c>
      <c r="D299" s="85" t="str">
        <f aca="false">IF(A299="","",IFERROR(INDEX(Students!$F$5:$F$304,MATCH(A299,Students!$A$5:$A$304,0)),""))</f>
        <v/>
      </c>
      <c r="E299" s="86"/>
      <c r="F299" s="52"/>
      <c r="G299" s="52"/>
      <c r="H299" s="52"/>
      <c r="I299" s="93" t="str">
        <f aca="false">IF(COUNT(G299:H299)=0,"",IF(COUNT(G299:H299)=1,SUM(G299:H299),ROUND(G299*Settings!$B$8+H299*(1-Settings!$B$8),1)))</f>
        <v/>
      </c>
      <c r="J299" s="85" t="str">
        <f aca="false">IF(I299="","",IF(I299&gt;=Settings!$E$11,Settings!$F$11,IF(I299&gt;=Settings!$E$12,Settings!$F$12,IF(I299&gt;=Settings!$E$13,Settings!$F$13,IF(I299&gt;=Settings!$E$14,Settings!$F$14,Settings!$F$15)))))</f>
        <v/>
      </c>
      <c r="K299" s="85" t="str">
        <f aca="false">IF(I299="","",IF(I299&gt;=Settings!$E$11,Settings!$G$11,IF(I299&gt;=Settings!$E$12,Settings!$G$12,IF(I299&gt;=Settings!$E$13,Settings!$G$13,IF(I299&gt;=Settings!$E$14,Settings!$G$14,Settings!$G$15)))))</f>
        <v/>
      </c>
    </row>
    <row r="300" customFormat="false" ht="19.5" hidden="false" customHeight="true" outlineLevel="0" collapsed="false">
      <c r="A300" s="52"/>
      <c r="B300" s="89" t="str">
        <f aca="false">IF(A300="","",IFERROR(INDEX(Students!$B$5:$B$304,MATCH(A300,Students!$A$5:$A$304,0)),"ID not found"))</f>
        <v/>
      </c>
      <c r="C300" s="85" t="str">
        <f aca="false">IF(A300="","",IFERROR(INDEX(Students!$E$5:$E$304,MATCH(A300,Students!$A$5:$A$304,0)),""))</f>
        <v/>
      </c>
      <c r="D300" s="85" t="str">
        <f aca="false">IF(A300="","",IFERROR(INDEX(Students!$F$5:$F$304,MATCH(A300,Students!$A$5:$A$304,0)),""))</f>
        <v/>
      </c>
      <c r="E300" s="86"/>
      <c r="F300" s="52"/>
      <c r="G300" s="52"/>
      <c r="H300" s="52"/>
      <c r="I300" s="93" t="str">
        <f aca="false">IF(COUNT(G300:H300)=0,"",IF(COUNT(G300:H300)=1,SUM(G300:H300),ROUND(G300*Settings!$B$8+H300*(1-Settings!$B$8),1)))</f>
        <v/>
      </c>
      <c r="J300" s="85" t="str">
        <f aca="false">IF(I300="","",IF(I300&gt;=Settings!$E$11,Settings!$F$11,IF(I300&gt;=Settings!$E$12,Settings!$F$12,IF(I300&gt;=Settings!$E$13,Settings!$F$13,IF(I300&gt;=Settings!$E$14,Settings!$F$14,Settings!$F$15)))))</f>
        <v/>
      </c>
      <c r="K300" s="85" t="str">
        <f aca="false">IF(I300="","",IF(I300&gt;=Settings!$E$11,Settings!$G$11,IF(I300&gt;=Settings!$E$12,Settings!$G$12,IF(I300&gt;=Settings!$E$13,Settings!$G$13,IF(I300&gt;=Settings!$E$14,Settings!$G$14,Settings!$G$15)))))</f>
        <v/>
      </c>
    </row>
    <row r="301" customFormat="false" ht="19.5" hidden="false" customHeight="true" outlineLevel="0" collapsed="false">
      <c r="A301" s="52"/>
      <c r="B301" s="89" t="str">
        <f aca="false">IF(A301="","",IFERROR(INDEX(Students!$B$5:$B$304,MATCH(A301,Students!$A$5:$A$304,0)),"ID not found"))</f>
        <v/>
      </c>
      <c r="C301" s="85" t="str">
        <f aca="false">IF(A301="","",IFERROR(INDEX(Students!$E$5:$E$304,MATCH(A301,Students!$A$5:$A$304,0)),""))</f>
        <v/>
      </c>
      <c r="D301" s="85" t="str">
        <f aca="false">IF(A301="","",IFERROR(INDEX(Students!$F$5:$F$304,MATCH(A301,Students!$A$5:$A$304,0)),""))</f>
        <v/>
      </c>
      <c r="E301" s="86"/>
      <c r="F301" s="52"/>
      <c r="G301" s="52"/>
      <c r="H301" s="52"/>
      <c r="I301" s="93" t="str">
        <f aca="false">IF(COUNT(G301:H301)=0,"",IF(COUNT(G301:H301)=1,SUM(G301:H301),ROUND(G301*Settings!$B$8+H301*(1-Settings!$B$8),1)))</f>
        <v/>
      </c>
      <c r="J301" s="85" t="str">
        <f aca="false">IF(I301="","",IF(I301&gt;=Settings!$E$11,Settings!$F$11,IF(I301&gt;=Settings!$E$12,Settings!$F$12,IF(I301&gt;=Settings!$E$13,Settings!$F$13,IF(I301&gt;=Settings!$E$14,Settings!$F$14,Settings!$F$15)))))</f>
        <v/>
      </c>
      <c r="K301" s="85" t="str">
        <f aca="false">IF(I301="","",IF(I301&gt;=Settings!$E$11,Settings!$G$11,IF(I301&gt;=Settings!$E$12,Settings!$G$12,IF(I301&gt;=Settings!$E$13,Settings!$G$13,IF(I301&gt;=Settings!$E$14,Settings!$G$14,Settings!$G$15)))))</f>
        <v/>
      </c>
    </row>
    <row r="302" customFormat="false" ht="19.5" hidden="false" customHeight="true" outlineLevel="0" collapsed="false">
      <c r="A302" s="52"/>
      <c r="B302" s="89" t="str">
        <f aca="false">IF(A302="","",IFERROR(INDEX(Students!$B$5:$B$304,MATCH(A302,Students!$A$5:$A$304,0)),"ID not found"))</f>
        <v/>
      </c>
      <c r="C302" s="85" t="str">
        <f aca="false">IF(A302="","",IFERROR(INDEX(Students!$E$5:$E$304,MATCH(A302,Students!$A$5:$A$304,0)),""))</f>
        <v/>
      </c>
      <c r="D302" s="85" t="str">
        <f aca="false">IF(A302="","",IFERROR(INDEX(Students!$F$5:$F$304,MATCH(A302,Students!$A$5:$A$304,0)),""))</f>
        <v/>
      </c>
      <c r="E302" s="86"/>
      <c r="F302" s="52"/>
      <c r="G302" s="52"/>
      <c r="H302" s="52"/>
      <c r="I302" s="93" t="str">
        <f aca="false">IF(COUNT(G302:H302)=0,"",IF(COUNT(G302:H302)=1,SUM(G302:H302),ROUND(G302*Settings!$B$8+H302*(1-Settings!$B$8),1)))</f>
        <v/>
      </c>
      <c r="J302" s="85" t="str">
        <f aca="false">IF(I302="","",IF(I302&gt;=Settings!$E$11,Settings!$F$11,IF(I302&gt;=Settings!$E$12,Settings!$F$12,IF(I302&gt;=Settings!$E$13,Settings!$F$13,IF(I302&gt;=Settings!$E$14,Settings!$F$14,Settings!$F$15)))))</f>
        <v/>
      </c>
      <c r="K302" s="85" t="str">
        <f aca="false">IF(I302="","",IF(I302&gt;=Settings!$E$11,Settings!$G$11,IF(I302&gt;=Settings!$E$12,Settings!$G$12,IF(I302&gt;=Settings!$E$13,Settings!$G$13,IF(I302&gt;=Settings!$E$14,Settings!$G$14,Settings!$G$15)))))</f>
        <v/>
      </c>
    </row>
    <row r="303" customFormat="false" ht="19.5" hidden="false" customHeight="true" outlineLevel="0" collapsed="false">
      <c r="A303" s="52"/>
      <c r="B303" s="89" t="str">
        <f aca="false">IF(A303="","",IFERROR(INDEX(Students!$B$5:$B$304,MATCH(A303,Students!$A$5:$A$304,0)),"ID not found"))</f>
        <v/>
      </c>
      <c r="C303" s="85" t="str">
        <f aca="false">IF(A303="","",IFERROR(INDEX(Students!$E$5:$E$304,MATCH(A303,Students!$A$5:$A$304,0)),""))</f>
        <v/>
      </c>
      <c r="D303" s="85" t="str">
        <f aca="false">IF(A303="","",IFERROR(INDEX(Students!$F$5:$F$304,MATCH(A303,Students!$A$5:$A$304,0)),""))</f>
        <v/>
      </c>
      <c r="E303" s="86"/>
      <c r="F303" s="52"/>
      <c r="G303" s="52"/>
      <c r="H303" s="52"/>
      <c r="I303" s="93" t="str">
        <f aca="false">IF(COUNT(G303:H303)=0,"",IF(COUNT(G303:H303)=1,SUM(G303:H303),ROUND(G303*Settings!$B$8+H303*(1-Settings!$B$8),1)))</f>
        <v/>
      </c>
      <c r="J303" s="85" t="str">
        <f aca="false">IF(I303="","",IF(I303&gt;=Settings!$E$11,Settings!$F$11,IF(I303&gt;=Settings!$E$12,Settings!$F$12,IF(I303&gt;=Settings!$E$13,Settings!$F$13,IF(I303&gt;=Settings!$E$14,Settings!$F$14,Settings!$F$15)))))</f>
        <v/>
      </c>
      <c r="K303" s="85" t="str">
        <f aca="false">IF(I303="","",IF(I303&gt;=Settings!$E$11,Settings!$G$11,IF(I303&gt;=Settings!$E$12,Settings!$G$12,IF(I303&gt;=Settings!$E$13,Settings!$G$13,IF(I303&gt;=Settings!$E$14,Settings!$G$14,Settings!$G$15)))))</f>
        <v/>
      </c>
    </row>
    <row r="304" customFormat="false" ht="19.5" hidden="false" customHeight="true" outlineLevel="0" collapsed="false">
      <c r="A304" s="52"/>
      <c r="B304" s="89" t="str">
        <f aca="false">IF(A304="","",IFERROR(INDEX(Students!$B$5:$B$304,MATCH(A304,Students!$A$5:$A$304,0)),"ID not found"))</f>
        <v/>
      </c>
      <c r="C304" s="85" t="str">
        <f aca="false">IF(A304="","",IFERROR(INDEX(Students!$E$5:$E$304,MATCH(A304,Students!$A$5:$A$304,0)),""))</f>
        <v/>
      </c>
      <c r="D304" s="85" t="str">
        <f aca="false">IF(A304="","",IFERROR(INDEX(Students!$F$5:$F$304,MATCH(A304,Students!$A$5:$A$304,0)),""))</f>
        <v/>
      </c>
      <c r="E304" s="86"/>
      <c r="F304" s="52"/>
      <c r="G304" s="52"/>
      <c r="H304" s="52"/>
      <c r="I304" s="93" t="str">
        <f aca="false">IF(COUNT(G304:H304)=0,"",IF(COUNT(G304:H304)=1,SUM(G304:H304),ROUND(G304*Settings!$B$8+H304*(1-Settings!$B$8),1)))</f>
        <v/>
      </c>
      <c r="J304" s="85" t="str">
        <f aca="false">IF(I304="","",IF(I304&gt;=Settings!$E$11,Settings!$F$11,IF(I304&gt;=Settings!$E$12,Settings!$F$12,IF(I304&gt;=Settings!$E$13,Settings!$F$13,IF(I304&gt;=Settings!$E$14,Settings!$F$14,Settings!$F$15)))))</f>
        <v/>
      </c>
      <c r="K304" s="85" t="str">
        <f aca="false">IF(I304="","",IF(I304&gt;=Settings!$E$11,Settings!$G$11,IF(I304&gt;=Settings!$E$12,Settings!$G$12,IF(I304&gt;=Settings!$E$13,Settings!$G$13,IF(I304&gt;=Settings!$E$14,Settings!$G$14,Settings!$G$15)))))</f>
        <v/>
      </c>
    </row>
  </sheetData>
  <mergeCells count="3">
    <mergeCell ref="A1:K1"/>
    <mergeCell ref="A2:K2"/>
    <mergeCell ref="A3:K3"/>
  </mergeCells>
  <conditionalFormatting sqref="A5:K304">
    <cfRule type="expression" priority="2" aboveAverage="0" equalAverage="0" bottom="0" percent="0" rank="0" text="" dxfId="0">
      <formula>AND(MOD(ROW(),2)=0,$A5&lt;&gt;"")</formula>
    </cfRule>
  </conditionalFormatting>
  <conditionalFormatting sqref="J5:J304">
    <cfRule type="expression" priority="3" aboveAverage="0" equalAverage="0" bottom="0" percent="0" rank="0" text="" dxfId="6">
      <formula>$J5="A"</formula>
    </cfRule>
    <cfRule type="expression" priority="4" aboveAverage="0" equalAverage="0" bottom="0" percent="0" rank="0" text="" dxfId="6">
      <formula>$J5="B"</formula>
    </cfRule>
    <cfRule type="expression" priority="5" aboveAverage="0" equalAverage="0" bottom="0" percent="0" rank="0" text="" dxfId="5">
      <formula>$J5="C"</formula>
    </cfRule>
    <cfRule type="expression" priority="6" aboveAverage="0" equalAverage="0" bottom="0" percent="0" rank="0" text="" dxfId="5">
      <formula>$J5="D"</formula>
    </cfRule>
    <cfRule type="expression" priority="7" aboveAverage="0" equalAverage="0" bottom="0" percent="0" rank="0" text="" dxfId="7">
      <formula>$J5="F"</formula>
    </cfRule>
  </conditionalFormatting>
  <dataValidations count="4">
    <dataValidation allowBlank="true" error="Pick a Student ID from the Students tab." errorStyle="stop" errorTitle="Invalid entry" operator="between" showDropDown="false" showErrorMessage="true" showInputMessage="false" sqref="A5:A304" type="list">
      <formula1>Students!$A$5:$A$304</formula1>
      <formula2>0</formula2>
    </dataValidation>
    <dataValidation allowBlank="true" error="Choose from the list." errorStyle="stop" errorTitle="Invalid entry" operator="between" showDropDown="false" showErrorMessage="true" showInputMessage="false" sqref="E5:E304" type="list">
      <formula1>Settings!$C$11:$C$25</formula1>
      <formula2>0</formula2>
    </dataValidation>
    <dataValidation allowBlank="true" error="Choose from the list." errorStyle="stop" errorTitle="Invalid entry" operator="between" showDropDown="false" showErrorMessage="true" showInputMessage="false" sqref="F5:F304" type="list">
      <formula1>Settings!$A$11:$A$14</formula1>
      <formula2>0</formula2>
    </dataValidation>
    <dataValidation allowBlank="true" error="Enter a score from 0 to 100." errorStyle="stop" errorTitle="Invalid score" operator="between" showDropDown="false" showErrorMessage="true" showInputMessage="false" sqref="G5:H304" type="decimal">
      <formula1>0</formula1>
      <formula2>100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2A2B"/>
    <pageSetUpPr fitToPage="true"/>
  </sheetPr>
  <dimension ref="A1:K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4" min="3" style="1" width="12"/>
    <col collapsed="false" customWidth="true" hidden="false" outlineLevel="0" max="5" min="5" style="1" width="10"/>
    <col collapsed="false" customWidth="true" hidden="false" outlineLevel="0" max="9" min="6" style="1" width="14"/>
    <col collapsed="false" customWidth="true" hidden="false" outlineLevel="0" max="10" min="10" style="1" width="12"/>
    <col collapsed="false" customWidth="true" hidden="false" outlineLevel="0" max="11" min="11" style="1" width="16"/>
  </cols>
  <sheetData>
    <row r="1" customFormat="false" ht="42" hidden="false" customHeight="true" outlineLevel="0" collapsed="false">
      <c r="A1" s="2" t="s">
        <v>361</v>
      </c>
      <c r="B1" s="2"/>
      <c r="C1" s="2"/>
      <c r="D1" s="2"/>
      <c r="E1" s="2"/>
      <c r="F1" s="2"/>
      <c r="G1" s="2"/>
      <c r="H1" s="2"/>
      <c r="I1" s="2"/>
      <c r="J1" s="2"/>
      <c r="K1" s="2"/>
    </row>
    <row r="2" customFormat="false" ht="19.5" hidden="false" customHeight="true" outlineLevel="0" collapsed="false">
      <c r="A2" s="3" t="s">
        <v>362</v>
      </c>
      <c r="B2" s="3"/>
      <c r="C2" s="3"/>
      <c r="D2" s="3"/>
      <c r="E2" s="3"/>
      <c r="F2" s="3"/>
      <c r="G2" s="3"/>
      <c r="H2" s="3"/>
      <c r="I2" s="3"/>
      <c r="J2" s="3"/>
      <c r="K2" s="3"/>
    </row>
    <row r="3" customFormat="false" ht="3.75" hidden="false" customHeight="true" outlineLevel="0" collapsed="false">
      <c r="A3" s="4"/>
      <c r="B3" s="4"/>
      <c r="C3" s="4"/>
      <c r="D3" s="4"/>
      <c r="E3" s="4"/>
      <c r="F3" s="4"/>
      <c r="G3" s="4"/>
      <c r="H3" s="4"/>
      <c r="I3" s="4"/>
      <c r="J3" s="4"/>
      <c r="K3" s="4"/>
    </row>
    <row r="4" customFormat="false" ht="33.75" hidden="false" customHeight="true" outlineLevel="0" collapsed="false">
      <c r="A4" s="15" t="s">
        <v>150</v>
      </c>
      <c r="B4" s="15" t="s">
        <v>151</v>
      </c>
      <c r="C4" s="15" t="s">
        <v>99</v>
      </c>
      <c r="D4" s="15" t="s">
        <v>340</v>
      </c>
      <c r="E4" s="15" t="s">
        <v>278</v>
      </c>
      <c r="F4" s="15" t="s">
        <v>363</v>
      </c>
      <c r="G4" s="15" t="s">
        <v>364</v>
      </c>
      <c r="H4" s="15" t="s">
        <v>365</v>
      </c>
      <c r="I4" s="15" t="s">
        <v>366</v>
      </c>
      <c r="J4" s="15" t="s">
        <v>331</v>
      </c>
      <c r="K4" s="15" t="s">
        <v>367</v>
      </c>
    </row>
    <row r="5" customFormat="false" ht="19.5" hidden="false" customHeight="true" outlineLevel="0" collapsed="false">
      <c r="A5" s="87" t="s">
        <v>114</v>
      </c>
      <c r="B5" s="88" t="str">
        <f aca="false">IF(A5="","",IFERROR(INDEX(Students!$B$5:$B$304,MATCH(A5,Students!$A$5:$A$304,0)),"ID not found"))</f>
        <v>Aminata Conteh</v>
      </c>
      <c r="C5" s="83" t="str">
        <f aca="false">IF(A5="","",IFERROR(INDEX(Students!$E$5:$E$304,MATCH(A5,Students!$A$5:$A$304,0)),""))</f>
        <v>SCH01</v>
      </c>
      <c r="D5" s="83" t="str">
        <f aca="false">IF(A5="","",IFERROR(INDEX(Students!$F$5:$F$304,MATCH(A5,Students!$A$5:$A$304,0)),""))</f>
        <v>Class 4</v>
      </c>
      <c r="E5" s="87" t="s">
        <v>130</v>
      </c>
      <c r="F5" s="94" t="n">
        <v>500</v>
      </c>
      <c r="G5" s="94" t="n">
        <v>300</v>
      </c>
      <c r="H5" s="90" t="n">
        <v>46285</v>
      </c>
      <c r="I5" s="95" t="n">
        <f aca="false">IF(A5="","",F5-G5)</f>
        <v>200</v>
      </c>
      <c r="J5" s="83" t="str">
        <f aca="false">IF(A5="","",IF(I5&lt;=0,"Paid",IF(G5&gt;0,"Partial","Unpaid")))</f>
        <v>Partial</v>
      </c>
      <c r="K5" s="96"/>
    </row>
    <row r="6" customFormat="false" ht="19.5" hidden="false" customHeight="true" outlineLevel="0" collapsed="false">
      <c r="A6" s="52"/>
      <c r="B6" s="89" t="str">
        <f aca="false">IF(A6="","",IFERROR(INDEX(Students!$B$5:$B$304,MATCH(A6,Students!$A$5:$A$304,0)),"ID not found"))</f>
        <v/>
      </c>
      <c r="C6" s="85" t="str">
        <f aca="false">IF(A6="","",IFERROR(INDEX(Students!$E$5:$E$304,MATCH(A6,Students!$A$5:$A$304,0)),""))</f>
        <v/>
      </c>
      <c r="D6" s="85" t="str">
        <f aca="false">IF(A6="","",IFERROR(INDEX(Students!$F$5:$F$304,MATCH(A6,Students!$A$5:$A$304,0)),""))</f>
        <v/>
      </c>
      <c r="E6" s="52"/>
      <c r="F6" s="97"/>
      <c r="G6" s="97"/>
      <c r="H6" s="91"/>
      <c r="I6" s="98" t="str">
        <f aca="false">IF(A6="","",F6-G6)</f>
        <v/>
      </c>
      <c r="J6" s="85" t="str">
        <f aca="false">IF(A6="","",IF(I6&lt;=0,"Paid",IF(G6&gt;0,"Partial","Unpaid")))</f>
        <v/>
      </c>
      <c r="K6" s="99"/>
    </row>
    <row r="7" customFormat="false" ht="19.5" hidden="false" customHeight="true" outlineLevel="0" collapsed="false">
      <c r="A7" s="52"/>
      <c r="B7" s="89" t="str">
        <f aca="false">IF(A7="","",IFERROR(INDEX(Students!$B$5:$B$304,MATCH(A7,Students!$A$5:$A$304,0)),"ID not found"))</f>
        <v/>
      </c>
      <c r="C7" s="85" t="str">
        <f aca="false">IF(A7="","",IFERROR(INDEX(Students!$E$5:$E$304,MATCH(A7,Students!$A$5:$A$304,0)),""))</f>
        <v/>
      </c>
      <c r="D7" s="85" t="str">
        <f aca="false">IF(A7="","",IFERROR(INDEX(Students!$F$5:$F$304,MATCH(A7,Students!$A$5:$A$304,0)),""))</f>
        <v/>
      </c>
      <c r="E7" s="52"/>
      <c r="F7" s="97"/>
      <c r="G7" s="97"/>
      <c r="H7" s="91"/>
      <c r="I7" s="98" t="str">
        <f aca="false">IF(A7="","",F7-G7)</f>
        <v/>
      </c>
      <c r="J7" s="85" t="str">
        <f aca="false">IF(A7="","",IF(I7&lt;=0,"Paid",IF(G7&gt;0,"Partial","Unpaid")))</f>
        <v/>
      </c>
      <c r="K7" s="99"/>
    </row>
    <row r="8" customFormat="false" ht="19.5" hidden="false" customHeight="true" outlineLevel="0" collapsed="false">
      <c r="A8" s="52"/>
      <c r="B8" s="89" t="str">
        <f aca="false">IF(A8="","",IFERROR(INDEX(Students!$B$5:$B$304,MATCH(A8,Students!$A$5:$A$304,0)),"ID not found"))</f>
        <v/>
      </c>
      <c r="C8" s="85" t="str">
        <f aca="false">IF(A8="","",IFERROR(INDEX(Students!$E$5:$E$304,MATCH(A8,Students!$A$5:$A$304,0)),""))</f>
        <v/>
      </c>
      <c r="D8" s="85" t="str">
        <f aca="false">IF(A8="","",IFERROR(INDEX(Students!$F$5:$F$304,MATCH(A8,Students!$A$5:$A$304,0)),""))</f>
        <v/>
      </c>
      <c r="E8" s="52"/>
      <c r="F8" s="97"/>
      <c r="G8" s="97"/>
      <c r="H8" s="91"/>
      <c r="I8" s="98" t="str">
        <f aca="false">IF(A8="","",F8-G8)</f>
        <v/>
      </c>
      <c r="J8" s="85" t="str">
        <f aca="false">IF(A8="","",IF(I8&lt;=0,"Paid",IF(G8&gt;0,"Partial","Unpaid")))</f>
        <v/>
      </c>
      <c r="K8" s="99"/>
    </row>
    <row r="9" customFormat="false" ht="19.5" hidden="false" customHeight="true" outlineLevel="0" collapsed="false">
      <c r="A9" s="52"/>
      <c r="B9" s="89" t="str">
        <f aca="false">IF(A9="","",IFERROR(INDEX(Students!$B$5:$B$304,MATCH(A9,Students!$A$5:$A$304,0)),"ID not found"))</f>
        <v/>
      </c>
      <c r="C9" s="85" t="str">
        <f aca="false">IF(A9="","",IFERROR(INDEX(Students!$E$5:$E$304,MATCH(A9,Students!$A$5:$A$304,0)),""))</f>
        <v/>
      </c>
      <c r="D9" s="85" t="str">
        <f aca="false">IF(A9="","",IFERROR(INDEX(Students!$F$5:$F$304,MATCH(A9,Students!$A$5:$A$304,0)),""))</f>
        <v/>
      </c>
      <c r="E9" s="52"/>
      <c r="F9" s="97"/>
      <c r="G9" s="97"/>
      <c r="H9" s="91"/>
      <c r="I9" s="98" t="str">
        <f aca="false">IF(A9="","",F9-G9)</f>
        <v/>
      </c>
      <c r="J9" s="85" t="str">
        <f aca="false">IF(A9="","",IF(I9&lt;=0,"Paid",IF(G9&gt;0,"Partial","Unpaid")))</f>
        <v/>
      </c>
      <c r="K9" s="99"/>
    </row>
    <row r="10" customFormat="false" ht="19.5" hidden="false" customHeight="true" outlineLevel="0" collapsed="false">
      <c r="A10" s="52"/>
      <c r="B10" s="89" t="str">
        <f aca="false">IF(A10="","",IFERROR(INDEX(Students!$B$5:$B$304,MATCH(A10,Students!$A$5:$A$304,0)),"ID not found"))</f>
        <v/>
      </c>
      <c r="C10" s="85" t="str">
        <f aca="false">IF(A10="","",IFERROR(INDEX(Students!$E$5:$E$304,MATCH(A10,Students!$A$5:$A$304,0)),""))</f>
        <v/>
      </c>
      <c r="D10" s="85" t="str">
        <f aca="false">IF(A10="","",IFERROR(INDEX(Students!$F$5:$F$304,MATCH(A10,Students!$A$5:$A$304,0)),""))</f>
        <v/>
      </c>
      <c r="E10" s="52"/>
      <c r="F10" s="97"/>
      <c r="G10" s="97"/>
      <c r="H10" s="91"/>
      <c r="I10" s="98" t="str">
        <f aca="false">IF(A10="","",F10-G10)</f>
        <v/>
      </c>
      <c r="J10" s="85" t="str">
        <f aca="false">IF(A10="","",IF(I10&lt;=0,"Paid",IF(G10&gt;0,"Partial","Unpaid")))</f>
        <v/>
      </c>
      <c r="K10" s="99"/>
    </row>
    <row r="11" customFormat="false" ht="19.5" hidden="false" customHeight="true" outlineLevel="0" collapsed="false">
      <c r="A11" s="52"/>
      <c r="B11" s="89" t="str">
        <f aca="false">IF(A11="","",IFERROR(INDEX(Students!$B$5:$B$304,MATCH(A11,Students!$A$5:$A$304,0)),"ID not found"))</f>
        <v/>
      </c>
      <c r="C11" s="85" t="str">
        <f aca="false">IF(A11="","",IFERROR(INDEX(Students!$E$5:$E$304,MATCH(A11,Students!$A$5:$A$304,0)),""))</f>
        <v/>
      </c>
      <c r="D11" s="85" t="str">
        <f aca="false">IF(A11="","",IFERROR(INDEX(Students!$F$5:$F$304,MATCH(A11,Students!$A$5:$A$304,0)),""))</f>
        <v/>
      </c>
      <c r="E11" s="52"/>
      <c r="F11" s="97"/>
      <c r="G11" s="97"/>
      <c r="H11" s="91"/>
      <c r="I11" s="98" t="str">
        <f aca="false">IF(A11="","",F11-G11)</f>
        <v/>
      </c>
      <c r="J11" s="85" t="str">
        <f aca="false">IF(A11="","",IF(I11&lt;=0,"Paid",IF(G11&gt;0,"Partial","Unpaid")))</f>
        <v/>
      </c>
      <c r="K11" s="99"/>
    </row>
    <row r="12" customFormat="false" ht="19.5" hidden="false" customHeight="true" outlineLevel="0" collapsed="false">
      <c r="A12" s="52"/>
      <c r="B12" s="89" t="str">
        <f aca="false">IF(A12="","",IFERROR(INDEX(Students!$B$5:$B$304,MATCH(A12,Students!$A$5:$A$304,0)),"ID not found"))</f>
        <v/>
      </c>
      <c r="C12" s="85" t="str">
        <f aca="false">IF(A12="","",IFERROR(INDEX(Students!$E$5:$E$304,MATCH(A12,Students!$A$5:$A$304,0)),""))</f>
        <v/>
      </c>
      <c r="D12" s="85" t="str">
        <f aca="false">IF(A12="","",IFERROR(INDEX(Students!$F$5:$F$304,MATCH(A12,Students!$A$5:$A$304,0)),""))</f>
        <v/>
      </c>
      <c r="E12" s="52"/>
      <c r="F12" s="97"/>
      <c r="G12" s="97"/>
      <c r="H12" s="91"/>
      <c r="I12" s="98" t="str">
        <f aca="false">IF(A12="","",F12-G12)</f>
        <v/>
      </c>
      <c r="J12" s="85" t="str">
        <f aca="false">IF(A12="","",IF(I12&lt;=0,"Paid",IF(G12&gt;0,"Partial","Unpaid")))</f>
        <v/>
      </c>
      <c r="K12" s="99"/>
    </row>
    <row r="13" customFormat="false" ht="19.5" hidden="false" customHeight="true" outlineLevel="0" collapsed="false">
      <c r="A13" s="52"/>
      <c r="B13" s="89" t="str">
        <f aca="false">IF(A13="","",IFERROR(INDEX(Students!$B$5:$B$304,MATCH(A13,Students!$A$5:$A$304,0)),"ID not found"))</f>
        <v/>
      </c>
      <c r="C13" s="85" t="str">
        <f aca="false">IF(A13="","",IFERROR(INDEX(Students!$E$5:$E$304,MATCH(A13,Students!$A$5:$A$304,0)),""))</f>
        <v/>
      </c>
      <c r="D13" s="85" t="str">
        <f aca="false">IF(A13="","",IFERROR(INDEX(Students!$F$5:$F$304,MATCH(A13,Students!$A$5:$A$304,0)),""))</f>
        <v/>
      </c>
      <c r="E13" s="52"/>
      <c r="F13" s="97"/>
      <c r="G13" s="97"/>
      <c r="H13" s="91"/>
      <c r="I13" s="98" t="str">
        <f aca="false">IF(A13="","",F13-G13)</f>
        <v/>
      </c>
      <c r="J13" s="85" t="str">
        <f aca="false">IF(A13="","",IF(I13&lt;=0,"Paid",IF(G13&gt;0,"Partial","Unpaid")))</f>
        <v/>
      </c>
      <c r="K13" s="99"/>
    </row>
    <row r="14" customFormat="false" ht="19.5" hidden="false" customHeight="true" outlineLevel="0" collapsed="false">
      <c r="A14" s="52"/>
      <c r="B14" s="89" t="str">
        <f aca="false">IF(A14="","",IFERROR(INDEX(Students!$B$5:$B$304,MATCH(A14,Students!$A$5:$A$304,0)),"ID not found"))</f>
        <v/>
      </c>
      <c r="C14" s="85" t="str">
        <f aca="false">IF(A14="","",IFERROR(INDEX(Students!$E$5:$E$304,MATCH(A14,Students!$A$5:$A$304,0)),""))</f>
        <v/>
      </c>
      <c r="D14" s="85" t="str">
        <f aca="false">IF(A14="","",IFERROR(INDEX(Students!$F$5:$F$304,MATCH(A14,Students!$A$5:$A$304,0)),""))</f>
        <v/>
      </c>
      <c r="E14" s="52"/>
      <c r="F14" s="97"/>
      <c r="G14" s="97"/>
      <c r="H14" s="91"/>
      <c r="I14" s="98" t="str">
        <f aca="false">IF(A14="","",F14-G14)</f>
        <v/>
      </c>
      <c r="J14" s="85" t="str">
        <f aca="false">IF(A14="","",IF(I14&lt;=0,"Paid",IF(G14&gt;0,"Partial","Unpaid")))</f>
        <v/>
      </c>
      <c r="K14" s="99"/>
    </row>
    <row r="15" customFormat="false" ht="19.5" hidden="false" customHeight="true" outlineLevel="0" collapsed="false">
      <c r="A15" s="52"/>
      <c r="B15" s="89" t="str">
        <f aca="false">IF(A15="","",IFERROR(INDEX(Students!$B$5:$B$304,MATCH(A15,Students!$A$5:$A$304,0)),"ID not found"))</f>
        <v/>
      </c>
      <c r="C15" s="85" t="str">
        <f aca="false">IF(A15="","",IFERROR(INDEX(Students!$E$5:$E$304,MATCH(A15,Students!$A$5:$A$304,0)),""))</f>
        <v/>
      </c>
      <c r="D15" s="85" t="str">
        <f aca="false">IF(A15="","",IFERROR(INDEX(Students!$F$5:$F$304,MATCH(A15,Students!$A$5:$A$304,0)),""))</f>
        <v/>
      </c>
      <c r="E15" s="52"/>
      <c r="F15" s="97"/>
      <c r="G15" s="97"/>
      <c r="H15" s="91"/>
      <c r="I15" s="98" t="str">
        <f aca="false">IF(A15="","",F15-G15)</f>
        <v/>
      </c>
      <c r="J15" s="85" t="str">
        <f aca="false">IF(A15="","",IF(I15&lt;=0,"Paid",IF(G15&gt;0,"Partial","Unpaid")))</f>
        <v/>
      </c>
      <c r="K15" s="99"/>
    </row>
    <row r="16" customFormat="false" ht="19.5" hidden="false" customHeight="true" outlineLevel="0" collapsed="false">
      <c r="A16" s="52"/>
      <c r="B16" s="89" t="str">
        <f aca="false">IF(A16="","",IFERROR(INDEX(Students!$B$5:$B$304,MATCH(A16,Students!$A$5:$A$304,0)),"ID not found"))</f>
        <v/>
      </c>
      <c r="C16" s="85" t="str">
        <f aca="false">IF(A16="","",IFERROR(INDEX(Students!$E$5:$E$304,MATCH(A16,Students!$A$5:$A$304,0)),""))</f>
        <v/>
      </c>
      <c r="D16" s="85" t="str">
        <f aca="false">IF(A16="","",IFERROR(INDEX(Students!$F$5:$F$304,MATCH(A16,Students!$A$5:$A$304,0)),""))</f>
        <v/>
      </c>
      <c r="E16" s="52"/>
      <c r="F16" s="97"/>
      <c r="G16" s="97"/>
      <c r="H16" s="91"/>
      <c r="I16" s="98" t="str">
        <f aca="false">IF(A16="","",F16-G16)</f>
        <v/>
      </c>
      <c r="J16" s="85" t="str">
        <f aca="false">IF(A16="","",IF(I16&lt;=0,"Paid",IF(G16&gt;0,"Partial","Unpaid")))</f>
        <v/>
      </c>
      <c r="K16" s="99"/>
    </row>
    <row r="17" customFormat="false" ht="19.5" hidden="false" customHeight="true" outlineLevel="0" collapsed="false">
      <c r="A17" s="52"/>
      <c r="B17" s="89" t="str">
        <f aca="false">IF(A17="","",IFERROR(INDEX(Students!$B$5:$B$304,MATCH(A17,Students!$A$5:$A$304,0)),"ID not found"))</f>
        <v/>
      </c>
      <c r="C17" s="85" t="str">
        <f aca="false">IF(A17="","",IFERROR(INDEX(Students!$E$5:$E$304,MATCH(A17,Students!$A$5:$A$304,0)),""))</f>
        <v/>
      </c>
      <c r="D17" s="85" t="str">
        <f aca="false">IF(A17="","",IFERROR(INDEX(Students!$F$5:$F$304,MATCH(A17,Students!$A$5:$A$304,0)),""))</f>
        <v/>
      </c>
      <c r="E17" s="52"/>
      <c r="F17" s="97"/>
      <c r="G17" s="97"/>
      <c r="H17" s="91"/>
      <c r="I17" s="98" t="str">
        <f aca="false">IF(A17="","",F17-G17)</f>
        <v/>
      </c>
      <c r="J17" s="85" t="str">
        <f aca="false">IF(A17="","",IF(I17&lt;=0,"Paid",IF(G17&gt;0,"Partial","Unpaid")))</f>
        <v/>
      </c>
      <c r="K17" s="99"/>
    </row>
    <row r="18" customFormat="false" ht="19.5" hidden="false" customHeight="true" outlineLevel="0" collapsed="false">
      <c r="A18" s="52"/>
      <c r="B18" s="89" t="str">
        <f aca="false">IF(A18="","",IFERROR(INDEX(Students!$B$5:$B$304,MATCH(A18,Students!$A$5:$A$304,0)),"ID not found"))</f>
        <v/>
      </c>
      <c r="C18" s="85" t="str">
        <f aca="false">IF(A18="","",IFERROR(INDEX(Students!$E$5:$E$304,MATCH(A18,Students!$A$5:$A$304,0)),""))</f>
        <v/>
      </c>
      <c r="D18" s="85" t="str">
        <f aca="false">IF(A18="","",IFERROR(INDEX(Students!$F$5:$F$304,MATCH(A18,Students!$A$5:$A$304,0)),""))</f>
        <v/>
      </c>
      <c r="E18" s="52"/>
      <c r="F18" s="97"/>
      <c r="G18" s="97"/>
      <c r="H18" s="91"/>
      <c r="I18" s="98" t="str">
        <f aca="false">IF(A18="","",F18-G18)</f>
        <v/>
      </c>
      <c r="J18" s="85" t="str">
        <f aca="false">IF(A18="","",IF(I18&lt;=0,"Paid",IF(G18&gt;0,"Partial","Unpaid")))</f>
        <v/>
      </c>
      <c r="K18" s="99"/>
    </row>
    <row r="19" customFormat="false" ht="19.5" hidden="false" customHeight="true" outlineLevel="0" collapsed="false">
      <c r="A19" s="52"/>
      <c r="B19" s="89" t="str">
        <f aca="false">IF(A19="","",IFERROR(INDEX(Students!$B$5:$B$304,MATCH(A19,Students!$A$5:$A$304,0)),"ID not found"))</f>
        <v/>
      </c>
      <c r="C19" s="85" t="str">
        <f aca="false">IF(A19="","",IFERROR(INDEX(Students!$E$5:$E$304,MATCH(A19,Students!$A$5:$A$304,0)),""))</f>
        <v/>
      </c>
      <c r="D19" s="85" t="str">
        <f aca="false">IF(A19="","",IFERROR(INDEX(Students!$F$5:$F$304,MATCH(A19,Students!$A$5:$A$304,0)),""))</f>
        <v/>
      </c>
      <c r="E19" s="52"/>
      <c r="F19" s="97"/>
      <c r="G19" s="97"/>
      <c r="H19" s="91"/>
      <c r="I19" s="98" t="str">
        <f aca="false">IF(A19="","",F19-G19)</f>
        <v/>
      </c>
      <c r="J19" s="85" t="str">
        <f aca="false">IF(A19="","",IF(I19&lt;=0,"Paid",IF(G19&gt;0,"Partial","Unpaid")))</f>
        <v/>
      </c>
      <c r="K19" s="99"/>
    </row>
    <row r="20" customFormat="false" ht="19.5" hidden="false" customHeight="true" outlineLevel="0" collapsed="false">
      <c r="A20" s="52"/>
      <c r="B20" s="89" t="str">
        <f aca="false">IF(A20="","",IFERROR(INDEX(Students!$B$5:$B$304,MATCH(A20,Students!$A$5:$A$304,0)),"ID not found"))</f>
        <v/>
      </c>
      <c r="C20" s="85" t="str">
        <f aca="false">IF(A20="","",IFERROR(INDEX(Students!$E$5:$E$304,MATCH(A20,Students!$A$5:$A$304,0)),""))</f>
        <v/>
      </c>
      <c r="D20" s="85" t="str">
        <f aca="false">IF(A20="","",IFERROR(INDEX(Students!$F$5:$F$304,MATCH(A20,Students!$A$5:$A$304,0)),""))</f>
        <v/>
      </c>
      <c r="E20" s="52"/>
      <c r="F20" s="97"/>
      <c r="G20" s="97"/>
      <c r="H20" s="91"/>
      <c r="I20" s="98" t="str">
        <f aca="false">IF(A20="","",F20-G20)</f>
        <v/>
      </c>
      <c r="J20" s="85" t="str">
        <f aca="false">IF(A20="","",IF(I20&lt;=0,"Paid",IF(G20&gt;0,"Partial","Unpaid")))</f>
        <v/>
      </c>
      <c r="K20" s="99"/>
    </row>
    <row r="21" customFormat="false" ht="19.5" hidden="false" customHeight="true" outlineLevel="0" collapsed="false">
      <c r="A21" s="52"/>
      <c r="B21" s="89" t="str">
        <f aca="false">IF(A21="","",IFERROR(INDEX(Students!$B$5:$B$304,MATCH(A21,Students!$A$5:$A$304,0)),"ID not found"))</f>
        <v/>
      </c>
      <c r="C21" s="85" t="str">
        <f aca="false">IF(A21="","",IFERROR(INDEX(Students!$E$5:$E$304,MATCH(A21,Students!$A$5:$A$304,0)),""))</f>
        <v/>
      </c>
      <c r="D21" s="85" t="str">
        <f aca="false">IF(A21="","",IFERROR(INDEX(Students!$F$5:$F$304,MATCH(A21,Students!$A$5:$A$304,0)),""))</f>
        <v/>
      </c>
      <c r="E21" s="52"/>
      <c r="F21" s="97"/>
      <c r="G21" s="97"/>
      <c r="H21" s="91"/>
      <c r="I21" s="98" t="str">
        <f aca="false">IF(A21="","",F21-G21)</f>
        <v/>
      </c>
      <c r="J21" s="85" t="str">
        <f aca="false">IF(A21="","",IF(I21&lt;=0,"Paid",IF(G21&gt;0,"Partial","Unpaid")))</f>
        <v/>
      </c>
      <c r="K21" s="99"/>
    </row>
    <row r="22" customFormat="false" ht="19.5" hidden="false" customHeight="true" outlineLevel="0" collapsed="false">
      <c r="A22" s="52"/>
      <c r="B22" s="89" t="str">
        <f aca="false">IF(A22="","",IFERROR(INDEX(Students!$B$5:$B$304,MATCH(A22,Students!$A$5:$A$304,0)),"ID not found"))</f>
        <v/>
      </c>
      <c r="C22" s="85" t="str">
        <f aca="false">IF(A22="","",IFERROR(INDEX(Students!$E$5:$E$304,MATCH(A22,Students!$A$5:$A$304,0)),""))</f>
        <v/>
      </c>
      <c r="D22" s="85" t="str">
        <f aca="false">IF(A22="","",IFERROR(INDEX(Students!$F$5:$F$304,MATCH(A22,Students!$A$5:$A$304,0)),""))</f>
        <v/>
      </c>
      <c r="E22" s="52"/>
      <c r="F22" s="97"/>
      <c r="G22" s="97"/>
      <c r="H22" s="91"/>
      <c r="I22" s="98" t="str">
        <f aca="false">IF(A22="","",F22-G22)</f>
        <v/>
      </c>
      <c r="J22" s="85" t="str">
        <f aca="false">IF(A22="","",IF(I22&lt;=0,"Paid",IF(G22&gt;0,"Partial","Unpaid")))</f>
        <v/>
      </c>
      <c r="K22" s="99"/>
    </row>
    <row r="23" customFormat="false" ht="19.5" hidden="false" customHeight="true" outlineLevel="0" collapsed="false">
      <c r="A23" s="52"/>
      <c r="B23" s="89" t="str">
        <f aca="false">IF(A23="","",IFERROR(INDEX(Students!$B$5:$B$304,MATCH(A23,Students!$A$5:$A$304,0)),"ID not found"))</f>
        <v/>
      </c>
      <c r="C23" s="85" t="str">
        <f aca="false">IF(A23="","",IFERROR(INDEX(Students!$E$5:$E$304,MATCH(A23,Students!$A$5:$A$304,0)),""))</f>
        <v/>
      </c>
      <c r="D23" s="85" t="str">
        <f aca="false">IF(A23="","",IFERROR(INDEX(Students!$F$5:$F$304,MATCH(A23,Students!$A$5:$A$304,0)),""))</f>
        <v/>
      </c>
      <c r="E23" s="52"/>
      <c r="F23" s="97"/>
      <c r="G23" s="97"/>
      <c r="H23" s="91"/>
      <c r="I23" s="98" t="str">
        <f aca="false">IF(A23="","",F23-G23)</f>
        <v/>
      </c>
      <c r="J23" s="85" t="str">
        <f aca="false">IF(A23="","",IF(I23&lt;=0,"Paid",IF(G23&gt;0,"Partial","Unpaid")))</f>
        <v/>
      </c>
      <c r="K23" s="99"/>
    </row>
    <row r="24" customFormat="false" ht="19.5" hidden="false" customHeight="true" outlineLevel="0" collapsed="false">
      <c r="A24" s="52"/>
      <c r="B24" s="89" t="str">
        <f aca="false">IF(A24="","",IFERROR(INDEX(Students!$B$5:$B$304,MATCH(A24,Students!$A$5:$A$304,0)),"ID not found"))</f>
        <v/>
      </c>
      <c r="C24" s="85" t="str">
        <f aca="false">IF(A24="","",IFERROR(INDEX(Students!$E$5:$E$304,MATCH(A24,Students!$A$5:$A$304,0)),""))</f>
        <v/>
      </c>
      <c r="D24" s="85" t="str">
        <f aca="false">IF(A24="","",IFERROR(INDEX(Students!$F$5:$F$304,MATCH(A24,Students!$A$5:$A$304,0)),""))</f>
        <v/>
      </c>
      <c r="E24" s="52"/>
      <c r="F24" s="97"/>
      <c r="G24" s="97"/>
      <c r="H24" s="91"/>
      <c r="I24" s="98" t="str">
        <f aca="false">IF(A24="","",F24-G24)</f>
        <v/>
      </c>
      <c r="J24" s="85" t="str">
        <f aca="false">IF(A24="","",IF(I24&lt;=0,"Paid",IF(G24&gt;0,"Partial","Unpaid")))</f>
        <v/>
      </c>
      <c r="K24" s="99"/>
    </row>
    <row r="25" customFormat="false" ht="19.5" hidden="false" customHeight="true" outlineLevel="0" collapsed="false">
      <c r="A25" s="52"/>
      <c r="B25" s="89" t="str">
        <f aca="false">IF(A25="","",IFERROR(INDEX(Students!$B$5:$B$304,MATCH(A25,Students!$A$5:$A$304,0)),"ID not found"))</f>
        <v/>
      </c>
      <c r="C25" s="85" t="str">
        <f aca="false">IF(A25="","",IFERROR(INDEX(Students!$E$5:$E$304,MATCH(A25,Students!$A$5:$A$304,0)),""))</f>
        <v/>
      </c>
      <c r="D25" s="85" t="str">
        <f aca="false">IF(A25="","",IFERROR(INDEX(Students!$F$5:$F$304,MATCH(A25,Students!$A$5:$A$304,0)),""))</f>
        <v/>
      </c>
      <c r="E25" s="52"/>
      <c r="F25" s="97"/>
      <c r="G25" s="97"/>
      <c r="H25" s="91"/>
      <c r="I25" s="98" t="str">
        <f aca="false">IF(A25="","",F25-G25)</f>
        <v/>
      </c>
      <c r="J25" s="85" t="str">
        <f aca="false">IF(A25="","",IF(I25&lt;=0,"Paid",IF(G25&gt;0,"Partial","Unpaid")))</f>
        <v/>
      </c>
      <c r="K25" s="99"/>
    </row>
    <row r="26" customFormat="false" ht="19.5" hidden="false" customHeight="true" outlineLevel="0" collapsed="false">
      <c r="A26" s="52"/>
      <c r="B26" s="89" t="str">
        <f aca="false">IF(A26="","",IFERROR(INDEX(Students!$B$5:$B$304,MATCH(A26,Students!$A$5:$A$304,0)),"ID not found"))</f>
        <v/>
      </c>
      <c r="C26" s="85" t="str">
        <f aca="false">IF(A26="","",IFERROR(INDEX(Students!$E$5:$E$304,MATCH(A26,Students!$A$5:$A$304,0)),""))</f>
        <v/>
      </c>
      <c r="D26" s="85" t="str">
        <f aca="false">IF(A26="","",IFERROR(INDEX(Students!$F$5:$F$304,MATCH(A26,Students!$A$5:$A$304,0)),""))</f>
        <v/>
      </c>
      <c r="E26" s="52"/>
      <c r="F26" s="97"/>
      <c r="G26" s="97"/>
      <c r="H26" s="91"/>
      <c r="I26" s="98" t="str">
        <f aca="false">IF(A26="","",F26-G26)</f>
        <v/>
      </c>
      <c r="J26" s="85" t="str">
        <f aca="false">IF(A26="","",IF(I26&lt;=0,"Paid",IF(G26&gt;0,"Partial","Unpaid")))</f>
        <v/>
      </c>
      <c r="K26" s="99"/>
    </row>
    <row r="27" customFormat="false" ht="19.5" hidden="false" customHeight="true" outlineLevel="0" collapsed="false">
      <c r="A27" s="52"/>
      <c r="B27" s="89" t="str">
        <f aca="false">IF(A27="","",IFERROR(INDEX(Students!$B$5:$B$304,MATCH(A27,Students!$A$5:$A$304,0)),"ID not found"))</f>
        <v/>
      </c>
      <c r="C27" s="85" t="str">
        <f aca="false">IF(A27="","",IFERROR(INDEX(Students!$E$5:$E$304,MATCH(A27,Students!$A$5:$A$304,0)),""))</f>
        <v/>
      </c>
      <c r="D27" s="85" t="str">
        <f aca="false">IF(A27="","",IFERROR(INDEX(Students!$F$5:$F$304,MATCH(A27,Students!$A$5:$A$304,0)),""))</f>
        <v/>
      </c>
      <c r="E27" s="52"/>
      <c r="F27" s="97"/>
      <c r="G27" s="97"/>
      <c r="H27" s="91"/>
      <c r="I27" s="98" t="str">
        <f aca="false">IF(A27="","",F27-G27)</f>
        <v/>
      </c>
      <c r="J27" s="85" t="str">
        <f aca="false">IF(A27="","",IF(I27&lt;=0,"Paid",IF(G27&gt;0,"Partial","Unpaid")))</f>
        <v/>
      </c>
      <c r="K27" s="99"/>
    </row>
    <row r="28" customFormat="false" ht="19.5" hidden="false" customHeight="true" outlineLevel="0" collapsed="false">
      <c r="A28" s="52"/>
      <c r="B28" s="89" t="str">
        <f aca="false">IF(A28="","",IFERROR(INDEX(Students!$B$5:$B$304,MATCH(A28,Students!$A$5:$A$304,0)),"ID not found"))</f>
        <v/>
      </c>
      <c r="C28" s="85" t="str">
        <f aca="false">IF(A28="","",IFERROR(INDEX(Students!$E$5:$E$304,MATCH(A28,Students!$A$5:$A$304,0)),""))</f>
        <v/>
      </c>
      <c r="D28" s="85" t="str">
        <f aca="false">IF(A28="","",IFERROR(INDEX(Students!$F$5:$F$304,MATCH(A28,Students!$A$5:$A$304,0)),""))</f>
        <v/>
      </c>
      <c r="E28" s="52"/>
      <c r="F28" s="97"/>
      <c r="G28" s="97"/>
      <c r="H28" s="91"/>
      <c r="I28" s="98" t="str">
        <f aca="false">IF(A28="","",F28-G28)</f>
        <v/>
      </c>
      <c r="J28" s="85" t="str">
        <f aca="false">IF(A28="","",IF(I28&lt;=0,"Paid",IF(G28&gt;0,"Partial","Unpaid")))</f>
        <v/>
      </c>
      <c r="K28" s="99"/>
    </row>
    <row r="29" customFormat="false" ht="19.5" hidden="false" customHeight="true" outlineLevel="0" collapsed="false">
      <c r="A29" s="52"/>
      <c r="B29" s="89" t="str">
        <f aca="false">IF(A29="","",IFERROR(INDEX(Students!$B$5:$B$304,MATCH(A29,Students!$A$5:$A$304,0)),"ID not found"))</f>
        <v/>
      </c>
      <c r="C29" s="85" t="str">
        <f aca="false">IF(A29="","",IFERROR(INDEX(Students!$E$5:$E$304,MATCH(A29,Students!$A$5:$A$304,0)),""))</f>
        <v/>
      </c>
      <c r="D29" s="85" t="str">
        <f aca="false">IF(A29="","",IFERROR(INDEX(Students!$F$5:$F$304,MATCH(A29,Students!$A$5:$A$304,0)),""))</f>
        <v/>
      </c>
      <c r="E29" s="52"/>
      <c r="F29" s="97"/>
      <c r="G29" s="97"/>
      <c r="H29" s="91"/>
      <c r="I29" s="98" t="str">
        <f aca="false">IF(A29="","",F29-G29)</f>
        <v/>
      </c>
      <c r="J29" s="85" t="str">
        <f aca="false">IF(A29="","",IF(I29&lt;=0,"Paid",IF(G29&gt;0,"Partial","Unpaid")))</f>
        <v/>
      </c>
      <c r="K29" s="99"/>
    </row>
    <row r="30" customFormat="false" ht="19.5" hidden="false" customHeight="true" outlineLevel="0" collapsed="false">
      <c r="A30" s="52"/>
      <c r="B30" s="89" t="str">
        <f aca="false">IF(A30="","",IFERROR(INDEX(Students!$B$5:$B$304,MATCH(A30,Students!$A$5:$A$304,0)),"ID not found"))</f>
        <v/>
      </c>
      <c r="C30" s="85" t="str">
        <f aca="false">IF(A30="","",IFERROR(INDEX(Students!$E$5:$E$304,MATCH(A30,Students!$A$5:$A$304,0)),""))</f>
        <v/>
      </c>
      <c r="D30" s="85" t="str">
        <f aca="false">IF(A30="","",IFERROR(INDEX(Students!$F$5:$F$304,MATCH(A30,Students!$A$5:$A$304,0)),""))</f>
        <v/>
      </c>
      <c r="E30" s="52"/>
      <c r="F30" s="97"/>
      <c r="G30" s="97"/>
      <c r="H30" s="91"/>
      <c r="I30" s="98" t="str">
        <f aca="false">IF(A30="","",F30-G30)</f>
        <v/>
      </c>
      <c r="J30" s="85" t="str">
        <f aca="false">IF(A30="","",IF(I30&lt;=0,"Paid",IF(G30&gt;0,"Partial","Unpaid")))</f>
        <v/>
      </c>
      <c r="K30" s="99"/>
    </row>
    <row r="31" customFormat="false" ht="19.5" hidden="false" customHeight="true" outlineLevel="0" collapsed="false">
      <c r="A31" s="52"/>
      <c r="B31" s="89" t="str">
        <f aca="false">IF(A31="","",IFERROR(INDEX(Students!$B$5:$B$304,MATCH(A31,Students!$A$5:$A$304,0)),"ID not found"))</f>
        <v/>
      </c>
      <c r="C31" s="85" t="str">
        <f aca="false">IF(A31="","",IFERROR(INDEX(Students!$E$5:$E$304,MATCH(A31,Students!$A$5:$A$304,0)),""))</f>
        <v/>
      </c>
      <c r="D31" s="85" t="str">
        <f aca="false">IF(A31="","",IFERROR(INDEX(Students!$F$5:$F$304,MATCH(A31,Students!$A$5:$A$304,0)),""))</f>
        <v/>
      </c>
      <c r="E31" s="52"/>
      <c r="F31" s="97"/>
      <c r="G31" s="97"/>
      <c r="H31" s="91"/>
      <c r="I31" s="98" t="str">
        <f aca="false">IF(A31="","",F31-G31)</f>
        <v/>
      </c>
      <c r="J31" s="85" t="str">
        <f aca="false">IF(A31="","",IF(I31&lt;=0,"Paid",IF(G31&gt;0,"Partial","Unpaid")))</f>
        <v/>
      </c>
      <c r="K31" s="99"/>
    </row>
    <row r="32" customFormat="false" ht="19.5" hidden="false" customHeight="true" outlineLevel="0" collapsed="false">
      <c r="A32" s="52"/>
      <c r="B32" s="89" t="str">
        <f aca="false">IF(A32="","",IFERROR(INDEX(Students!$B$5:$B$304,MATCH(A32,Students!$A$5:$A$304,0)),"ID not found"))</f>
        <v/>
      </c>
      <c r="C32" s="85" t="str">
        <f aca="false">IF(A32="","",IFERROR(INDEX(Students!$E$5:$E$304,MATCH(A32,Students!$A$5:$A$304,0)),""))</f>
        <v/>
      </c>
      <c r="D32" s="85" t="str">
        <f aca="false">IF(A32="","",IFERROR(INDEX(Students!$F$5:$F$304,MATCH(A32,Students!$A$5:$A$304,0)),""))</f>
        <v/>
      </c>
      <c r="E32" s="52"/>
      <c r="F32" s="97"/>
      <c r="G32" s="97"/>
      <c r="H32" s="91"/>
      <c r="I32" s="98" t="str">
        <f aca="false">IF(A32="","",F32-G32)</f>
        <v/>
      </c>
      <c r="J32" s="85" t="str">
        <f aca="false">IF(A32="","",IF(I32&lt;=0,"Paid",IF(G32&gt;0,"Partial","Unpaid")))</f>
        <v/>
      </c>
      <c r="K32" s="99"/>
    </row>
    <row r="33" customFormat="false" ht="19.5" hidden="false" customHeight="true" outlineLevel="0" collapsed="false">
      <c r="A33" s="52"/>
      <c r="B33" s="89" t="str">
        <f aca="false">IF(A33="","",IFERROR(INDEX(Students!$B$5:$B$304,MATCH(A33,Students!$A$5:$A$304,0)),"ID not found"))</f>
        <v/>
      </c>
      <c r="C33" s="85" t="str">
        <f aca="false">IF(A33="","",IFERROR(INDEX(Students!$E$5:$E$304,MATCH(A33,Students!$A$5:$A$304,0)),""))</f>
        <v/>
      </c>
      <c r="D33" s="85" t="str">
        <f aca="false">IF(A33="","",IFERROR(INDEX(Students!$F$5:$F$304,MATCH(A33,Students!$A$5:$A$304,0)),""))</f>
        <v/>
      </c>
      <c r="E33" s="52"/>
      <c r="F33" s="97"/>
      <c r="G33" s="97"/>
      <c r="H33" s="91"/>
      <c r="I33" s="98" t="str">
        <f aca="false">IF(A33="","",F33-G33)</f>
        <v/>
      </c>
      <c r="J33" s="85" t="str">
        <f aca="false">IF(A33="","",IF(I33&lt;=0,"Paid",IF(G33&gt;0,"Partial","Unpaid")))</f>
        <v/>
      </c>
      <c r="K33" s="99"/>
    </row>
    <row r="34" customFormat="false" ht="19.5" hidden="false" customHeight="true" outlineLevel="0" collapsed="false">
      <c r="A34" s="52"/>
      <c r="B34" s="89" t="str">
        <f aca="false">IF(A34="","",IFERROR(INDEX(Students!$B$5:$B$304,MATCH(A34,Students!$A$5:$A$304,0)),"ID not found"))</f>
        <v/>
      </c>
      <c r="C34" s="85" t="str">
        <f aca="false">IF(A34="","",IFERROR(INDEX(Students!$E$5:$E$304,MATCH(A34,Students!$A$5:$A$304,0)),""))</f>
        <v/>
      </c>
      <c r="D34" s="85" t="str">
        <f aca="false">IF(A34="","",IFERROR(INDEX(Students!$F$5:$F$304,MATCH(A34,Students!$A$5:$A$304,0)),""))</f>
        <v/>
      </c>
      <c r="E34" s="52"/>
      <c r="F34" s="97"/>
      <c r="G34" s="97"/>
      <c r="H34" s="91"/>
      <c r="I34" s="98" t="str">
        <f aca="false">IF(A34="","",F34-G34)</f>
        <v/>
      </c>
      <c r="J34" s="85" t="str">
        <f aca="false">IF(A34="","",IF(I34&lt;=0,"Paid",IF(G34&gt;0,"Partial","Unpaid")))</f>
        <v/>
      </c>
      <c r="K34" s="99"/>
    </row>
    <row r="35" customFormat="false" ht="19.5" hidden="false" customHeight="true" outlineLevel="0" collapsed="false">
      <c r="A35" s="52"/>
      <c r="B35" s="89" t="str">
        <f aca="false">IF(A35="","",IFERROR(INDEX(Students!$B$5:$B$304,MATCH(A35,Students!$A$5:$A$304,0)),"ID not found"))</f>
        <v/>
      </c>
      <c r="C35" s="85" t="str">
        <f aca="false">IF(A35="","",IFERROR(INDEX(Students!$E$5:$E$304,MATCH(A35,Students!$A$5:$A$304,0)),""))</f>
        <v/>
      </c>
      <c r="D35" s="85" t="str">
        <f aca="false">IF(A35="","",IFERROR(INDEX(Students!$F$5:$F$304,MATCH(A35,Students!$A$5:$A$304,0)),""))</f>
        <v/>
      </c>
      <c r="E35" s="52"/>
      <c r="F35" s="97"/>
      <c r="G35" s="97"/>
      <c r="H35" s="91"/>
      <c r="I35" s="98" t="str">
        <f aca="false">IF(A35="","",F35-G35)</f>
        <v/>
      </c>
      <c r="J35" s="85" t="str">
        <f aca="false">IF(A35="","",IF(I35&lt;=0,"Paid",IF(G35&gt;0,"Partial","Unpaid")))</f>
        <v/>
      </c>
      <c r="K35" s="99"/>
    </row>
    <row r="36" customFormat="false" ht="19.5" hidden="false" customHeight="true" outlineLevel="0" collapsed="false">
      <c r="A36" s="52"/>
      <c r="B36" s="89" t="str">
        <f aca="false">IF(A36="","",IFERROR(INDEX(Students!$B$5:$B$304,MATCH(A36,Students!$A$5:$A$304,0)),"ID not found"))</f>
        <v/>
      </c>
      <c r="C36" s="85" t="str">
        <f aca="false">IF(A36="","",IFERROR(INDEX(Students!$E$5:$E$304,MATCH(A36,Students!$A$5:$A$304,0)),""))</f>
        <v/>
      </c>
      <c r="D36" s="85" t="str">
        <f aca="false">IF(A36="","",IFERROR(INDEX(Students!$F$5:$F$304,MATCH(A36,Students!$A$5:$A$304,0)),""))</f>
        <v/>
      </c>
      <c r="E36" s="52"/>
      <c r="F36" s="97"/>
      <c r="G36" s="97"/>
      <c r="H36" s="91"/>
      <c r="I36" s="98" t="str">
        <f aca="false">IF(A36="","",F36-G36)</f>
        <v/>
      </c>
      <c r="J36" s="85" t="str">
        <f aca="false">IF(A36="","",IF(I36&lt;=0,"Paid",IF(G36&gt;0,"Partial","Unpaid")))</f>
        <v/>
      </c>
      <c r="K36" s="99"/>
    </row>
    <row r="37" customFormat="false" ht="19.5" hidden="false" customHeight="true" outlineLevel="0" collapsed="false">
      <c r="A37" s="52"/>
      <c r="B37" s="89" t="str">
        <f aca="false">IF(A37="","",IFERROR(INDEX(Students!$B$5:$B$304,MATCH(A37,Students!$A$5:$A$304,0)),"ID not found"))</f>
        <v/>
      </c>
      <c r="C37" s="85" t="str">
        <f aca="false">IF(A37="","",IFERROR(INDEX(Students!$E$5:$E$304,MATCH(A37,Students!$A$5:$A$304,0)),""))</f>
        <v/>
      </c>
      <c r="D37" s="85" t="str">
        <f aca="false">IF(A37="","",IFERROR(INDEX(Students!$F$5:$F$304,MATCH(A37,Students!$A$5:$A$304,0)),""))</f>
        <v/>
      </c>
      <c r="E37" s="52"/>
      <c r="F37" s="97"/>
      <c r="G37" s="97"/>
      <c r="H37" s="91"/>
      <c r="I37" s="98" t="str">
        <f aca="false">IF(A37="","",F37-G37)</f>
        <v/>
      </c>
      <c r="J37" s="85" t="str">
        <f aca="false">IF(A37="","",IF(I37&lt;=0,"Paid",IF(G37&gt;0,"Partial","Unpaid")))</f>
        <v/>
      </c>
      <c r="K37" s="99"/>
    </row>
    <row r="38" customFormat="false" ht="19.5" hidden="false" customHeight="true" outlineLevel="0" collapsed="false">
      <c r="A38" s="52"/>
      <c r="B38" s="89" t="str">
        <f aca="false">IF(A38="","",IFERROR(INDEX(Students!$B$5:$B$304,MATCH(A38,Students!$A$5:$A$304,0)),"ID not found"))</f>
        <v/>
      </c>
      <c r="C38" s="85" t="str">
        <f aca="false">IF(A38="","",IFERROR(INDEX(Students!$E$5:$E$304,MATCH(A38,Students!$A$5:$A$304,0)),""))</f>
        <v/>
      </c>
      <c r="D38" s="85" t="str">
        <f aca="false">IF(A38="","",IFERROR(INDEX(Students!$F$5:$F$304,MATCH(A38,Students!$A$5:$A$304,0)),""))</f>
        <v/>
      </c>
      <c r="E38" s="52"/>
      <c r="F38" s="97"/>
      <c r="G38" s="97"/>
      <c r="H38" s="91"/>
      <c r="I38" s="98" t="str">
        <f aca="false">IF(A38="","",F38-G38)</f>
        <v/>
      </c>
      <c r="J38" s="85" t="str">
        <f aca="false">IF(A38="","",IF(I38&lt;=0,"Paid",IF(G38&gt;0,"Partial","Unpaid")))</f>
        <v/>
      </c>
      <c r="K38" s="99"/>
    </row>
    <row r="39" customFormat="false" ht="19.5" hidden="false" customHeight="true" outlineLevel="0" collapsed="false">
      <c r="A39" s="52"/>
      <c r="B39" s="89" t="str">
        <f aca="false">IF(A39="","",IFERROR(INDEX(Students!$B$5:$B$304,MATCH(A39,Students!$A$5:$A$304,0)),"ID not found"))</f>
        <v/>
      </c>
      <c r="C39" s="85" t="str">
        <f aca="false">IF(A39="","",IFERROR(INDEX(Students!$E$5:$E$304,MATCH(A39,Students!$A$5:$A$304,0)),""))</f>
        <v/>
      </c>
      <c r="D39" s="85" t="str">
        <f aca="false">IF(A39="","",IFERROR(INDEX(Students!$F$5:$F$304,MATCH(A39,Students!$A$5:$A$304,0)),""))</f>
        <v/>
      </c>
      <c r="E39" s="52"/>
      <c r="F39" s="97"/>
      <c r="G39" s="97"/>
      <c r="H39" s="91"/>
      <c r="I39" s="98" t="str">
        <f aca="false">IF(A39="","",F39-G39)</f>
        <v/>
      </c>
      <c r="J39" s="85" t="str">
        <f aca="false">IF(A39="","",IF(I39&lt;=0,"Paid",IF(G39&gt;0,"Partial","Unpaid")))</f>
        <v/>
      </c>
      <c r="K39" s="99"/>
    </row>
    <row r="40" customFormat="false" ht="19.5" hidden="false" customHeight="true" outlineLevel="0" collapsed="false">
      <c r="A40" s="52"/>
      <c r="B40" s="89" t="str">
        <f aca="false">IF(A40="","",IFERROR(INDEX(Students!$B$5:$B$304,MATCH(A40,Students!$A$5:$A$304,0)),"ID not found"))</f>
        <v/>
      </c>
      <c r="C40" s="85" t="str">
        <f aca="false">IF(A40="","",IFERROR(INDEX(Students!$E$5:$E$304,MATCH(A40,Students!$A$5:$A$304,0)),""))</f>
        <v/>
      </c>
      <c r="D40" s="85" t="str">
        <f aca="false">IF(A40="","",IFERROR(INDEX(Students!$F$5:$F$304,MATCH(A40,Students!$A$5:$A$304,0)),""))</f>
        <v/>
      </c>
      <c r="E40" s="52"/>
      <c r="F40" s="97"/>
      <c r="G40" s="97"/>
      <c r="H40" s="91"/>
      <c r="I40" s="98" t="str">
        <f aca="false">IF(A40="","",F40-G40)</f>
        <v/>
      </c>
      <c r="J40" s="85" t="str">
        <f aca="false">IF(A40="","",IF(I40&lt;=0,"Paid",IF(G40&gt;0,"Partial","Unpaid")))</f>
        <v/>
      </c>
      <c r="K40" s="99"/>
    </row>
    <row r="41" customFormat="false" ht="19.5" hidden="false" customHeight="true" outlineLevel="0" collapsed="false">
      <c r="A41" s="52"/>
      <c r="B41" s="89" t="str">
        <f aca="false">IF(A41="","",IFERROR(INDEX(Students!$B$5:$B$304,MATCH(A41,Students!$A$5:$A$304,0)),"ID not found"))</f>
        <v/>
      </c>
      <c r="C41" s="85" t="str">
        <f aca="false">IF(A41="","",IFERROR(INDEX(Students!$E$5:$E$304,MATCH(A41,Students!$A$5:$A$304,0)),""))</f>
        <v/>
      </c>
      <c r="D41" s="85" t="str">
        <f aca="false">IF(A41="","",IFERROR(INDEX(Students!$F$5:$F$304,MATCH(A41,Students!$A$5:$A$304,0)),""))</f>
        <v/>
      </c>
      <c r="E41" s="52"/>
      <c r="F41" s="97"/>
      <c r="G41" s="97"/>
      <c r="H41" s="91"/>
      <c r="I41" s="98" t="str">
        <f aca="false">IF(A41="","",F41-G41)</f>
        <v/>
      </c>
      <c r="J41" s="85" t="str">
        <f aca="false">IF(A41="","",IF(I41&lt;=0,"Paid",IF(G41&gt;0,"Partial","Unpaid")))</f>
        <v/>
      </c>
      <c r="K41" s="99"/>
    </row>
    <row r="42" customFormat="false" ht="19.5" hidden="false" customHeight="true" outlineLevel="0" collapsed="false">
      <c r="A42" s="52"/>
      <c r="B42" s="89" t="str">
        <f aca="false">IF(A42="","",IFERROR(INDEX(Students!$B$5:$B$304,MATCH(A42,Students!$A$5:$A$304,0)),"ID not found"))</f>
        <v/>
      </c>
      <c r="C42" s="85" t="str">
        <f aca="false">IF(A42="","",IFERROR(INDEX(Students!$E$5:$E$304,MATCH(A42,Students!$A$5:$A$304,0)),""))</f>
        <v/>
      </c>
      <c r="D42" s="85" t="str">
        <f aca="false">IF(A42="","",IFERROR(INDEX(Students!$F$5:$F$304,MATCH(A42,Students!$A$5:$A$304,0)),""))</f>
        <v/>
      </c>
      <c r="E42" s="52"/>
      <c r="F42" s="97"/>
      <c r="G42" s="97"/>
      <c r="H42" s="91"/>
      <c r="I42" s="98" t="str">
        <f aca="false">IF(A42="","",F42-G42)</f>
        <v/>
      </c>
      <c r="J42" s="85" t="str">
        <f aca="false">IF(A42="","",IF(I42&lt;=0,"Paid",IF(G42&gt;0,"Partial","Unpaid")))</f>
        <v/>
      </c>
      <c r="K42" s="99"/>
    </row>
    <row r="43" customFormat="false" ht="19.5" hidden="false" customHeight="true" outlineLevel="0" collapsed="false">
      <c r="A43" s="52"/>
      <c r="B43" s="89" t="str">
        <f aca="false">IF(A43="","",IFERROR(INDEX(Students!$B$5:$B$304,MATCH(A43,Students!$A$5:$A$304,0)),"ID not found"))</f>
        <v/>
      </c>
      <c r="C43" s="85" t="str">
        <f aca="false">IF(A43="","",IFERROR(INDEX(Students!$E$5:$E$304,MATCH(A43,Students!$A$5:$A$304,0)),""))</f>
        <v/>
      </c>
      <c r="D43" s="85" t="str">
        <f aca="false">IF(A43="","",IFERROR(INDEX(Students!$F$5:$F$304,MATCH(A43,Students!$A$5:$A$304,0)),""))</f>
        <v/>
      </c>
      <c r="E43" s="52"/>
      <c r="F43" s="97"/>
      <c r="G43" s="97"/>
      <c r="H43" s="91"/>
      <c r="I43" s="98" t="str">
        <f aca="false">IF(A43="","",F43-G43)</f>
        <v/>
      </c>
      <c r="J43" s="85" t="str">
        <f aca="false">IF(A43="","",IF(I43&lt;=0,"Paid",IF(G43&gt;0,"Partial","Unpaid")))</f>
        <v/>
      </c>
      <c r="K43" s="99"/>
    </row>
    <row r="44" customFormat="false" ht="19.5" hidden="false" customHeight="true" outlineLevel="0" collapsed="false">
      <c r="A44" s="52"/>
      <c r="B44" s="89" t="str">
        <f aca="false">IF(A44="","",IFERROR(INDEX(Students!$B$5:$B$304,MATCH(A44,Students!$A$5:$A$304,0)),"ID not found"))</f>
        <v/>
      </c>
      <c r="C44" s="85" t="str">
        <f aca="false">IF(A44="","",IFERROR(INDEX(Students!$E$5:$E$304,MATCH(A44,Students!$A$5:$A$304,0)),""))</f>
        <v/>
      </c>
      <c r="D44" s="85" t="str">
        <f aca="false">IF(A44="","",IFERROR(INDEX(Students!$F$5:$F$304,MATCH(A44,Students!$A$5:$A$304,0)),""))</f>
        <v/>
      </c>
      <c r="E44" s="52"/>
      <c r="F44" s="97"/>
      <c r="G44" s="97"/>
      <c r="H44" s="91"/>
      <c r="I44" s="98" t="str">
        <f aca="false">IF(A44="","",F44-G44)</f>
        <v/>
      </c>
      <c r="J44" s="85" t="str">
        <f aca="false">IF(A44="","",IF(I44&lt;=0,"Paid",IF(G44&gt;0,"Partial","Unpaid")))</f>
        <v/>
      </c>
      <c r="K44" s="99"/>
    </row>
    <row r="45" customFormat="false" ht="19.5" hidden="false" customHeight="true" outlineLevel="0" collapsed="false">
      <c r="A45" s="52"/>
      <c r="B45" s="89" t="str">
        <f aca="false">IF(A45="","",IFERROR(INDEX(Students!$B$5:$B$304,MATCH(A45,Students!$A$5:$A$304,0)),"ID not found"))</f>
        <v/>
      </c>
      <c r="C45" s="85" t="str">
        <f aca="false">IF(A45="","",IFERROR(INDEX(Students!$E$5:$E$304,MATCH(A45,Students!$A$5:$A$304,0)),""))</f>
        <v/>
      </c>
      <c r="D45" s="85" t="str">
        <f aca="false">IF(A45="","",IFERROR(INDEX(Students!$F$5:$F$304,MATCH(A45,Students!$A$5:$A$304,0)),""))</f>
        <v/>
      </c>
      <c r="E45" s="52"/>
      <c r="F45" s="97"/>
      <c r="G45" s="97"/>
      <c r="H45" s="91"/>
      <c r="I45" s="98" t="str">
        <f aca="false">IF(A45="","",F45-G45)</f>
        <v/>
      </c>
      <c r="J45" s="85" t="str">
        <f aca="false">IF(A45="","",IF(I45&lt;=0,"Paid",IF(G45&gt;0,"Partial","Unpaid")))</f>
        <v/>
      </c>
      <c r="K45" s="99"/>
    </row>
    <row r="46" customFormat="false" ht="19.5" hidden="false" customHeight="true" outlineLevel="0" collapsed="false">
      <c r="A46" s="52"/>
      <c r="B46" s="89" t="str">
        <f aca="false">IF(A46="","",IFERROR(INDEX(Students!$B$5:$B$304,MATCH(A46,Students!$A$5:$A$304,0)),"ID not found"))</f>
        <v/>
      </c>
      <c r="C46" s="85" t="str">
        <f aca="false">IF(A46="","",IFERROR(INDEX(Students!$E$5:$E$304,MATCH(A46,Students!$A$5:$A$304,0)),""))</f>
        <v/>
      </c>
      <c r="D46" s="85" t="str">
        <f aca="false">IF(A46="","",IFERROR(INDEX(Students!$F$5:$F$304,MATCH(A46,Students!$A$5:$A$304,0)),""))</f>
        <v/>
      </c>
      <c r="E46" s="52"/>
      <c r="F46" s="97"/>
      <c r="G46" s="97"/>
      <c r="H46" s="91"/>
      <c r="I46" s="98" t="str">
        <f aca="false">IF(A46="","",F46-G46)</f>
        <v/>
      </c>
      <c r="J46" s="85" t="str">
        <f aca="false">IF(A46="","",IF(I46&lt;=0,"Paid",IF(G46&gt;0,"Partial","Unpaid")))</f>
        <v/>
      </c>
      <c r="K46" s="99"/>
    </row>
    <row r="47" customFormat="false" ht="19.5" hidden="false" customHeight="true" outlineLevel="0" collapsed="false">
      <c r="A47" s="52"/>
      <c r="B47" s="89" t="str">
        <f aca="false">IF(A47="","",IFERROR(INDEX(Students!$B$5:$B$304,MATCH(A47,Students!$A$5:$A$304,0)),"ID not found"))</f>
        <v/>
      </c>
      <c r="C47" s="85" t="str">
        <f aca="false">IF(A47="","",IFERROR(INDEX(Students!$E$5:$E$304,MATCH(A47,Students!$A$5:$A$304,0)),""))</f>
        <v/>
      </c>
      <c r="D47" s="85" t="str">
        <f aca="false">IF(A47="","",IFERROR(INDEX(Students!$F$5:$F$304,MATCH(A47,Students!$A$5:$A$304,0)),""))</f>
        <v/>
      </c>
      <c r="E47" s="52"/>
      <c r="F47" s="97"/>
      <c r="G47" s="97"/>
      <c r="H47" s="91"/>
      <c r="I47" s="98" t="str">
        <f aca="false">IF(A47="","",F47-G47)</f>
        <v/>
      </c>
      <c r="J47" s="85" t="str">
        <f aca="false">IF(A47="","",IF(I47&lt;=0,"Paid",IF(G47&gt;0,"Partial","Unpaid")))</f>
        <v/>
      </c>
      <c r="K47" s="99"/>
    </row>
    <row r="48" customFormat="false" ht="19.5" hidden="false" customHeight="true" outlineLevel="0" collapsed="false">
      <c r="A48" s="52"/>
      <c r="B48" s="89" t="str">
        <f aca="false">IF(A48="","",IFERROR(INDEX(Students!$B$5:$B$304,MATCH(A48,Students!$A$5:$A$304,0)),"ID not found"))</f>
        <v/>
      </c>
      <c r="C48" s="85" t="str">
        <f aca="false">IF(A48="","",IFERROR(INDEX(Students!$E$5:$E$304,MATCH(A48,Students!$A$5:$A$304,0)),""))</f>
        <v/>
      </c>
      <c r="D48" s="85" t="str">
        <f aca="false">IF(A48="","",IFERROR(INDEX(Students!$F$5:$F$304,MATCH(A48,Students!$A$5:$A$304,0)),""))</f>
        <v/>
      </c>
      <c r="E48" s="52"/>
      <c r="F48" s="97"/>
      <c r="G48" s="97"/>
      <c r="H48" s="91"/>
      <c r="I48" s="98" t="str">
        <f aca="false">IF(A48="","",F48-G48)</f>
        <v/>
      </c>
      <c r="J48" s="85" t="str">
        <f aca="false">IF(A48="","",IF(I48&lt;=0,"Paid",IF(G48&gt;0,"Partial","Unpaid")))</f>
        <v/>
      </c>
      <c r="K48" s="99"/>
    </row>
    <row r="49" customFormat="false" ht="19.5" hidden="false" customHeight="true" outlineLevel="0" collapsed="false">
      <c r="A49" s="52"/>
      <c r="B49" s="89" t="str">
        <f aca="false">IF(A49="","",IFERROR(INDEX(Students!$B$5:$B$304,MATCH(A49,Students!$A$5:$A$304,0)),"ID not found"))</f>
        <v/>
      </c>
      <c r="C49" s="85" t="str">
        <f aca="false">IF(A49="","",IFERROR(INDEX(Students!$E$5:$E$304,MATCH(A49,Students!$A$5:$A$304,0)),""))</f>
        <v/>
      </c>
      <c r="D49" s="85" t="str">
        <f aca="false">IF(A49="","",IFERROR(INDEX(Students!$F$5:$F$304,MATCH(A49,Students!$A$5:$A$304,0)),""))</f>
        <v/>
      </c>
      <c r="E49" s="52"/>
      <c r="F49" s="97"/>
      <c r="G49" s="97"/>
      <c r="H49" s="91"/>
      <c r="I49" s="98" t="str">
        <f aca="false">IF(A49="","",F49-G49)</f>
        <v/>
      </c>
      <c r="J49" s="85" t="str">
        <f aca="false">IF(A49="","",IF(I49&lt;=0,"Paid",IF(G49&gt;0,"Partial","Unpaid")))</f>
        <v/>
      </c>
      <c r="K49" s="99"/>
    </row>
    <row r="50" customFormat="false" ht="19.5" hidden="false" customHeight="true" outlineLevel="0" collapsed="false">
      <c r="A50" s="52"/>
      <c r="B50" s="89" t="str">
        <f aca="false">IF(A50="","",IFERROR(INDEX(Students!$B$5:$B$304,MATCH(A50,Students!$A$5:$A$304,0)),"ID not found"))</f>
        <v/>
      </c>
      <c r="C50" s="85" t="str">
        <f aca="false">IF(A50="","",IFERROR(INDEX(Students!$E$5:$E$304,MATCH(A50,Students!$A$5:$A$304,0)),""))</f>
        <v/>
      </c>
      <c r="D50" s="85" t="str">
        <f aca="false">IF(A50="","",IFERROR(INDEX(Students!$F$5:$F$304,MATCH(A50,Students!$A$5:$A$304,0)),""))</f>
        <v/>
      </c>
      <c r="E50" s="52"/>
      <c r="F50" s="97"/>
      <c r="G50" s="97"/>
      <c r="H50" s="91"/>
      <c r="I50" s="98" t="str">
        <f aca="false">IF(A50="","",F50-G50)</f>
        <v/>
      </c>
      <c r="J50" s="85" t="str">
        <f aca="false">IF(A50="","",IF(I50&lt;=0,"Paid",IF(G50&gt;0,"Partial","Unpaid")))</f>
        <v/>
      </c>
      <c r="K50" s="99"/>
    </row>
    <row r="51" customFormat="false" ht="19.5" hidden="false" customHeight="true" outlineLevel="0" collapsed="false">
      <c r="A51" s="52"/>
      <c r="B51" s="89" t="str">
        <f aca="false">IF(A51="","",IFERROR(INDEX(Students!$B$5:$B$304,MATCH(A51,Students!$A$5:$A$304,0)),"ID not found"))</f>
        <v/>
      </c>
      <c r="C51" s="85" t="str">
        <f aca="false">IF(A51="","",IFERROR(INDEX(Students!$E$5:$E$304,MATCH(A51,Students!$A$5:$A$304,0)),""))</f>
        <v/>
      </c>
      <c r="D51" s="85" t="str">
        <f aca="false">IF(A51="","",IFERROR(INDEX(Students!$F$5:$F$304,MATCH(A51,Students!$A$5:$A$304,0)),""))</f>
        <v/>
      </c>
      <c r="E51" s="52"/>
      <c r="F51" s="97"/>
      <c r="G51" s="97"/>
      <c r="H51" s="91"/>
      <c r="I51" s="98" t="str">
        <f aca="false">IF(A51="","",F51-G51)</f>
        <v/>
      </c>
      <c r="J51" s="85" t="str">
        <f aca="false">IF(A51="","",IF(I51&lt;=0,"Paid",IF(G51&gt;0,"Partial","Unpaid")))</f>
        <v/>
      </c>
      <c r="K51" s="99"/>
    </row>
    <row r="52" customFormat="false" ht="19.5" hidden="false" customHeight="true" outlineLevel="0" collapsed="false">
      <c r="A52" s="52"/>
      <c r="B52" s="89" t="str">
        <f aca="false">IF(A52="","",IFERROR(INDEX(Students!$B$5:$B$304,MATCH(A52,Students!$A$5:$A$304,0)),"ID not found"))</f>
        <v/>
      </c>
      <c r="C52" s="85" t="str">
        <f aca="false">IF(A52="","",IFERROR(INDEX(Students!$E$5:$E$304,MATCH(A52,Students!$A$5:$A$304,0)),""))</f>
        <v/>
      </c>
      <c r="D52" s="85" t="str">
        <f aca="false">IF(A52="","",IFERROR(INDEX(Students!$F$5:$F$304,MATCH(A52,Students!$A$5:$A$304,0)),""))</f>
        <v/>
      </c>
      <c r="E52" s="52"/>
      <c r="F52" s="97"/>
      <c r="G52" s="97"/>
      <c r="H52" s="91"/>
      <c r="I52" s="98" t="str">
        <f aca="false">IF(A52="","",F52-G52)</f>
        <v/>
      </c>
      <c r="J52" s="85" t="str">
        <f aca="false">IF(A52="","",IF(I52&lt;=0,"Paid",IF(G52&gt;0,"Partial","Unpaid")))</f>
        <v/>
      </c>
      <c r="K52" s="99"/>
    </row>
    <row r="53" customFormat="false" ht="19.5" hidden="false" customHeight="true" outlineLevel="0" collapsed="false">
      <c r="A53" s="52"/>
      <c r="B53" s="89" t="str">
        <f aca="false">IF(A53="","",IFERROR(INDEX(Students!$B$5:$B$304,MATCH(A53,Students!$A$5:$A$304,0)),"ID not found"))</f>
        <v/>
      </c>
      <c r="C53" s="85" t="str">
        <f aca="false">IF(A53="","",IFERROR(INDEX(Students!$E$5:$E$304,MATCH(A53,Students!$A$5:$A$304,0)),""))</f>
        <v/>
      </c>
      <c r="D53" s="85" t="str">
        <f aca="false">IF(A53="","",IFERROR(INDEX(Students!$F$5:$F$304,MATCH(A53,Students!$A$5:$A$304,0)),""))</f>
        <v/>
      </c>
      <c r="E53" s="52"/>
      <c r="F53" s="97"/>
      <c r="G53" s="97"/>
      <c r="H53" s="91"/>
      <c r="I53" s="98" t="str">
        <f aca="false">IF(A53="","",F53-G53)</f>
        <v/>
      </c>
      <c r="J53" s="85" t="str">
        <f aca="false">IF(A53="","",IF(I53&lt;=0,"Paid",IF(G53&gt;0,"Partial","Unpaid")))</f>
        <v/>
      </c>
      <c r="K53" s="99"/>
    </row>
    <row r="54" customFormat="false" ht="19.5" hidden="false" customHeight="true" outlineLevel="0" collapsed="false">
      <c r="A54" s="52"/>
      <c r="B54" s="89" t="str">
        <f aca="false">IF(A54="","",IFERROR(INDEX(Students!$B$5:$B$304,MATCH(A54,Students!$A$5:$A$304,0)),"ID not found"))</f>
        <v/>
      </c>
      <c r="C54" s="85" t="str">
        <f aca="false">IF(A54="","",IFERROR(INDEX(Students!$E$5:$E$304,MATCH(A54,Students!$A$5:$A$304,0)),""))</f>
        <v/>
      </c>
      <c r="D54" s="85" t="str">
        <f aca="false">IF(A54="","",IFERROR(INDEX(Students!$F$5:$F$304,MATCH(A54,Students!$A$5:$A$304,0)),""))</f>
        <v/>
      </c>
      <c r="E54" s="52"/>
      <c r="F54" s="97"/>
      <c r="G54" s="97"/>
      <c r="H54" s="91"/>
      <c r="I54" s="98" t="str">
        <f aca="false">IF(A54="","",F54-G54)</f>
        <v/>
      </c>
      <c r="J54" s="85" t="str">
        <f aca="false">IF(A54="","",IF(I54&lt;=0,"Paid",IF(G54&gt;0,"Partial","Unpaid")))</f>
        <v/>
      </c>
      <c r="K54" s="99"/>
    </row>
    <row r="55" customFormat="false" ht="19.5" hidden="false" customHeight="true" outlineLevel="0" collapsed="false">
      <c r="A55" s="52"/>
      <c r="B55" s="89" t="str">
        <f aca="false">IF(A55="","",IFERROR(INDEX(Students!$B$5:$B$304,MATCH(A55,Students!$A$5:$A$304,0)),"ID not found"))</f>
        <v/>
      </c>
      <c r="C55" s="85" t="str">
        <f aca="false">IF(A55="","",IFERROR(INDEX(Students!$E$5:$E$304,MATCH(A55,Students!$A$5:$A$304,0)),""))</f>
        <v/>
      </c>
      <c r="D55" s="85" t="str">
        <f aca="false">IF(A55="","",IFERROR(INDEX(Students!$F$5:$F$304,MATCH(A55,Students!$A$5:$A$304,0)),""))</f>
        <v/>
      </c>
      <c r="E55" s="52"/>
      <c r="F55" s="97"/>
      <c r="G55" s="97"/>
      <c r="H55" s="91"/>
      <c r="I55" s="98" t="str">
        <f aca="false">IF(A55="","",F55-G55)</f>
        <v/>
      </c>
      <c r="J55" s="85" t="str">
        <f aca="false">IF(A55="","",IF(I55&lt;=0,"Paid",IF(G55&gt;0,"Partial","Unpaid")))</f>
        <v/>
      </c>
      <c r="K55" s="99"/>
    </row>
    <row r="56" customFormat="false" ht="19.5" hidden="false" customHeight="true" outlineLevel="0" collapsed="false">
      <c r="A56" s="52"/>
      <c r="B56" s="89" t="str">
        <f aca="false">IF(A56="","",IFERROR(INDEX(Students!$B$5:$B$304,MATCH(A56,Students!$A$5:$A$304,0)),"ID not found"))</f>
        <v/>
      </c>
      <c r="C56" s="85" t="str">
        <f aca="false">IF(A56="","",IFERROR(INDEX(Students!$E$5:$E$304,MATCH(A56,Students!$A$5:$A$304,0)),""))</f>
        <v/>
      </c>
      <c r="D56" s="85" t="str">
        <f aca="false">IF(A56="","",IFERROR(INDEX(Students!$F$5:$F$304,MATCH(A56,Students!$A$5:$A$304,0)),""))</f>
        <v/>
      </c>
      <c r="E56" s="52"/>
      <c r="F56" s="97"/>
      <c r="G56" s="97"/>
      <c r="H56" s="91"/>
      <c r="I56" s="98" t="str">
        <f aca="false">IF(A56="","",F56-G56)</f>
        <v/>
      </c>
      <c r="J56" s="85" t="str">
        <f aca="false">IF(A56="","",IF(I56&lt;=0,"Paid",IF(G56&gt;0,"Partial","Unpaid")))</f>
        <v/>
      </c>
      <c r="K56" s="99"/>
    </row>
    <row r="57" customFormat="false" ht="19.5" hidden="false" customHeight="true" outlineLevel="0" collapsed="false">
      <c r="A57" s="52"/>
      <c r="B57" s="89" t="str">
        <f aca="false">IF(A57="","",IFERROR(INDEX(Students!$B$5:$B$304,MATCH(A57,Students!$A$5:$A$304,0)),"ID not found"))</f>
        <v/>
      </c>
      <c r="C57" s="85" t="str">
        <f aca="false">IF(A57="","",IFERROR(INDEX(Students!$E$5:$E$304,MATCH(A57,Students!$A$5:$A$304,0)),""))</f>
        <v/>
      </c>
      <c r="D57" s="85" t="str">
        <f aca="false">IF(A57="","",IFERROR(INDEX(Students!$F$5:$F$304,MATCH(A57,Students!$A$5:$A$304,0)),""))</f>
        <v/>
      </c>
      <c r="E57" s="52"/>
      <c r="F57" s="97"/>
      <c r="G57" s="97"/>
      <c r="H57" s="91"/>
      <c r="I57" s="98" t="str">
        <f aca="false">IF(A57="","",F57-G57)</f>
        <v/>
      </c>
      <c r="J57" s="85" t="str">
        <f aca="false">IF(A57="","",IF(I57&lt;=0,"Paid",IF(G57&gt;0,"Partial","Unpaid")))</f>
        <v/>
      </c>
      <c r="K57" s="99"/>
    </row>
    <row r="58" customFormat="false" ht="19.5" hidden="false" customHeight="true" outlineLevel="0" collapsed="false">
      <c r="A58" s="52"/>
      <c r="B58" s="89" t="str">
        <f aca="false">IF(A58="","",IFERROR(INDEX(Students!$B$5:$B$304,MATCH(A58,Students!$A$5:$A$304,0)),"ID not found"))</f>
        <v/>
      </c>
      <c r="C58" s="85" t="str">
        <f aca="false">IF(A58="","",IFERROR(INDEX(Students!$E$5:$E$304,MATCH(A58,Students!$A$5:$A$304,0)),""))</f>
        <v/>
      </c>
      <c r="D58" s="85" t="str">
        <f aca="false">IF(A58="","",IFERROR(INDEX(Students!$F$5:$F$304,MATCH(A58,Students!$A$5:$A$304,0)),""))</f>
        <v/>
      </c>
      <c r="E58" s="52"/>
      <c r="F58" s="97"/>
      <c r="G58" s="97"/>
      <c r="H58" s="91"/>
      <c r="I58" s="98" t="str">
        <f aca="false">IF(A58="","",F58-G58)</f>
        <v/>
      </c>
      <c r="J58" s="85" t="str">
        <f aca="false">IF(A58="","",IF(I58&lt;=0,"Paid",IF(G58&gt;0,"Partial","Unpaid")))</f>
        <v/>
      </c>
      <c r="K58" s="99"/>
    </row>
    <row r="59" customFormat="false" ht="19.5" hidden="false" customHeight="true" outlineLevel="0" collapsed="false">
      <c r="A59" s="52"/>
      <c r="B59" s="89" t="str">
        <f aca="false">IF(A59="","",IFERROR(INDEX(Students!$B$5:$B$304,MATCH(A59,Students!$A$5:$A$304,0)),"ID not found"))</f>
        <v/>
      </c>
      <c r="C59" s="85" t="str">
        <f aca="false">IF(A59="","",IFERROR(INDEX(Students!$E$5:$E$304,MATCH(A59,Students!$A$5:$A$304,0)),""))</f>
        <v/>
      </c>
      <c r="D59" s="85" t="str">
        <f aca="false">IF(A59="","",IFERROR(INDEX(Students!$F$5:$F$304,MATCH(A59,Students!$A$5:$A$304,0)),""))</f>
        <v/>
      </c>
      <c r="E59" s="52"/>
      <c r="F59" s="97"/>
      <c r="G59" s="97"/>
      <c r="H59" s="91"/>
      <c r="I59" s="98" t="str">
        <f aca="false">IF(A59="","",F59-G59)</f>
        <v/>
      </c>
      <c r="J59" s="85" t="str">
        <f aca="false">IF(A59="","",IF(I59&lt;=0,"Paid",IF(G59&gt;0,"Partial","Unpaid")))</f>
        <v/>
      </c>
      <c r="K59" s="99"/>
    </row>
    <row r="60" customFormat="false" ht="19.5" hidden="false" customHeight="true" outlineLevel="0" collapsed="false">
      <c r="A60" s="52"/>
      <c r="B60" s="89" t="str">
        <f aca="false">IF(A60="","",IFERROR(INDEX(Students!$B$5:$B$304,MATCH(A60,Students!$A$5:$A$304,0)),"ID not found"))</f>
        <v/>
      </c>
      <c r="C60" s="85" t="str">
        <f aca="false">IF(A60="","",IFERROR(INDEX(Students!$E$5:$E$304,MATCH(A60,Students!$A$5:$A$304,0)),""))</f>
        <v/>
      </c>
      <c r="D60" s="85" t="str">
        <f aca="false">IF(A60="","",IFERROR(INDEX(Students!$F$5:$F$304,MATCH(A60,Students!$A$5:$A$304,0)),""))</f>
        <v/>
      </c>
      <c r="E60" s="52"/>
      <c r="F60" s="97"/>
      <c r="G60" s="97"/>
      <c r="H60" s="91"/>
      <c r="I60" s="98" t="str">
        <f aca="false">IF(A60="","",F60-G60)</f>
        <v/>
      </c>
      <c r="J60" s="85" t="str">
        <f aca="false">IF(A60="","",IF(I60&lt;=0,"Paid",IF(G60&gt;0,"Partial","Unpaid")))</f>
        <v/>
      </c>
      <c r="K60" s="99"/>
    </row>
    <row r="61" customFormat="false" ht="19.5" hidden="false" customHeight="true" outlineLevel="0" collapsed="false">
      <c r="A61" s="52"/>
      <c r="B61" s="89" t="str">
        <f aca="false">IF(A61="","",IFERROR(INDEX(Students!$B$5:$B$304,MATCH(A61,Students!$A$5:$A$304,0)),"ID not found"))</f>
        <v/>
      </c>
      <c r="C61" s="85" t="str">
        <f aca="false">IF(A61="","",IFERROR(INDEX(Students!$E$5:$E$304,MATCH(A61,Students!$A$5:$A$304,0)),""))</f>
        <v/>
      </c>
      <c r="D61" s="85" t="str">
        <f aca="false">IF(A61="","",IFERROR(INDEX(Students!$F$5:$F$304,MATCH(A61,Students!$A$5:$A$304,0)),""))</f>
        <v/>
      </c>
      <c r="E61" s="52"/>
      <c r="F61" s="97"/>
      <c r="G61" s="97"/>
      <c r="H61" s="91"/>
      <c r="I61" s="98" t="str">
        <f aca="false">IF(A61="","",F61-G61)</f>
        <v/>
      </c>
      <c r="J61" s="85" t="str">
        <f aca="false">IF(A61="","",IF(I61&lt;=0,"Paid",IF(G61&gt;0,"Partial","Unpaid")))</f>
        <v/>
      </c>
      <c r="K61" s="99"/>
    </row>
    <row r="62" customFormat="false" ht="19.5" hidden="false" customHeight="true" outlineLevel="0" collapsed="false">
      <c r="A62" s="52"/>
      <c r="B62" s="89" t="str">
        <f aca="false">IF(A62="","",IFERROR(INDEX(Students!$B$5:$B$304,MATCH(A62,Students!$A$5:$A$304,0)),"ID not found"))</f>
        <v/>
      </c>
      <c r="C62" s="85" t="str">
        <f aca="false">IF(A62="","",IFERROR(INDEX(Students!$E$5:$E$304,MATCH(A62,Students!$A$5:$A$304,0)),""))</f>
        <v/>
      </c>
      <c r="D62" s="85" t="str">
        <f aca="false">IF(A62="","",IFERROR(INDEX(Students!$F$5:$F$304,MATCH(A62,Students!$A$5:$A$304,0)),""))</f>
        <v/>
      </c>
      <c r="E62" s="52"/>
      <c r="F62" s="97"/>
      <c r="G62" s="97"/>
      <c r="H62" s="91"/>
      <c r="I62" s="98" t="str">
        <f aca="false">IF(A62="","",F62-G62)</f>
        <v/>
      </c>
      <c r="J62" s="85" t="str">
        <f aca="false">IF(A62="","",IF(I62&lt;=0,"Paid",IF(G62&gt;0,"Partial","Unpaid")))</f>
        <v/>
      </c>
      <c r="K62" s="99"/>
    </row>
    <row r="63" customFormat="false" ht="19.5" hidden="false" customHeight="true" outlineLevel="0" collapsed="false">
      <c r="A63" s="52"/>
      <c r="B63" s="89" t="str">
        <f aca="false">IF(A63="","",IFERROR(INDEX(Students!$B$5:$B$304,MATCH(A63,Students!$A$5:$A$304,0)),"ID not found"))</f>
        <v/>
      </c>
      <c r="C63" s="85" t="str">
        <f aca="false">IF(A63="","",IFERROR(INDEX(Students!$E$5:$E$304,MATCH(A63,Students!$A$5:$A$304,0)),""))</f>
        <v/>
      </c>
      <c r="D63" s="85" t="str">
        <f aca="false">IF(A63="","",IFERROR(INDEX(Students!$F$5:$F$304,MATCH(A63,Students!$A$5:$A$304,0)),""))</f>
        <v/>
      </c>
      <c r="E63" s="52"/>
      <c r="F63" s="97"/>
      <c r="G63" s="97"/>
      <c r="H63" s="91"/>
      <c r="I63" s="98" t="str">
        <f aca="false">IF(A63="","",F63-G63)</f>
        <v/>
      </c>
      <c r="J63" s="85" t="str">
        <f aca="false">IF(A63="","",IF(I63&lt;=0,"Paid",IF(G63&gt;0,"Partial","Unpaid")))</f>
        <v/>
      </c>
      <c r="K63" s="99"/>
    </row>
    <row r="64" customFormat="false" ht="19.5" hidden="false" customHeight="true" outlineLevel="0" collapsed="false">
      <c r="A64" s="52"/>
      <c r="B64" s="89" t="str">
        <f aca="false">IF(A64="","",IFERROR(INDEX(Students!$B$5:$B$304,MATCH(A64,Students!$A$5:$A$304,0)),"ID not found"))</f>
        <v/>
      </c>
      <c r="C64" s="85" t="str">
        <f aca="false">IF(A64="","",IFERROR(INDEX(Students!$E$5:$E$304,MATCH(A64,Students!$A$5:$A$304,0)),""))</f>
        <v/>
      </c>
      <c r="D64" s="85" t="str">
        <f aca="false">IF(A64="","",IFERROR(INDEX(Students!$F$5:$F$304,MATCH(A64,Students!$A$5:$A$304,0)),""))</f>
        <v/>
      </c>
      <c r="E64" s="52"/>
      <c r="F64" s="97"/>
      <c r="G64" s="97"/>
      <c r="H64" s="91"/>
      <c r="I64" s="98" t="str">
        <f aca="false">IF(A64="","",F64-G64)</f>
        <v/>
      </c>
      <c r="J64" s="85" t="str">
        <f aca="false">IF(A64="","",IF(I64&lt;=0,"Paid",IF(G64&gt;0,"Partial","Unpaid")))</f>
        <v/>
      </c>
      <c r="K64" s="99"/>
    </row>
    <row r="65" customFormat="false" ht="19.5" hidden="false" customHeight="true" outlineLevel="0" collapsed="false">
      <c r="A65" s="52"/>
      <c r="B65" s="89" t="str">
        <f aca="false">IF(A65="","",IFERROR(INDEX(Students!$B$5:$B$304,MATCH(A65,Students!$A$5:$A$304,0)),"ID not found"))</f>
        <v/>
      </c>
      <c r="C65" s="85" t="str">
        <f aca="false">IF(A65="","",IFERROR(INDEX(Students!$E$5:$E$304,MATCH(A65,Students!$A$5:$A$304,0)),""))</f>
        <v/>
      </c>
      <c r="D65" s="85" t="str">
        <f aca="false">IF(A65="","",IFERROR(INDEX(Students!$F$5:$F$304,MATCH(A65,Students!$A$5:$A$304,0)),""))</f>
        <v/>
      </c>
      <c r="E65" s="52"/>
      <c r="F65" s="97"/>
      <c r="G65" s="97"/>
      <c r="H65" s="91"/>
      <c r="I65" s="98" t="str">
        <f aca="false">IF(A65="","",F65-G65)</f>
        <v/>
      </c>
      <c r="J65" s="85" t="str">
        <f aca="false">IF(A65="","",IF(I65&lt;=0,"Paid",IF(G65&gt;0,"Partial","Unpaid")))</f>
        <v/>
      </c>
      <c r="K65" s="99"/>
    </row>
    <row r="66" customFormat="false" ht="19.5" hidden="false" customHeight="true" outlineLevel="0" collapsed="false">
      <c r="A66" s="52"/>
      <c r="B66" s="89" t="str">
        <f aca="false">IF(A66="","",IFERROR(INDEX(Students!$B$5:$B$304,MATCH(A66,Students!$A$5:$A$304,0)),"ID not found"))</f>
        <v/>
      </c>
      <c r="C66" s="85" t="str">
        <f aca="false">IF(A66="","",IFERROR(INDEX(Students!$E$5:$E$304,MATCH(A66,Students!$A$5:$A$304,0)),""))</f>
        <v/>
      </c>
      <c r="D66" s="85" t="str">
        <f aca="false">IF(A66="","",IFERROR(INDEX(Students!$F$5:$F$304,MATCH(A66,Students!$A$5:$A$304,0)),""))</f>
        <v/>
      </c>
      <c r="E66" s="52"/>
      <c r="F66" s="97"/>
      <c r="G66" s="97"/>
      <c r="H66" s="91"/>
      <c r="I66" s="98" t="str">
        <f aca="false">IF(A66="","",F66-G66)</f>
        <v/>
      </c>
      <c r="J66" s="85" t="str">
        <f aca="false">IF(A66="","",IF(I66&lt;=0,"Paid",IF(G66&gt;0,"Partial","Unpaid")))</f>
        <v/>
      </c>
      <c r="K66" s="99"/>
    </row>
    <row r="67" customFormat="false" ht="19.5" hidden="false" customHeight="true" outlineLevel="0" collapsed="false">
      <c r="A67" s="52"/>
      <c r="B67" s="89" t="str">
        <f aca="false">IF(A67="","",IFERROR(INDEX(Students!$B$5:$B$304,MATCH(A67,Students!$A$5:$A$304,0)),"ID not found"))</f>
        <v/>
      </c>
      <c r="C67" s="85" t="str">
        <f aca="false">IF(A67="","",IFERROR(INDEX(Students!$E$5:$E$304,MATCH(A67,Students!$A$5:$A$304,0)),""))</f>
        <v/>
      </c>
      <c r="D67" s="85" t="str">
        <f aca="false">IF(A67="","",IFERROR(INDEX(Students!$F$5:$F$304,MATCH(A67,Students!$A$5:$A$304,0)),""))</f>
        <v/>
      </c>
      <c r="E67" s="52"/>
      <c r="F67" s="97"/>
      <c r="G67" s="97"/>
      <c r="H67" s="91"/>
      <c r="I67" s="98" t="str">
        <f aca="false">IF(A67="","",F67-G67)</f>
        <v/>
      </c>
      <c r="J67" s="85" t="str">
        <f aca="false">IF(A67="","",IF(I67&lt;=0,"Paid",IF(G67&gt;0,"Partial","Unpaid")))</f>
        <v/>
      </c>
      <c r="K67" s="99"/>
    </row>
    <row r="68" customFormat="false" ht="19.5" hidden="false" customHeight="true" outlineLevel="0" collapsed="false">
      <c r="A68" s="52"/>
      <c r="B68" s="89" t="str">
        <f aca="false">IF(A68="","",IFERROR(INDEX(Students!$B$5:$B$304,MATCH(A68,Students!$A$5:$A$304,0)),"ID not found"))</f>
        <v/>
      </c>
      <c r="C68" s="85" t="str">
        <f aca="false">IF(A68="","",IFERROR(INDEX(Students!$E$5:$E$304,MATCH(A68,Students!$A$5:$A$304,0)),""))</f>
        <v/>
      </c>
      <c r="D68" s="85" t="str">
        <f aca="false">IF(A68="","",IFERROR(INDEX(Students!$F$5:$F$304,MATCH(A68,Students!$A$5:$A$304,0)),""))</f>
        <v/>
      </c>
      <c r="E68" s="52"/>
      <c r="F68" s="97"/>
      <c r="G68" s="97"/>
      <c r="H68" s="91"/>
      <c r="I68" s="98" t="str">
        <f aca="false">IF(A68="","",F68-G68)</f>
        <v/>
      </c>
      <c r="J68" s="85" t="str">
        <f aca="false">IF(A68="","",IF(I68&lt;=0,"Paid",IF(G68&gt;0,"Partial","Unpaid")))</f>
        <v/>
      </c>
      <c r="K68" s="99"/>
    </row>
    <row r="69" customFormat="false" ht="19.5" hidden="false" customHeight="true" outlineLevel="0" collapsed="false">
      <c r="A69" s="52"/>
      <c r="B69" s="89" t="str">
        <f aca="false">IF(A69="","",IFERROR(INDEX(Students!$B$5:$B$304,MATCH(A69,Students!$A$5:$A$304,0)),"ID not found"))</f>
        <v/>
      </c>
      <c r="C69" s="85" t="str">
        <f aca="false">IF(A69="","",IFERROR(INDEX(Students!$E$5:$E$304,MATCH(A69,Students!$A$5:$A$304,0)),""))</f>
        <v/>
      </c>
      <c r="D69" s="85" t="str">
        <f aca="false">IF(A69="","",IFERROR(INDEX(Students!$F$5:$F$304,MATCH(A69,Students!$A$5:$A$304,0)),""))</f>
        <v/>
      </c>
      <c r="E69" s="52"/>
      <c r="F69" s="97"/>
      <c r="G69" s="97"/>
      <c r="H69" s="91"/>
      <c r="I69" s="98" t="str">
        <f aca="false">IF(A69="","",F69-G69)</f>
        <v/>
      </c>
      <c r="J69" s="85" t="str">
        <f aca="false">IF(A69="","",IF(I69&lt;=0,"Paid",IF(G69&gt;0,"Partial","Unpaid")))</f>
        <v/>
      </c>
      <c r="K69" s="99"/>
    </row>
    <row r="70" customFormat="false" ht="19.5" hidden="false" customHeight="true" outlineLevel="0" collapsed="false">
      <c r="A70" s="52"/>
      <c r="B70" s="89" t="str">
        <f aca="false">IF(A70="","",IFERROR(INDEX(Students!$B$5:$B$304,MATCH(A70,Students!$A$5:$A$304,0)),"ID not found"))</f>
        <v/>
      </c>
      <c r="C70" s="85" t="str">
        <f aca="false">IF(A70="","",IFERROR(INDEX(Students!$E$5:$E$304,MATCH(A70,Students!$A$5:$A$304,0)),""))</f>
        <v/>
      </c>
      <c r="D70" s="85" t="str">
        <f aca="false">IF(A70="","",IFERROR(INDEX(Students!$F$5:$F$304,MATCH(A70,Students!$A$5:$A$304,0)),""))</f>
        <v/>
      </c>
      <c r="E70" s="52"/>
      <c r="F70" s="97"/>
      <c r="G70" s="97"/>
      <c r="H70" s="91"/>
      <c r="I70" s="98" t="str">
        <f aca="false">IF(A70="","",F70-G70)</f>
        <v/>
      </c>
      <c r="J70" s="85" t="str">
        <f aca="false">IF(A70="","",IF(I70&lt;=0,"Paid",IF(G70&gt;0,"Partial","Unpaid")))</f>
        <v/>
      </c>
      <c r="K70" s="99"/>
    </row>
    <row r="71" customFormat="false" ht="19.5" hidden="false" customHeight="true" outlineLevel="0" collapsed="false">
      <c r="A71" s="52"/>
      <c r="B71" s="89" t="str">
        <f aca="false">IF(A71="","",IFERROR(INDEX(Students!$B$5:$B$304,MATCH(A71,Students!$A$5:$A$304,0)),"ID not found"))</f>
        <v/>
      </c>
      <c r="C71" s="85" t="str">
        <f aca="false">IF(A71="","",IFERROR(INDEX(Students!$E$5:$E$304,MATCH(A71,Students!$A$5:$A$304,0)),""))</f>
        <v/>
      </c>
      <c r="D71" s="85" t="str">
        <f aca="false">IF(A71="","",IFERROR(INDEX(Students!$F$5:$F$304,MATCH(A71,Students!$A$5:$A$304,0)),""))</f>
        <v/>
      </c>
      <c r="E71" s="52"/>
      <c r="F71" s="97"/>
      <c r="G71" s="97"/>
      <c r="H71" s="91"/>
      <c r="I71" s="98" t="str">
        <f aca="false">IF(A71="","",F71-G71)</f>
        <v/>
      </c>
      <c r="J71" s="85" t="str">
        <f aca="false">IF(A71="","",IF(I71&lt;=0,"Paid",IF(G71&gt;0,"Partial","Unpaid")))</f>
        <v/>
      </c>
      <c r="K71" s="99"/>
    </row>
    <row r="72" customFormat="false" ht="19.5" hidden="false" customHeight="true" outlineLevel="0" collapsed="false">
      <c r="A72" s="52"/>
      <c r="B72" s="89" t="str">
        <f aca="false">IF(A72="","",IFERROR(INDEX(Students!$B$5:$B$304,MATCH(A72,Students!$A$5:$A$304,0)),"ID not found"))</f>
        <v/>
      </c>
      <c r="C72" s="85" t="str">
        <f aca="false">IF(A72="","",IFERROR(INDEX(Students!$E$5:$E$304,MATCH(A72,Students!$A$5:$A$304,0)),""))</f>
        <v/>
      </c>
      <c r="D72" s="85" t="str">
        <f aca="false">IF(A72="","",IFERROR(INDEX(Students!$F$5:$F$304,MATCH(A72,Students!$A$5:$A$304,0)),""))</f>
        <v/>
      </c>
      <c r="E72" s="52"/>
      <c r="F72" s="97"/>
      <c r="G72" s="97"/>
      <c r="H72" s="91"/>
      <c r="I72" s="98" t="str">
        <f aca="false">IF(A72="","",F72-G72)</f>
        <v/>
      </c>
      <c r="J72" s="85" t="str">
        <f aca="false">IF(A72="","",IF(I72&lt;=0,"Paid",IF(G72&gt;0,"Partial","Unpaid")))</f>
        <v/>
      </c>
      <c r="K72" s="99"/>
    </row>
    <row r="73" customFormat="false" ht="19.5" hidden="false" customHeight="true" outlineLevel="0" collapsed="false">
      <c r="A73" s="52"/>
      <c r="B73" s="89" t="str">
        <f aca="false">IF(A73="","",IFERROR(INDEX(Students!$B$5:$B$304,MATCH(A73,Students!$A$5:$A$304,0)),"ID not found"))</f>
        <v/>
      </c>
      <c r="C73" s="85" t="str">
        <f aca="false">IF(A73="","",IFERROR(INDEX(Students!$E$5:$E$304,MATCH(A73,Students!$A$5:$A$304,0)),""))</f>
        <v/>
      </c>
      <c r="D73" s="85" t="str">
        <f aca="false">IF(A73="","",IFERROR(INDEX(Students!$F$5:$F$304,MATCH(A73,Students!$A$5:$A$304,0)),""))</f>
        <v/>
      </c>
      <c r="E73" s="52"/>
      <c r="F73" s="97"/>
      <c r="G73" s="97"/>
      <c r="H73" s="91"/>
      <c r="I73" s="98" t="str">
        <f aca="false">IF(A73="","",F73-G73)</f>
        <v/>
      </c>
      <c r="J73" s="85" t="str">
        <f aca="false">IF(A73="","",IF(I73&lt;=0,"Paid",IF(G73&gt;0,"Partial","Unpaid")))</f>
        <v/>
      </c>
      <c r="K73" s="99"/>
    </row>
    <row r="74" customFormat="false" ht="19.5" hidden="false" customHeight="true" outlineLevel="0" collapsed="false">
      <c r="A74" s="52"/>
      <c r="B74" s="89" t="str">
        <f aca="false">IF(A74="","",IFERROR(INDEX(Students!$B$5:$B$304,MATCH(A74,Students!$A$5:$A$304,0)),"ID not found"))</f>
        <v/>
      </c>
      <c r="C74" s="85" t="str">
        <f aca="false">IF(A74="","",IFERROR(INDEX(Students!$E$5:$E$304,MATCH(A74,Students!$A$5:$A$304,0)),""))</f>
        <v/>
      </c>
      <c r="D74" s="85" t="str">
        <f aca="false">IF(A74="","",IFERROR(INDEX(Students!$F$5:$F$304,MATCH(A74,Students!$A$5:$A$304,0)),""))</f>
        <v/>
      </c>
      <c r="E74" s="52"/>
      <c r="F74" s="97"/>
      <c r="G74" s="97"/>
      <c r="H74" s="91"/>
      <c r="I74" s="98" t="str">
        <f aca="false">IF(A74="","",F74-G74)</f>
        <v/>
      </c>
      <c r="J74" s="85" t="str">
        <f aca="false">IF(A74="","",IF(I74&lt;=0,"Paid",IF(G74&gt;0,"Partial","Unpaid")))</f>
        <v/>
      </c>
      <c r="K74" s="99"/>
    </row>
    <row r="75" customFormat="false" ht="19.5" hidden="false" customHeight="true" outlineLevel="0" collapsed="false">
      <c r="A75" s="52"/>
      <c r="B75" s="89" t="str">
        <f aca="false">IF(A75="","",IFERROR(INDEX(Students!$B$5:$B$304,MATCH(A75,Students!$A$5:$A$304,0)),"ID not found"))</f>
        <v/>
      </c>
      <c r="C75" s="85" t="str">
        <f aca="false">IF(A75="","",IFERROR(INDEX(Students!$E$5:$E$304,MATCH(A75,Students!$A$5:$A$304,0)),""))</f>
        <v/>
      </c>
      <c r="D75" s="85" t="str">
        <f aca="false">IF(A75="","",IFERROR(INDEX(Students!$F$5:$F$304,MATCH(A75,Students!$A$5:$A$304,0)),""))</f>
        <v/>
      </c>
      <c r="E75" s="52"/>
      <c r="F75" s="97"/>
      <c r="G75" s="97"/>
      <c r="H75" s="91"/>
      <c r="I75" s="98" t="str">
        <f aca="false">IF(A75="","",F75-G75)</f>
        <v/>
      </c>
      <c r="J75" s="85" t="str">
        <f aca="false">IF(A75="","",IF(I75&lt;=0,"Paid",IF(G75&gt;0,"Partial","Unpaid")))</f>
        <v/>
      </c>
      <c r="K75" s="99"/>
    </row>
    <row r="76" customFormat="false" ht="19.5" hidden="false" customHeight="true" outlineLevel="0" collapsed="false">
      <c r="A76" s="52"/>
      <c r="B76" s="89" t="str">
        <f aca="false">IF(A76="","",IFERROR(INDEX(Students!$B$5:$B$304,MATCH(A76,Students!$A$5:$A$304,0)),"ID not found"))</f>
        <v/>
      </c>
      <c r="C76" s="85" t="str">
        <f aca="false">IF(A76="","",IFERROR(INDEX(Students!$E$5:$E$304,MATCH(A76,Students!$A$5:$A$304,0)),""))</f>
        <v/>
      </c>
      <c r="D76" s="85" t="str">
        <f aca="false">IF(A76="","",IFERROR(INDEX(Students!$F$5:$F$304,MATCH(A76,Students!$A$5:$A$304,0)),""))</f>
        <v/>
      </c>
      <c r="E76" s="52"/>
      <c r="F76" s="97"/>
      <c r="G76" s="97"/>
      <c r="H76" s="91"/>
      <c r="I76" s="98" t="str">
        <f aca="false">IF(A76="","",F76-G76)</f>
        <v/>
      </c>
      <c r="J76" s="85" t="str">
        <f aca="false">IF(A76="","",IF(I76&lt;=0,"Paid",IF(G76&gt;0,"Partial","Unpaid")))</f>
        <v/>
      </c>
      <c r="K76" s="99"/>
    </row>
    <row r="77" customFormat="false" ht="19.5" hidden="false" customHeight="true" outlineLevel="0" collapsed="false">
      <c r="A77" s="52"/>
      <c r="B77" s="89" t="str">
        <f aca="false">IF(A77="","",IFERROR(INDEX(Students!$B$5:$B$304,MATCH(A77,Students!$A$5:$A$304,0)),"ID not found"))</f>
        <v/>
      </c>
      <c r="C77" s="85" t="str">
        <f aca="false">IF(A77="","",IFERROR(INDEX(Students!$E$5:$E$304,MATCH(A77,Students!$A$5:$A$304,0)),""))</f>
        <v/>
      </c>
      <c r="D77" s="85" t="str">
        <f aca="false">IF(A77="","",IFERROR(INDEX(Students!$F$5:$F$304,MATCH(A77,Students!$A$5:$A$304,0)),""))</f>
        <v/>
      </c>
      <c r="E77" s="52"/>
      <c r="F77" s="97"/>
      <c r="G77" s="97"/>
      <c r="H77" s="91"/>
      <c r="I77" s="98" t="str">
        <f aca="false">IF(A77="","",F77-G77)</f>
        <v/>
      </c>
      <c r="J77" s="85" t="str">
        <f aca="false">IF(A77="","",IF(I77&lt;=0,"Paid",IF(G77&gt;0,"Partial","Unpaid")))</f>
        <v/>
      </c>
      <c r="K77" s="99"/>
    </row>
    <row r="78" customFormat="false" ht="19.5" hidden="false" customHeight="true" outlineLevel="0" collapsed="false">
      <c r="A78" s="52"/>
      <c r="B78" s="89" t="str">
        <f aca="false">IF(A78="","",IFERROR(INDEX(Students!$B$5:$B$304,MATCH(A78,Students!$A$5:$A$304,0)),"ID not found"))</f>
        <v/>
      </c>
      <c r="C78" s="85" t="str">
        <f aca="false">IF(A78="","",IFERROR(INDEX(Students!$E$5:$E$304,MATCH(A78,Students!$A$5:$A$304,0)),""))</f>
        <v/>
      </c>
      <c r="D78" s="85" t="str">
        <f aca="false">IF(A78="","",IFERROR(INDEX(Students!$F$5:$F$304,MATCH(A78,Students!$A$5:$A$304,0)),""))</f>
        <v/>
      </c>
      <c r="E78" s="52"/>
      <c r="F78" s="97"/>
      <c r="G78" s="97"/>
      <c r="H78" s="91"/>
      <c r="I78" s="98" t="str">
        <f aca="false">IF(A78="","",F78-G78)</f>
        <v/>
      </c>
      <c r="J78" s="85" t="str">
        <f aca="false">IF(A78="","",IF(I78&lt;=0,"Paid",IF(G78&gt;0,"Partial","Unpaid")))</f>
        <v/>
      </c>
      <c r="K78" s="99"/>
    </row>
    <row r="79" customFormat="false" ht="19.5" hidden="false" customHeight="true" outlineLevel="0" collapsed="false">
      <c r="A79" s="52"/>
      <c r="B79" s="89" t="str">
        <f aca="false">IF(A79="","",IFERROR(INDEX(Students!$B$5:$B$304,MATCH(A79,Students!$A$5:$A$304,0)),"ID not found"))</f>
        <v/>
      </c>
      <c r="C79" s="85" t="str">
        <f aca="false">IF(A79="","",IFERROR(INDEX(Students!$E$5:$E$304,MATCH(A79,Students!$A$5:$A$304,0)),""))</f>
        <v/>
      </c>
      <c r="D79" s="85" t="str">
        <f aca="false">IF(A79="","",IFERROR(INDEX(Students!$F$5:$F$304,MATCH(A79,Students!$A$5:$A$304,0)),""))</f>
        <v/>
      </c>
      <c r="E79" s="52"/>
      <c r="F79" s="97"/>
      <c r="G79" s="97"/>
      <c r="H79" s="91"/>
      <c r="I79" s="98" t="str">
        <f aca="false">IF(A79="","",F79-G79)</f>
        <v/>
      </c>
      <c r="J79" s="85" t="str">
        <f aca="false">IF(A79="","",IF(I79&lt;=0,"Paid",IF(G79&gt;0,"Partial","Unpaid")))</f>
        <v/>
      </c>
      <c r="K79" s="99"/>
    </row>
    <row r="80" customFormat="false" ht="19.5" hidden="false" customHeight="true" outlineLevel="0" collapsed="false">
      <c r="A80" s="52"/>
      <c r="B80" s="89" t="str">
        <f aca="false">IF(A80="","",IFERROR(INDEX(Students!$B$5:$B$304,MATCH(A80,Students!$A$5:$A$304,0)),"ID not found"))</f>
        <v/>
      </c>
      <c r="C80" s="85" t="str">
        <f aca="false">IF(A80="","",IFERROR(INDEX(Students!$E$5:$E$304,MATCH(A80,Students!$A$5:$A$304,0)),""))</f>
        <v/>
      </c>
      <c r="D80" s="85" t="str">
        <f aca="false">IF(A80="","",IFERROR(INDEX(Students!$F$5:$F$304,MATCH(A80,Students!$A$5:$A$304,0)),""))</f>
        <v/>
      </c>
      <c r="E80" s="52"/>
      <c r="F80" s="97"/>
      <c r="G80" s="97"/>
      <c r="H80" s="91"/>
      <c r="I80" s="98" t="str">
        <f aca="false">IF(A80="","",F80-G80)</f>
        <v/>
      </c>
      <c r="J80" s="85" t="str">
        <f aca="false">IF(A80="","",IF(I80&lt;=0,"Paid",IF(G80&gt;0,"Partial","Unpaid")))</f>
        <v/>
      </c>
      <c r="K80" s="99"/>
    </row>
    <row r="81" customFormat="false" ht="19.5" hidden="false" customHeight="true" outlineLevel="0" collapsed="false">
      <c r="A81" s="52"/>
      <c r="B81" s="89" t="str">
        <f aca="false">IF(A81="","",IFERROR(INDEX(Students!$B$5:$B$304,MATCH(A81,Students!$A$5:$A$304,0)),"ID not found"))</f>
        <v/>
      </c>
      <c r="C81" s="85" t="str">
        <f aca="false">IF(A81="","",IFERROR(INDEX(Students!$E$5:$E$304,MATCH(A81,Students!$A$5:$A$304,0)),""))</f>
        <v/>
      </c>
      <c r="D81" s="85" t="str">
        <f aca="false">IF(A81="","",IFERROR(INDEX(Students!$F$5:$F$304,MATCH(A81,Students!$A$5:$A$304,0)),""))</f>
        <v/>
      </c>
      <c r="E81" s="52"/>
      <c r="F81" s="97"/>
      <c r="G81" s="97"/>
      <c r="H81" s="91"/>
      <c r="I81" s="98" t="str">
        <f aca="false">IF(A81="","",F81-G81)</f>
        <v/>
      </c>
      <c r="J81" s="85" t="str">
        <f aca="false">IF(A81="","",IF(I81&lt;=0,"Paid",IF(G81&gt;0,"Partial","Unpaid")))</f>
        <v/>
      </c>
      <c r="K81" s="99"/>
    </row>
    <row r="82" customFormat="false" ht="19.5" hidden="false" customHeight="true" outlineLevel="0" collapsed="false">
      <c r="A82" s="52"/>
      <c r="B82" s="89" t="str">
        <f aca="false">IF(A82="","",IFERROR(INDEX(Students!$B$5:$B$304,MATCH(A82,Students!$A$5:$A$304,0)),"ID not found"))</f>
        <v/>
      </c>
      <c r="C82" s="85" t="str">
        <f aca="false">IF(A82="","",IFERROR(INDEX(Students!$E$5:$E$304,MATCH(A82,Students!$A$5:$A$304,0)),""))</f>
        <v/>
      </c>
      <c r="D82" s="85" t="str">
        <f aca="false">IF(A82="","",IFERROR(INDEX(Students!$F$5:$F$304,MATCH(A82,Students!$A$5:$A$304,0)),""))</f>
        <v/>
      </c>
      <c r="E82" s="52"/>
      <c r="F82" s="97"/>
      <c r="G82" s="97"/>
      <c r="H82" s="91"/>
      <c r="I82" s="98" t="str">
        <f aca="false">IF(A82="","",F82-G82)</f>
        <v/>
      </c>
      <c r="J82" s="85" t="str">
        <f aca="false">IF(A82="","",IF(I82&lt;=0,"Paid",IF(G82&gt;0,"Partial","Unpaid")))</f>
        <v/>
      </c>
      <c r="K82" s="99"/>
    </row>
    <row r="83" customFormat="false" ht="19.5" hidden="false" customHeight="true" outlineLevel="0" collapsed="false">
      <c r="A83" s="52"/>
      <c r="B83" s="89" t="str">
        <f aca="false">IF(A83="","",IFERROR(INDEX(Students!$B$5:$B$304,MATCH(A83,Students!$A$5:$A$304,0)),"ID not found"))</f>
        <v/>
      </c>
      <c r="C83" s="85" t="str">
        <f aca="false">IF(A83="","",IFERROR(INDEX(Students!$E$5:$E$304,MATCH(A83,Students!$A$5:$A$304,0)),""))</f>
        <v/>
      </c>
      <c r="D83" s="85" t="str">
        <f aca="false">IF(A83="","",IFERROR(INDEX(Students!$F$5:$F$304,MATCH(A83,Students!$A$5:$A$304,0)),""))</f>
        <v/>
      </c>
      <c r="E83" s="52"/>
      <c r="F83" s="97"/>
      <c r="G83" s="97"/>
      <c r="H83" s="91"/>
      <c r="I83" s="98" t="str">
        <f aca="false">IF(A83="","",F83-G83)</f>
        <v/>
      </c>
      <c r="J83" s="85" t="str">
        <f aca="false">IF(A83="","",IF(I83&lt;=0,"Paid",IF(G83&gt;0,"Partial","Unpaid")))</f>
        <v/>
      </c>
      <c r="K83" s="99"/>
    </row>
    <row r="84" customFormat="false" ht="19.5" hidden="false" customHeight="true" outlineLevel="0" collapsed="false">
      <c r="A84" s="52"/>
      <c r="B84" s="89" t="str">
        <f aca="false">IF(A84="","",IFERROR(INDEX(Students!$B$5:$B$304,MATCH(A84,Students!$A$5:$A$304,0)),"ID not found"))</f>
        <v/>
      </c>
      <c r="C84" s="85" t="str">
        <f aca="false">IF(A84="","",IFERROR(INDEX(Students!$E$5:$E$304,MATCH(A84,Students!$A$5:$A$304,0)),""))</f>
        <v/>
      </c>
      <c r="D84" s="85" t="str">
        <f aca="false">IF(A84="","",IFERROR(INDEX(Students!$F$5:$F$304,MATCH(A84,Students!$A$5:$A$304,0)),""))</f>
        <v/>
      </c>
      <c r="E84" s="52"/>
      <c r="F84" s="97"/>
      <c r="G84" s="97"/>
      <c r="H84" s="91"/>
      <c r="I84" s="98" t="str">
        <f aca="false">IF(A84="","",F84-G84)</f>
        <v/>
      </c>
      <c r="J84" s="85" t="str">
        <f aca="false">IF(A84="","",IF(I84&lt;=0,"Paid",IF(G84&gt;0,"Partial","Unpaid")))</f>
        <v/>
      </c>
      <c r="K84" s="99"/>
    </row>
    <row r="85" customFormat="false" ht="19.5" hidden="false" customHeight="true" outlineLevel="0" collapsed="false">
      <c r="A85" s="52"/>
      <c r="B85" s="89" t="str">
        <f aca="false">IF(A85="","",IFERROR(INDEX(Students!$B$5:$B$304,MATCH(A85,Students!$A$5:$A$304,0)),"ID not found"))</f>
        <v/>
      </c>
      <c r="C85" s="85" t="str">
        <f aca="false">IF(A85="","",IFERROR(INDEX(Students!$E$5:$E$304,MATCH(A85,Students!$A$5:$A$304,0)),""))</f>
        <v/>
      </c>
      <c r="D85" s="85" t="str">
        <f aca="false">IF(A85="","",IFERROR(INDEX(Students!$F$5:$F$304,MATCH(A85,Students!$A$5:$A$304,0)),""))</f>
        <v/>
      </c>
      <c r="E85" s="52"/>
      <c r="F85" s="97"/>
      <c r="G85" s="97"/>
      <c r="H85" s="91"/>
      <c r="I85" s="98" t="str">
        <f aca="false">IF(A85="","",F85-G85)</f>
        <v/>
      </c>
      <c r="J85" s="85" t="str">
        <f aca="false">IF(A85="","",IF(I85&lt;=0,"Paid",IF(G85&gt;0,"Partial","Unpaid")))</f>
        <v/>
      </c>
      <c r="K85" s="99"/>
    </row>
    <row r="86" customFormat="false" ht="19.5" hidden="false" customHeight="true" outlineLevel="0" collapsed="false">
      <c r="A86" s="52"/>
      <c r="B86" s="89" t="str">
        <f aca="false">IF(A86="","",IFERROR(INDEX(Students!$B$5:$B$304,MATCH(A86,Students!$A$5:$A$304,0)),"ID not found"))</f>
        <v/>
      </c>
      <c r="C86" s="85" t="str">
        <f aca="false">IF(A86="","",IFERROR(INDEX(Students!$E$5:$E$304,MATCH(A86,Students!$A$5:$A$304,0)),""))</f>
        <v/>
      </c>
      <c r="D86" s="85" t="str">
        <f aca="false">IF(A86="","",IFERROR(INDEX(Students!$F$5:$F$304,MATCH(A86,Students!$A$5:$A$304,0)),""))</f>
        <v/>
      </c>
      <c r="E86" s="52"/>
      <c r="F86" s="97"/>
      <c r="G86" s="97"/>
      <c r="H86" s="91"/>
      <c r="I86" s="98" t="str">
        <f aca="false">IF(A86="","",F86-G86)</f>
        <v/>
      </c>
      <c r="J86" s="85" t="str">
        <f aca="false">IF(A86="","",IF(I86&lt;=0,"Paid",IF(G86&gt;0,"Partial","Unpaid")))</f>
        <v/>
      </c>
      <c r="K86" s="99"/>
    </row>
    <row r="87" customFormat="false" ht="19.5" hidden="false" customHeight="true" outlineLevel="0" collapsed="false">
      <c r="A87" s="52"/>
      <c r="B87" s="89" t="str">
        <f aca="false">IF(A87="","",IFERROR(INDEX(Students!$B$5:$B$304,MATCH(A87,Students!$A$5:$A$304,0)),"ID not found"))</f>
        <v/>
      </c>
      <c r="C87" s="85" t="str">
        <f aca="false">IF(A87="","",IFERROR(INDEX(Students!$E$5:$E$304,MATCH(A87,Students!$A$5:$A$304,0)),""))</f>
        <v/>
      </c>
      <c r="D87" s="85" t="str">
        <f aca="false">IF(A87="","",IFERROR(INDEX(Students!$F$5:$F$304,MATCH(A87,Students!$A$5:$A$304,0)),""))</f>
        <v/>
      </c>
      <c r="E87" s="52"/>
      <c r="F87" s="97"/>
      <c r="G87" s="97"/>
      <c r="H87" s="91"/>
      <c r="I87" s="98" t="str">
        <f aca="false">IF(A87="","",F87-G87)</f>
        <v/>
      </c>
      <c r="J87" s="85" t="str">
        <f aca="false">IF(A87="","",IF(I87&lt;=0,"Paid",IF(G87&gt;0,"Partial","Unpaid")))</f>
        <v/>
      </c>
      <c r="K87" s="99"/>
    </row>
    <row r="88" customFormat="false" ht="19.5" hidden="false" customHeight="true" outlineLevel="0" collapsed="false">
      <c r="A88" s="52"/>
      <c r="B88" s="89" t="str">
        <f aca="false">IF(A88="","",IFERROR(INDEX(Students!$B$5:$B$304,MATCH(A88,Students!$A$5:$A$304,0)),"ID not found"))</f>
        <v/>
      </c>
      <c r="C88" s="85" t="str">
        <f aca="false">IF(A88="","",IFERROR(INDEX(Students!$E$5:$E$304,MATCH(A88,Students!$A$5:$A$304,0)),""))</f>
        <v/>
      </c>
      <c r="D88" s="85" t="str">
        <f aca="false">IF(A88="","",IFERROR(INDEX(Students!$F$5:$F$304,MATCH(A88,Students!$A$5:$A$304,0)),""))</f>
        <v/>
      </c>
      <c r="E88" s="52"/>
      <c r="F88" s="97"/>
      <c r="G88" s="97"/>
      <c r="H88" s="91"/>
      <c r="I88" s="98" t="str">
        <f aca="false">IF(A88="","",F88-G88)</f>
        <v/>
      </c>
      <c r="J88" s="85" t="str">
        <f aca="false">IF(A88="","",IF(I88&lt;=0,"Paid",IF(G88&gt;0,"Partial","Unpaid")))</f>
        <v/>
      </c>
      <c r="K88" s="99"/>
    </row>
    <row r="89" customFormat="false" ht="19.5" hidden="false" customHeight="true" outlineLevel="0" collapsed="false">
      <c r="A89" s="52"/>
      <c r="B89" s="89" t="str">
        <f aca="false">IF(A89="","",IFERROR(INDEX(Students!$B$5:$B$304,MATCH(A89,Students!$A$5:$A$304,0)),"ID not found"))</f>
        <v/>
      </c>
      <c r="C89" s="85" t="str">
        <f aca="false">IF(A89="","",IFERROR(INDEX(Students!$E$5:$E$304,MATCH(A89,Students!$A$5:$A$304,0)),""))</f>
        <v/>
      </c>
      <c r="D89" s="85" t="str">
        <f aca="false">IF(A89="","",IFERROR(INDEX(Students!$F$5:$F$304,MATCH(A89,Students!$A$5:$A$304,0)),""))</f>
        <v/>
      </c>
      <c r="E89" s="52"/>
      <c r="F89" s="97"/>
      <c r="G89" s="97"/>
      <c r="H89" s="91"/>
      <c r="I89" s="98" t="str">
        <f aca="false">IF(A89="","",F89-G89)</f>
        <v/>
      </c>
      <c r="J89" s="85" t="str">
        <f aca="false">IF(A89="","",IF(I89&lt;=0,"Paid",IF(G89&gt;0,"Partial","Unpaid")))</f>
        <v/>
      </c>
      <c r="K89" s="99"/>
    </row>
    <row r="90" customFormat="false" ht="19.5" hidden="false" customHeight="true" outlineLevel="0" collapsed="false">
      <c r="A90" s="52"/>
      <c r="B90" s="89" t="str">
        <f aca="false">IF(A90="","",IFERROR(INDEX(Students!$B$5:$B$304,MATCH(A90,Students!$A$5:$A$304,0)),"ID not found"))</f>
        <v/>
      </c>
      <c r="C90" s="85" t="str">
        <f aca="false">IF(A90="","",IFERROR(INDEX(Students!$E$5:$E$304,MATCH(A90,Students!$A$5:$A$304,0)),""))</f>
        <v/>
      </c>
      <c r="D90" s="85" t="str">
        <f aca="false">IF(A90="","",IFERROR(INDEX(Students!$F$5:$F$304,MATCH(A90,Students!$A$5:$A$304,0)),""))</f>
        <v/>
      </c>
      <c r="E90" s="52"/>
      <c r="F90" s="97"/>
      <c r="G90" s="97"/>
      <c r="H90" s="91"/>
      <c r="I90" s="98" t="str">
        <f aca="false">IF(A90="","",F90-G90)</f>
        <v/>
      </c>
      <c r="J90" s="85" t="str">
        <f aca="false">IF(A90="","",IF(I90&lt;=0,"Paid",IF(G90&gt;0,"Partial","Unpaid")))</f>
        <v/>
      </c>
      <c r="K90" s="99"/>
    </row>
    <row r="91" customFormat="false" ht="19.5" hidden="false" customHeight="true" outlineLevel="0" collapsed="false">
      <c r="A91" s="52"/>
      <c r="B91" s="89" t="str">
        <f aca="false">IF(A91="","",IFERROR(INDEX(Students!$B$5:$B$304,MATCH(A91,Students!$A$5:$A$304,0)),"ID not found"))</f>
        <v/>
      </c>
      <c r="C91" s="85" t="str">
        <f aca="false">IF(A91="","",IFERROR(INDEX(Students!$E$5:$E$304,MATCH(A91,Students!$A$5:$A$304,0)),""))</f>
        <v/>
      </c>
      <c r="D91" s="85" t="str">
        <f aca="false">IF(A91="","",IFERROR(INDEX(Students!$F$5:$F$304,MATCH(A91,Students!$A$5:$A$304,0)),""))</f>
        <v/>
      </c>
      <c r="E91" s="52"/>
      <c r="F91" s="97"/>
      <c r="G91" s="97"/>
      <c r="H91" s="91"/>
      <c r="I91" s="98" t="str">
        <f aca="false">IF(A91="","",F91-G91)</f>
        <v/>
      </c>
      <c r="J91" s="85" t="str">
        <f aca="false">IF(A91="","",IF(I91&lt;=0,"Paid",IF(G91&gt;0,"Partial","Unpaid")))</f>
        <v/>
      </c>
      <c r="K91" s="99"/>
    </row>
    <row r="92" customFormat="false" ht="19.5" hidden="false" customHeight="true" outlineLevel="0" collapsed="false">
      <c r="A92" s="52"/>
      <c r="B92" s="89" t="str">
        <f aca="false">IF(A92="","",IFERROR(INDEX(Students!$B$5:$B$304,MATCH(A92,Students!$A$5:$A$304,0)),"ID not found"))</f>
        <v/>
      </c>
      <c r="C92" s="85" t="str">
        <f aca="false">IF(A92="","",IFERROR(INDEX(Students!$E$5:$E$304,MATCH(A92,Students!$A$5:$A$304,0)),""))</f>
        <v/>
      </c>
      <c r="D92" s="85" t="str">
        <f aca="false">IF(A92="","",IFERROR(INDEX(Students!$F$5:$F$304,MATCH(A92,Students!$A$5:$A$304,0)),""))</f>
        <v/>
      </c>
      <c r="E92" s="52"/>
      <c r="F92" s="97"/>
      <c r="G92" s="97"/>
      <c r="H92" s="91"/>
      <c r="I92" s="98" t="str">
        <f aca="false">IF(A92="","",F92-G92)</f>
        <v/>
      </c>
      <c r="J92" s="85" t="str">
        <f aca="false">IF(A92="","",IF(I92&lt;=0,"Paid",IF(G92&gt;0,"Partial","Unpaid")))</f>
        <v/>
      </c>
      <c r="K92" s="99"/>
    </row>
    <row r="93" customFormat="false" ht="19.5" hidden="false" customHeight="true" outlineLevel="0" collapsed="false">
      <c r="A93" s="52"/>
      <c r="B93" s="89" t="str">
        <f aca="false">IF(A93="","",IFERROR(INDEX(Students!$B$5:$B$304,MATCH(A93,Students!$A$5:$A$304,0)),"ID not found"))</f>
        <v/>
      </c>
      <c r="C93" s="85" t="str">
        <f aca="false">IF(A93="","",IFERROR(INDEX(Students!$E$5:$E$304,MATCH(A93,Students!$A$5:$A$304,0)),""))</f>
        <v/>
      </c>
      <c r="D93" s="85" t="str">
        <f aca="false">IF(A93="","",IFERROR(INDEX(Students!$F$5:$F$304,MATCH(A93,Students!$A$5:$A$304,0)),""))</f>
        <v/>
      </c>
      <c r="E93" s="52"/>
      <c r="F93" s="97"/>
      <c r="G93" s="97"/>
      <c r="H93" s="91"/>
      <c r="I93" s="98" t="str">
        <f aca="false">IF(A93="","",F93-G93)</f>
        <v/>
      </c>
      <c r="J93" s="85" t="str">
        <f aca="false">IF(A93="","",IF(I93&lt;=0,"Paid",IF(G93&gt;0,"Partial","Unpaid")))</f>
        <v/>
      </c>
      <c r="K93" s="99"/>
    </row>
    <row r="94" customFormat="false" ht="19.5" hidden="false" customHeight="true" outlineLevel="0" collapsed="false">
      <c r="A94" s="52"/>
      <c r="B94" s="89" t="str">
        <f aca="false">IF(A94="","",IFERROR(INDEX(Students!$B$5:$B$304,MATCH(A94,Students!$A$5:$A$304,0)),"ID not found"))</f>
        <v/>
      </c>
      <c r="C94" s="85" t="str">
        <f aca="false">IF(A94="","",IFERROR(INDEX(Students!$E$5:$E$304,MATCH(A94,Students!$A$5:$A$304,0)),""))</f>
        <v/>
      </c>
      <c r="D94" s="85" t="str">
        <f aca="false">IF(A94="","",IFERROR(INDEX(Students!$F$5:$F$304,MATCH(A94,Students!$A$5:$A$304,0)),""))</f>
        <v/>
      </c>
      <c r="E94" s="52"/>
      <c r="F94" s="97"/>
      <c r="G94" s="97"/>
      <c r="H94" s="91"/>
      <c r="I94" s="98" t="str">
        <f aca="false">IF(A94="","",F94-G94)</f>
        <v/>
      </c>
      <c r="J94" s="85" t="str">
        <f aca="false">IF(A94="","",IF(I94&lt;=0,"Paid",IF(G94&gt;0,"Partial","Unpaid")))</f>
        <v/>
      </c>
      <c r="K94" s="99"/>
    </row>
    <row r="95" customFormat="false" ht="19.5" hidden="false" customHeight="true" outlineLevel="0" collapsed="false">
      <c r="A95" s="52"/>
      <c r="B95" s="89" t="str">
        <f aca="false">IF(A95="","",IFERROR(INDEX(Students!$B$5:$B$304,MATCH(A95,Students!$A$5:$A$304,0)),"ID not found"))</f>
        <v/>
      </c>
      <c r="C95" s="85" t="str">
        <f aca="false">IF(A95="","",IFERROR(INDEX(Students!$E$5:$E$304,MATCH(A95,Students!$A$5:$A$304,0)),""))</f>
        <v/>
      </c>
      <c r="D95" s="85" t="str">
        <f aca="false">IF(A95="","",IFERROR(INDEX(Students!$F$5:$F$304,MATCH(A95,Students!$A$5:$A$304,0)),""))</f>
        <v/>
      </c>
      <c r="E95" s="52"/>
      <c r="F95" s="97"/>
      <c r="G95" s="97"/>
      <c r="H95" s="91"/>
      <c r="I95" s="98" t="str">
        <f aca="false">IF(A95="","",F95-G95)</f>
        <v/>
      </c>
      <c r="J95" s="85" t="str">
        <f aca="false">IF(A95="","",IF(I95&lt;=0,"Paid",IF(G95&gt;0,"Partial","Unpaid")))</f>
        <v/>
      </c>
      <c r="K95" s="99"/>
    </row>
    <row r="96" customFormat="false" ht="19.5" hidden="false" customHeight="true" outlineLevel="0" collapsed="false">
      <c r="A96" s="52"/>
      <c r="B96" s="89" t="str">
        <f aca="false">IF(A96="","",IFERROR(INDEX(Students!$B$5:$B$304,MATCH(A96,Students!$A$5:$A$304,0)),"ID not found"))</f>
        <v/>
      </c>
      <c r="C96" s="85" t="str">
        <f aca="false">IF(A96="","",IFERROR(INDEX(Students!$E$5:$E$304,MATCH(A96,Students!$A$5:$A$304,0)),""))</f>
        <v/>
      </c>
      <c r="D96" s="85" t="str">
        <f aca="false">IF(A96="","",IFERROR(INDEX(Students!$F$5:$F$304,MATCH(A96,Students!$A$5:$A$304,0)),""))</f>
        <v/>
      </c>
      <c r="E96" s="52"/>
      <c r="F96" s="97"/>
      <c r="G96" s="97"/>
      <c r="H96" s="91"/>
      <c r="I96" s="98" t="str">
        <f aca="false">IF(A96="","",F96-G96)</f>
        <v/>
      </c>
      <c r="J96" s="85" t="str">
        <f aca="false">IF(A96="","",IF(I96&lt;=0,"Paid",IF(G96&gt;0,"Partial","Unpaid")))</f>
        <v/>
      </c>
      <c r="K96" s="99"/>
    </row>
    <row r="97" customFormat="false" ht="19.5" hidden="false" customHeight="true" outlineLevel="0" collapsed="false">
      <c r="A97" s="52"/>
      <c r="B97" s="89" t="str">
        <f aca="false">IF(A97="","",IFERROR(INDEX(Students!$B$5:$B$304,MATCH(A97,Students!$A$5:$A$304,0)),"ID not found"))</f>
        <v/>
      </c>
      <c r="C97" s="85" t="str">
        <f aca="false">IF(A97="","",IFERROR(INDEX(Students!$E$5:$E$304,MATCH(A97,Students!$A$5:$A$304,0)),""))</f>
        <v/>
      </c>
      <c r="D97" s="85" t="str">
        <f aca="false">IF(A97="","",IFERROR(INDEX(Students!$F$5:$F$304,MATCH(A97,Students!$A$5:$A$304,0)),""))</f>
        <v/>
      </c>
      <c r="E97" s="52"/>
      <c r="F97" s="97"/>
      <c r="G97" s="97"/>
      <c r="H97" s="91"/>
      <c r="I97" s="98" t="str">
        <f aca="false">IF(A97="","",F97-G97)</f>
        <v/>
      </c>
      <c r="J97" s="85" t="str">
        <f aca="false">IF(A97="","",IF(I97&lt;=0,"Paid",IF(G97&gt;0,"Partial","Unpaid")))</f>
        <v/>
      </c>
      <c r="K97" s="99"/>
    </row>
    <row r="98" customFormat="false" ht="19.5" hidden="false" customHeight="true" outlineLevel="0" collapsed="false">
      <c r="A98" s="52"/>
      <c r="B98" s="89" t="str">
        <f aca="false">IF(A98="","",IFERROR(INDEX(Students!$B$5:$B$304,MATCH(A98,Students!$A$5:$A$304,0)),"ID not found"))</f>
        <v/>
      </c>
      <c r="C98" s="85" t="str">
        <f aca="false">IF(A98="","",IFERROR(INDEX(Students!$E$5:$E$304,MATCH(A98,Students!$A$5:$A$304,0)),""))</f>
        <v/>
      </c>
      <c r="D98" s="85" t="str">
        <f aca="false">IF(A98="","",IFERROR(INDEX(Students!$F$5:$F$304,MATCH(A98,Students!$A$5:$A$304,0)),""))</f>
        <v/>
      </c>
      <c r="E98" s="52"/>
      <c r="F98" s="97"/>
      <c r="G98" s="97"/>
      <c r="H98" s="91"/>
      <c r="I98" s="98" t="str">
        <f aca="false">IF(A98="","",F98-G98)</f>
        <v/>
      </c>
      <c r="J98" s="85" t="str">
        <f aca="false">IF(A98="","",IF(I98&lt;=0,"Paid",IF(G98&gt;0,"Partial","Unpaid")))</f>
        <v/>
      </c>
      <c r="K98" s="99"/>
    </row>
    <row r="99" customFormat="false" ht="19.5" hidden="false" customHeight="true" outlineLevel="0" collapsed="false">
      <c r="A99" s="52"/>
      <c r="B99" s="89" t="str">
        <f aca="false">IF(A99="","",IFERROR(INDEX(Students!$B$5:$B$304,MATCH(A99,Students!$A$5:$A$304,0)),"ID not found"))</f>
        <v/>
      </c>
      <c r="C99" s="85" t="str">
        <f aca="false">IF(A99="","",IFERROR(INDEX(Students!$E$5:$E$304,MATCH(A99,Students!$A$5:$A$304,0)),""))</f>
        <v/>
      </c>
      <c r="D99" s="85" t="str">
        <f aca="false">IF(A99="","",IFERROR(INDEX(Students!$F$5:$F$304,MATCH(A99,Students!$A$5:$A$304,0)),""))</f>
        <v/>
      </c>
      <c r="E99" s="52"/>
      <c r="F99" s="97"/>
      <c r="G99" s="97"/>
      <c r="H99" s="91"/>
      <c r="I99" s="98" t="str">
        <f aca="false">IF(A99="","",F99-G99)</f>
        <v/>
      </c>
      <c r="J99" s="85" t="str">
        <f aca="false">IF(A99="","",IF(I99&lt;=0,"Paid",IF(G99&gt;0,"Partial","Unpaid")))</f>
        <v/>
      </c>
      <c r="K99" s="99"/>
    </row>
    <row r="100" customFormat="false" ht="19.5" hidden="false" customHeight="true" outlineLevel="0" collapsed="false">
      <c r="A100" s="52"/>
      <c r="B100" s="89" t="str">
        <f aca="false">IF(A100="","",IFERROR(INDEX(Students!$B$5:$B$304,MATCH(A100,Students!$A$5:$A$304,0)),"ID not found"))</f>
        <v/>
      </c>
      <c r="C100" s="85" t="str">
        <f aca="false">IF(A100="","",IFERROR(INDEX(Students!$E$5:$E$304,MATCH(A100,Students!$A$5:$A$304,0)),""))</f>
        <v/>
      </c>
      <c r="D100" s="85" t="str">
        <f aca="false">IF(A100="","",IFERROR(INDEX(Students!$F$5:$F$304,MATCH(A100,Students!$A$5:$A$304,0)),""))</f>
        <v/>
      </c>
      <c r="E100" s="52"/>
      <c r="F100" s="97"/>
      <c r="G100" s="97"/>
      <c r="H100" s="91"/>
      <c r="I100" s="98" t="str">
        <f aca="false">IF(A100="","",F100-G100)</f>
        <v/>
      </c>
      <c r="J100" s="85" t="str">
        <f aca="false">IF(A100="","",IF(I100&lt;=0,"Paid",IF(G100&gt;0,"Partial","Unpaid")))</f>
        <v/>
      </c>
      <c r="K100" s="99"/>
    </row>
    <row r="101" customFormat="false" ht="19.5" hidden="false" customHeight="true" outlineLevel="0" collapsed="false">
      <c r="A101" s="52"/>
      <c r="B101" s="89" t="str">
        <f aca="false">IF(A101="","",IFERROR(INDEX(Students!$B$5:$B$304,MATCH(A101,Students!$A$5:$A$304,0)),"ID not found"))</f>
        <v/>
      </c>
      <c r="C101" s="85" t="str">
        <f aca="false">IF(A101="","",IFERROR(INDEX(Students!$E$5:$E$304,MATCH(A101,Students!$A$5:$A$304,0)),""))</f>
        <v/>
      </c>
      <c r="D101" s="85" t="str">
        <f aca="false">IF(A101="","",IFERROR(INDEX(Students!$F$5:$F$304,MATCH(A101,Students!$A$5:$A$304,0)),""))</f>
        <v/>
      </c>
      <c r="E101" s="52"/>
      <c r="F101" s="97"/>
      <c r="G101" s="97"/>
      <c r="H101" s="91"/>
      <c r="I101" s="98" t="str">
        <f aca="false">IF(A101="","",F101-G101)</f>
        <v/>
      </c>
      <c r="J101" s="85" t="str">
        <f aca="false">IF(A101="","",IF(I101&lt;=0,"Paid",IF(G101&gt;0,"Partial","Unpaid")))</f>
        <v/>
      </c>
      <c r="K101" s="99"/>
    </row>
    <row r="102" customFormat="false" ht="19.5" hidden="false" customHeight="true" outlineLevel="0" collapsed="false">
      <c r="A102" s="52"/>
      <c r="B102" s="89" t="str">
        <f aca="false">IF(A102="","",IFERROR(INDEX(Students!$B$5:$B$304,MATCH(A102,Students!$A$5:$A$304,0)),"ID not found"))</f>
        <v/>
      </c>
      <c r="C102" s="85" t="str">
        <f aca="false">IF(A102="","",IFERROR(INDEX(Students!$E$5:$E$304,MATCH(A102,Students!$A$5:$A$304,0)),""))</f>
        <v/>
      </c>
      <c r="D102" s="85" t="str">
        <f aca="false">IF(A102="","",IFERROR(INDEX(Students!$F$5:$F$304,MATCH(A102,Students!$A$5:$A$304,0)),""))</f>
        <v/>
      </c>
      <c r="E102" s="52"/>
      <c r="F102" s="97"/>
      <c r="G102" s="97"/>
      <c r="H102" s="91"/>
      <c r="I102" s="98" t="str">
        <f aca="false">IF(A102="","",F102-G102)</f>
        <v/>
      </c>
      <c r="J102" s="85" t="str">
        <f aca="false">IF(A102="","",IF(I102&lt;=0,"Paid",IF(G102&gt;0,"Partial","Unpaid")))</f>
        <v/>
      </c>
      <c r="K102" s="99"/>
    </row>
    <row r="103" customFormat="false" ht="19.5" hidden="false" customHeight="true" outlineLevel="0" collapsed="false">
      <c r="A103" s="52"/>
      <c r="B103" s="89" t="str">
        <f aca="false">IF(A103="","",IFERROR(INDEX(Students!$B$5:$B$304,MATCH(A103,Students!$A$5:$A$304,0)),"ID not found"))</f>
        <v/>
      </c>
      <c r="C103" s="85" t="str">
        <f aca="false">IF(A103="","",IFERROR(INDEX(Students!$E$5:$E$304,MATCH(A103,Students!$A$5:$A$304,0)),""))</f>
        <v/>
      </c>
      <c r="D103" s="85" t="str">
        <f aca="false">IF(A103="","",IFERROR(INDEX(Students!$F$5:$F$304,MATCH(A103,Students!$A$5:$A$304,0)),""))</f>
        <v/>
      </c>
      <c r="E103" s="52"/>
      <c r="F103" s="97"/>
      <c r="G103" s="97"/>
      <c r="H103" s="91"/>
      <c r="I103" s="98" t="str">
        <f aca="false">IF(A103="","",F103-G103)</f>
        <v/>
      </c>
      <c r="J103" s="85" t="str">
        <f aca="false">IF(A103="","",IF(I103&lt;=0,"Paid",IF(G103&gt;0,"Partial","Unpaid")))</f>
        <v/>
      </c>
      <c r="K103" s="99"/>
    </row>
    <row r="104" customFormat="false" ht="19.5" hidden="false" customHeight="true" outlineLevel="0" collapsed="false">
      <c r="A104" s="52"/>
      <c r="B104" s="89" t="str">
        <f aca="false">IF(A104="","",IFERROR(INDEX(Students!$B$5:$B$304,MATCH(A104,Students!$A$5:$A$304,0)),"ID not found"))</f>
        <v/>
      </c>
      <c r="C104" s="85" t="str">
        <f aca="false">IF(A104="","",IFERROR(INDEX(Students!$E$5:$E$304,MATCH(A104,Students!$A$5:$A$304,0)),""))</f>
        <v/>
      </c>
      <c r="D104" s="85" t="str">
        <f aca="false">IF(A104="","",IFERROR(INDEX(Students!$F$5:$F$304,MATCH(A104,Students!$A$5:$A$304,0)),""))</f>
        <v/>
      </c>
      <c r="E104" s="52"/>
      <c r="F104" s="97"/>
      <c r="G104" s="97"/>
      <c r="H104" s="91"/>
      <c r="I104" s="98" t="str">
        <f aca="false">IF(A104="","",F104-G104)</f>
        <v/>
      </c>
      <c r="J104" s="85" t="str">
        <f aca="false">IF(A104="","",IF(I104&lt;=0,"Paid",IF(G104&gt;0,"Partial","Unpaid")))</f>
        <v/>
      </c>
      <c r="K104" s="99"/>
    </row>
    <row r="105" customFormat="false" ht="19.5" hidden="false" customHeight="true" outlineLevel="0" collapsed="false">
      <c r="A105" s="52"/>
      <c r="B105" s="89" t="str">
        <f aca="false">IF(A105="","",IFERROR(INDEX(Students!$B$5:$B$304,MATCH(A105,Students!$A$5:$A$304,0)),"ID not found"))</f>
        <v/>
      </c>
      <c r="C105" s="85" t="str">
        <f aca="false">IF(A105="","",IFERROR(INDEX(Students!$E$5:$E$304,MATCH(A105,Students!$A$5:$A$304,0)),""))</f>
        <v/>
      </c>
      <c r="D105" s="85" t="str">
        <f aca="false">IF(A105="","",IFERROR(INDEX(Students!$F$5:$F$304,MATCH(A105,Students!$A$5:$A$304,0)),""))</f>
        <v/>
      </c>
      <c r="E105" s="52"/>
      <c r="F105" s="97"/>
      <c r="G105" s="97"/>
      <c r="H105" s="91"/>
      <c r="I105" s="98" t="str">
        <f aca="false">IF(A105="","",F105-G105)</f>
        <v/>
      </c>
      <c r="J105" s="85" t="str">
        <f aca="false">IF(A105="","",IF(I105&lt;=0,"Paid",IF(G105&gt;0,"Partial","Unpaid")))</f>
        <v/>
      </c>
      <c r="K105" s="99"/>
    </row>
    <row r="106" customFormat="false" ht="19.5" hidden="false" customHeight="true" outlineLevel="0" collapsed="false">
      <c r="A106" s="52"/>
      <c r="B106" s="89" t="str">
        <f aca="false">IF(A106="","",IFERROR(INDEX(Students!$B$5:$B$304,MATCH(A106,Students!$A$5:$A$304,0)),"ID not found"))</f>
        <v/>
      </c>
      <c r="C106" s="85" t="str">
        <f aca="false">IF(A106="","",IFERROR(INDEX(Students!$E$5:$E$304,MATCH(A106,Students!$A$5:$A$304,0)),""))</f>
        <v/>
      </c>
      <c r="D106" s="85" t="str">
        <f aca="false">IF(A106="","",IFERROR(INDEX(Students!$F$5:$F$304,MATCH(A106,Students!$A$5:$A$304,0)),""))</f>
        <v/>
      </c>
      <c r="E106" s="52"/>
      <c r="F106" s="97"/>
      <c r="G106" s="97"/>
      <c r="H106" s="91"/>
      <c r="I106" s="98" t="str">
        <f aca="false">IF(A106="","",F106-G106)</f>
        <v/>
      </c>
      <c r="J106" s="85" t="str">
        <f aca="false">IF(A106="","",IF(I106&lt;=0,"Paid",IF(G106&gt;0,"Partial","Unpaid")))</f>
        <v/>
      </c>
      <c r="K106" s="99"/>
    </row>
    <row r="107" customFormat="false" ht="19.5" hidden="false" customHeight="true" outlineLevel="0" collapsed="false">
      <c r="A107" s="52"/>
      <c r="B107" s="89" t="str">
        <f aca="false">IF(A107="","",IFERROR(INDEX(Students!$B$5:$B$304,MATCH(A107,Students!$A$5:$A$304,0)),"ID not found"))</f>
        <v/>
      </c>
      <c r="C107" s="85" t="str">
        <f aca="false">IF(A107="","",IFERROR(INDEX(Students!$E$5:$E$304,MATCH(A107,Students!$A$5:$A$304,0)),""))</f>
        <v/>
      </c>
      <c r="D107" s="85" t="str">
        <f aca="false">IF(A107="","",IFERROR(INDEX(Students!$F$5:$F$304,MATCH(A107,Students!$A$5:$A$304,0)),""))</f>
        <v/>
      </c>
      <c r="E107" s="52"/>
      <c r="F107" s="97"/>
      <c r="G107" s="97"/>
      <c r="H107" s="91"/>
      <c r="I107" s="98" t="str">
        <f aca="false">IF(A107="","",F107-G107)</f>
        <v/>
      </c>
      <c r="J107" s="85" t="str">
        <f aca="false">IF(A107="","",IF(I107&lt;=0,"Paid",IF(G107&gt;0,"Partial","Unpaid")))</f>
        <v/>
      </c>
      <c r="K107" s="99"/>
    </row>
    <row r="108" customFormat="false" ht="19.5" hidden="false" customHeight="true" outlineLevel="0" collapsed="false">
      <c r="A108" s="52"/>
      <c r="B108" s="89" t="str">
        <f aca="false">IF(A108="","",IFERROR(INDEX(Students!$B$5:$B$304,MATCH(A108,Students!$A$5:$A$304,0)),"ID not found"))</f>
        <v/>
      </c>
      <c r="C108" s="85" t="str">
        <f aca="false">IF(A108="","",IFERROR(INDEX(Students!$E$5:$E$304,MATCH(A108,Students!$A$5:$A$304,0)),""))</f>
        <v/>
      </c>
      <c r="D108" s="85" t="str">
        <f aca="false">IF(A108="","",IFERROR(INDEX(Students!$F$5:$F$304,MATCH(A108,Students!$A$5:$A$304,0)),""))</f>
        <v/>
      </c>
      <c r="E108" s="52"/>
      <c r="F108" s="97"/>
      <c r="G108" s="97"/>
      <c r="H108" s="91"/>
      <c r="I108" s="98" t="str">
        <f aca="false">IF(A108="","",F108-G108)</f>
        <v/>
      </c>
      <c r="J108" s="85" t="str">
        <f aca="false">IF(A108="","",IF(I108&lt;=0,"Paid",IF(G108&gt;0,"Partial","Unpaid")))</f>
        <v/>
      </c>
      <c r="K108" s="99"/>
    </row>
    <row r="109" customFormat="false" ht="19.5" hidden="false" customHeight="true" outlineLevel="0" collapsed="false">
      <c r="A109" s="52"/>
      <c r="B109" s="89" t="str">
        <f aca="false">IF(A109="","",IFERROR(INDEX(Students!$B$5:$B$304,MATCH(A109,Students!$A$5:$A$304,0)),"ID not found"))</f>
        <v/>
      </c>
      <c r="C109" s="85" t="str">
        <f aca="false">IF(A109="","",IFERROR(INDEX(Students!$E$5:$E$304,MATCH(A109,Students!$A$5:$A$304,0)),""))</f>
        <v/>
      </c>
      <c r="D109" s="85" t="str">
        <f aca="false">IF(A109="","",IFERROR(INDEX(Students!$F$5:$F$304,MATCH(A109,Students!$A$5:$A$304,0)),""))</f>
        <v/>
      </c>
      <c r="E109" s="52"/>
      <c r="F109" s="97"/>
      <c r="G109" s="97"/>
      <c r="H109" s="91"/>
      <c r="I109" s="98" t="str">
        <f aca="false">IF(A109="","",F109-G109)</f>
        <v/>
      </c>
      <c r="J109" s="85" t="str">
        <f aca="false">IF(A109="","",IF(I109&lt;=0,"Paid",IF(G109&gt;0,"Partial","Unpaid")))</f>
        <v/>
      </c>
      <c r="K109" s="99"/>
    </row>
    <row r="110" customFormat="false" ht="19.5" hidden="false" customHeight="true" outlineLevel="0" collapsed="false">
      <c r="A110" s="52"/>
      <c r="B110" s="89" t="str">
        <f aca="false">IF(A110="","",IFERROR(INDEX(Students!$B$5:$B$304,MATCH(A110,Students!$A$5:$A$304,0)),"ID not found"))</f>
        <v/>
      </c>
      <c r="C110" s="85" t="str">
        <f aca="false">IF(A110="","",IFERROR(INDEX(Students!$E$5:$E$304,MATCH(A110,Students!$A$5:$A$304,0)),""))</f>
        <v/>
      </c>
      <c r="D110" s="85" t="str">
        <f aca="false">IF(A110="","",IFERROR(INDEX(Students!$F$5:$F$304,MATCH(A110,Students!$A$5:$A$304,0)),""))</f>
        <v/>
      </c>
      <c r="E110" s="52"/>
      <c r="F110" s="97"/>
      <c r="G110" s="97"/>
      <c r="H110" s="91"/>
      <c r="I110" s="98" t="str">
        <f aca="false">IF(A110="","",F110-G110)</f>
        <v/>
      </c>
      <c r="J110" s="85" t="str">
        <f aca="false">IF(A110="","",IF(I110&lt;=0,"Paid",IF(G110&gt;0,"Partial","Unpaid")))</f>
        <v/>
      </c>
      <c r="K110" s="99"/>
    </row>
    <row r="111" customFormat="false" ht="19.5" hidden="false" customHeight="true" outlineLevel="0" collapsed="false">
      <c r="A111" s="52"/>
      <c r="B111" s="89" t="str">
        <f aca="false">IF(A111="","",IFERROR(INDEX(Students!$B$5:$B$304,MATCH(A111,Students!$A$5:$A$304,0)),"ID not found"))</f>
        <v/>
      </c>
      <c r="C111" s="85" t="str">
        <f aca="false">IF(A111="","",IFERROR(INDEX(Students!$E$5:$E$304,MATCH(A111,Students!$A$5:$A$304,0)),""))</f>
        <v/>
      </c>
      <c r="D111" s="85" t="str">
        <f aca="false">IF(A111="","",IFERROR(INDEX(Students!$F$5:$F$304,MATCH(A111,Students!$A$5:$A$304,0)),""))</f>
        <v/>
      </c>
      <c r="E111" s="52"/>
      <c r="F111" s="97"/>
      <c r="G111" s="97"/>
      <c r="H111" s="91"/>
      <c r="I111" s="98" t="str">
        <f aca="false">IF(A111="","",F111-G111)</f>
        <v/>
      </c>
      <c r="J111" s="85" t="str">
        <f aca="false">IF(A111="","",IF(I111&lt;=0,"Paid",IF(G111&gt;0,"Partial","Unpaid")))</f>
        <v/>
      </c>
      <c r="K111" s="99"/>
    </row>
    <row r="112" customFormat="false" ht="19.5" hidden="false" customHeight="true" outlineLevel="0" collapsed="false">
      <c r="A112" s="52"/>
      <c r="B112" s="89" t="str">
        <f aca="false">IF(A112="","",IFERROR(INDEX(Students!$B$5:$B$304,MATCH(A112,Students!$A$5:$A$304,0)),"ID not found"))</f>
        <v/>
      </c>
      <c r="C112" s="85" t="str">
        <f aca="false">IF(A112="","",IFERROR(INDEX(Students!$E$5:$E$304,MATCH(A112,Students!$A$5:$A$304,0)),""))</f>
        <v/>
      </c>
      <c r="D112" s="85" t="str">
        <f aca="false">IF(A112="","",IFERROR(INDEX(Students!$F$5:$F$304,MATCH(A112,Students!$A$5:$A$304,0)),""))</f>
        <v/>
      </c>
      <c r="E112" s="52"/>
      <c r="F112" s="97"/>
      <c r="G112" s="97"/>
      <c r="H112" s="91"/>
      <c r="I112" s="98" t="str">
        <f aca="false">IF(A112="","",F112-G112)</f>
        <v/>
      </c>
      <c r="J112" s="85" t="str">
        <f aca="false">IF(A112="","",IF(I112&lt;=0,"Paid",IF(G112&gt;0,"Partial","Unpaid")))</f>
        <v/>
      </c>
      <c r="K112" s="99"/>
    </row>
    <row r="113" customFormat="false" ht="19.5" hidden="false" customHeight="true" outlineLevel="0" collapsed="false">
      <c r="A113" s="52"/>
      <c r="B113" s="89" t="str">
        <f aca="false">IF(A113="","",IFERROR(INDEX(Students!$B$5:$B$304,MATCH(A113,Students!$A$5:$A$304,0)),"ID not found"))</f>
        <v/>
      </c>
      <c r="C113" s="85" t="str">
        <f aca="false">IF(A113="","",IFERROR(INDEX(Students!$E$5:$E$304,MATCH(A113,Students!$A$5:$A$304,0)),""))</f>
        <v/>
      </c>
      <c r="D113" s="85" t="str">
        <f aca="false">IF(A113="","",IFERROR(INDEX(Students!$F$5:$F$304,MATCH(A113,Students!$A$5:$A$304,0)),""))</f>
        <v/>
      </c>
      <c r="E113" s="52"/>
      <c r="F113" s="97"/>
      <c r="G113" s="97"/>
      <c r="H113" s="91"/>
      <c r="I113" s="98" t="str">
        <f aca="false">IF(A113="","",F113-G113)</f>
        <v/>
      </c>
      <c r="J113" s="85" t="str">
        <f aca="false">IF(A113="","",IF(I113&lt;=0,"Paid",IF(G113&gt;0,"Partial","Unpaid")))</f>
        <v/>
      </c>
      <c r="K113" s="99"/>
    </row>
    <row r="114" customFormat="false" ht="19.5" hidden="false" customHeight="true" outlineLevel="0" collapsed="false">
      <c r="A114" s="52"/>
      <c r="B114" s="89" t="str">
        <f aca="false">IF(A114="","",IFERROR(INDEX(Students!$B$5:$B$304,MATCH(A114,Students!$A$5:$A$304,0)),"ID not found"))</f>
        <v/>
      </c>
      <c r="C114" s="85" t="str">
        <f aca="false">IF(A114="","",IFERROR(INDEX(Students!$E$5:$E$304,MATCH(A114,Students!$A$5:$A$304,0)),""))</f>
        <v/>
      </c>
      <c r="D114" s="85" t="str">
        <f aca="false">IF(A114="","",IFERROR(INDEX(Students!$F$5:$F$304,MATCH(A114,Students!$A$5:$A$304,0)),""))</f>
        <v/>
      </c>
      <c r="E114" s="52"/>
      <c r="F114" s="97"/>
      <c r="G114" s="97"/>
      <c r="H114" s="91"/>
      <c r="I114" s="98" t="str">
        <f aca="false">IF(A114="","",F114-G114)</f>
        <v/>
      </c>
      <c r="J114" s="85" t="str">
        <f aca="false">IF(A114="","",IF(I114&lt;=0,"Paid",IF(G114&gt;0,"Partial","Unpaid")))</f>
        <v/>
      </c>
      <c r="K114" s="99"/>
    </row>
    <row r="115" customFormat="false" ht="19.5" hidden="false" customHeight="true" outlineLevel="0" collapsed="false">
      <c r="A115" s="52"/>
      <c r="B115" s="89" t="str">
        <f aca="false">IF(A115="","",IFERROR(INDEX(Students!$B$5:$B$304,MATCH(A115,Students!$A$5:$A$304,0)),"ID not found"))</f>
        <v/>
      </c>
      <c r="C115" s="85" t="str">
        <f aca="false">IF(A115="","",IFERROR(INDEX(Students!$E$5:$E$304,MATCH(A115,Students!$A$5:$A$304,0)),""))</f>
        <v/>
      </c>
      <c r="D115" s="85" t="str">
        <f aca="false">IF(A115="","",IFERROR(INDEX(Students!$F$5:$F$304,MATCH(A115,Students!$A$5:$A$304,0)),""))</f>
        <v/>
      </c>
      <c r="E115" s="52"/>
      <c r="F115" s="97"/>
      <c r="G115" s="97"/>
      <c r="H115" s="91"/>
      <c r="I115" s="98" t="str">
        <f aca="false">IF(A115="","",F115-G115)</f>
        <v/>
      </c>
      <c r="J115" s="85" t="str">
        <f aca="false">IF(A115="","",IF(I115&lt;=0,"Paid",IF(G115&gt;0,"Partial","Unpaid")))</f>
        <v/>
      </c>
      <c r="K115" s="99"/>
    </row>
    <row r="116" customFormat="false" ht="19.5" hidden="false" customHeight="true" outlineLevel="0" collapsed="false">
      <c r="A116" s="52"/>
      <c r="B116" s="89" t="str">
        <f aca="false">IF(A116="","",IFERROR(INDEX(Students!$B$5:$B$304,MATCH(A116,Students!$A$5:$A$304,0)),"ID not found"))</f>
        <v/>
      </c>
      <c r="C116" s="85" t="str">
        <f aca="false">IF(A116="","",IFERROR(INDEX(Students!$E$5:$E$304,MATCH(A116,Students!$A$5:$A$304,0)),""))</f>
        <v/>
      </c>
      <c r="D116" s="85" t="str">
        <f aca="false">IF(A116="","",IFERROR(INDEX(Students!$F$5:$F$304,MATCH(A116,Students!$A$5:$A$304,0)),""))</f>
        <v/>
      </c>
      <c r="E116" s="52"/>
      <c r="F116" s="97"/>
      <c r="G116" s="97"/>
      <c r="H116" s="91"/>
      <c r="I116" s="98" t="str">
        <f aca="false">IF(A116="","",F116-G116)</f>
        <v/>
      </c>
      <c r="J116" s="85" t="str">
        <f aca="false">IF(A116="","",IF(I116&lt;=0,"Paid",IF(G116&gt;0,"Partial","Unpaid")))</f>
        <v/>
      </c>
      <c r="K116" s="99"/>
    </row>
    <row r="117" customFormat="false" ht="19.5" hidden="false" customHeight="true" outlineLevel="0" collapsed="false">
      <c r="A117" s="52"/>
      <c r="B117" s="89" t="str">
        <f aca="false">IF(A117="","",IFERROR(INDEX(Students!$B$5:$B$304,MATCH(A117,Students!$A$5:$A$304,0)),"ID not found"))</f>
        <v/>
      </c>
      <c r="C117" s="85" t="str">
        <f aca="false">IF(A117="","",IFERROR(INDEX(Students!$E$5:$E$304,MATCH(A117,Students!$A$5:$A$304,0)),""))</f>
        <v/>
      </c>
      <c r="D117" s="85" t="str">
        <f aca="false">IF(A117="","",IFERROR(INDEX(Students!$F$5:$F$304,MATCH(A117,Students!$A$5:$A$304,0)),""))</f>
        <v/>
      </c>
      <c r="E117" s="52"/>
      <c r="F117" s="97"/>
      <c r="G117" s="97"/>
      <c r="H117" s="91"/>
      <c r="I117" s="98" t="str">
        <f aca="false">IF(A117="","",F117-G117)</f>
        <v/>
      </c>
      <c r="J117" s="85" t="str">
        <f aca="false">IF(A117="","",IF(I117&lt;=0,"Paid",IF(G117&gt;0,"Partial","Unpaid")))</f>
        <v/>
      </c>
      <c r="K117" s="99"/>
    </row>
    <row r="118" customFormat="false" ht="19.5" hidden="false" customHeight="true" outlineLevel="0" collapsed="false">
      <c r="A118" s="52"/>
      <c r="B118" s="89" t="str">
        <f aca="false">IF(A118="","",IFERROR(INDEX(Students!$B$5:$B$304,MATCH(A118,Students!$A$5:$A$304,0)),"ID not found"))</f>
        <v/>
      </c>
      <c r="C118" s="85" t="str">
        <f aca="false">IF(A118="","",IFERROR(INDEX(Students!$E$5:$E$304,MATCH(A118,Students!$A$5:$A$304,0)),""))</f>
        <v/>
      </c>
      <c r="D118" s="85" t="str">
        <f aca="false">IF(A118="","",IFERROR(INDEX(Students!$F$5:$F$304,MATCH(A118,Students!$A$5:$A$304,0)),""))</f>
        <v/>
      </c>
      <c r="E118" s="52"/>
      <c r="F118" s="97"/>
      <c r="G118" s="97"/>
      <c r="H118" s="91"/>
      <c r="I118" s="98" t="str">
        <f aca="false">IF(A118="","",F118-G118)</f>
        <v/>
      </c>
      <c r="J118" s="85" t="str">
        <f aca="false">IF(A118="","",IF(I118&lt;=0,"Paid",IF(G118&gt;0,"Partial","Unpaid")))</f>
        <v/>
      </c>
      <c r="K118" s="99"/>
    </row>
    <row r="119" customFormat="false" ht="19.5" hidden="false" customHeight="true" outlineLevel="0" collapsed="false">
      <c r="A119" s="52"/>
      <c r="B119" s="89" t="str">
        <f aca="false">IF(A119="","",IFERROR(INDEX(Students!$B$5:$B$304,MATCH(A119,Students!$A$5:$A$304,0)),"ID not found"))</f>
        <v/>
      </c>
      <c r="C119" s="85" t="str">
        <f aca="false">IF(A119="","",IFERROR(INDEX(Students!$E$5:$E$304,MATCH(A119,Students!$A$5:$A$304,0)),""))</f>
        <v/>
      </c>
      <c r="D119" s="85" t="str">
        <f aca="false">IF(A119="","",IFERROR(INDEX(Students!$F$5:$F$304,MATCH(A119,Students!$A$5:$A$304,0)),""))</f>
        <v/>
      </c>
      <c r="E119" s="52"/>
      <c r="F119" s="97"/>
      <c r="G119" s="97"/>
      <c r="H119" s="91"/>
      <c r="I119" s="98" t="str">
        <f aca="false">IF(A119="","",F119-G119)</f>
        <v/>
      </c>
      <c r="J119" s="85" t="str">
        <f aca="false">IF(A119="","",IF(I119&lt;=0,"Paid",IF(G119&gt;0,"Partial","Unpaid")))</f>
        <v/>
      </c>
      <c r="K119" s="99"/>
    </row>
    <row r="120" customFormat="false" ht="19.5" hidden="false" customHeight="true" outlineLevel="0" collapsed="false">
      <c r="A120" s="52"/>
      <c r="B120" s="89" t="str">
        <f aca="false">IF(A120="","",IFERROR(INDEX(Students!$B$5:$B$304,MATCH(A120,Students!$A$5:$A$304,0)),"ID not found"))</f>
        <v/>
      </c>
      <c r="C120" s="85" t="str">
        <f aca="false">IF(A120="","",IFERROR(INDEX(Students!$E$5:$E$304,MATCH(A120,Students!$A$5:$A$304,0)),""))</f>
        <v/>
      </c>
      <c r="D120" s="85" t="str">
        <f aca="false">IF(A120="","",IFERROR(INDEX(Students!$F$5:$F$304,MATCH(A120,Students!$A$5:$A$304,0)),""))</f>
        <v/>
      </c>
      <c r="E120" s="52"/>
      <c r="F120" s="97"/>
      <c r="G120" s="97"/>
      <c r="H120" s="91"/>
      <c r="I120" s="98" t="str">
        <f aca="false">IF(A120="","",F120-G120)</f>
        <v/>
      </c>
      <c r="J120" s="85" t="str">
        <f aca="false">IF(A120="","",IF(I120&lt;=0,"Paid",IF(G120&gt;0,"Partial","Unpaid")))</f>
        <v/>
      </c>
      <c r="K120" s="99"/>
    </row>
    <row r="121" customFormat="false" ht="19.5" hidden="false" customHeight="true" outlineLevel="0" collapsed="false">
      <c r="A121" s="52"/>
      <c r="B121" s="89" t="str">
        <f aca="false">IF(A121="","",IFERROR(INDEX(Students!$B$5:$B$304,MATCH(A121,Students!$A$5:$A$304,0)),"ID not found"))</f>
        <v/>
      </c>
      <c r="C121" s="85" t="str">
        <f aca="false">IF(A121="","",IFERROR(INDEX(Students!$E$5:$E$304,MATCH(A121,Students!$A$5:$A$304,0)),""))</f>
        <v/>
      </c>
      <c r="D121" s="85" t="str">
        <f aca="false">IF(A121="","",IFERROR(INDEX(Students!$F$5:$F$304,MATCH(A121,Students!$A$5:$A$304,0)),""))</f>
        <v/>
      </c>
      <c r="E121" s="52"/>
      <c r="F121" s="97"/>
      <c r="G121" s="97"/>
      <c r="H121" s="91"/>
      <c r="I121" s="98" t="str">
        <f aca="false">IF(A121="","",F121-G121)</f>
        <v/>
      </c>
      <c r="J121" s="85" t="str">
        <f aca="false">IF(A121="","",IF(I121&lt;=0,"Paid",IF(G121&gt;0,"Partial","Unpaid")))</f>
        <v/>
      </c>
      <c r="K121" s="99"/>
    </row>
    <row r="122" customFormat="false" ht="19.5" hidden="false" customHeight="true" outlineLevel="0" collapsed="false">
      <c r="A122" s="52"/>
      <c r="B122" s="89" t="str">
        <f aca="false">IF(A122="","",IFERROR(INDEX(Students!$B$5:$B$304,MATCH(A122,Students!$A$5:$A$304,0)),"ID not found"))</f>
        <v/>
      </c>
      <c r="C122" s="85" t="str">
        <f aca="false">IF(A122="","",IFERROR(INDEX(Students!$E$5:$E$304,MATCH(A122,Students!$A$5:$A$304,0)),""))</f>
        <v/>
      </c>
      <c r="D122" s="85" t="str">
        <f aca="false">IF(A122="","",IFERROR(INDEX(Students!$F$5:$F$304,MATCH(A122,Students!$A$5:$A$304,0)),""))</f>
        <v/>
      </c>
      <c r="E122" s="52"/>
      <c r="F122" s="97"/>
      <c r="G122" s="97"/>
      <c r="H122" s="91"/>
      <c r="I122" s="98" t="str">
        <f aca="false">IF(A122="","",F122-G122)</f>
        <v/>
      </c>
      <c r="J122" s="85" t="str">
        <f aca="false">IF(A122="","",IF(I122&lt;=0,"Paid",IF(G122&gt;0,"Partial","Unpaid")))</f>
        <v/>
      </c>
      <c r="K122" s="99"/>
    </row>
    <row r="123" customFormat="false" ht="19.5" hidden="false" customHeight="true" outlineLevel="0" collapsed="false">
      <c r="A123" s="52"/>
      <c r="B123" s="89" t="str">
        <f aca="false">IF(A123="","",IFERROR(INDEX(Students!$B$5:$B$304,MATCH(A123,Students!$A$5:$A$304,0)),"ID not found"))</f>
        <v/>
      </c>
      <c r="C123" s="85" t="str">
        <f aca="false">IF(A123="","",IFERROR(INDEX(Students!$E$5:$E$304,MATCH(A123,Students!$A$5:$A$304,0)),""))</f>
        <v/>
      </c>
      <c r="D123" s="85" t="str">
        <f aca="false">IF(A123="","",IFERROR(INDEX(Students!$F$5:$F$304,MATCH(A123,Students!$A$5:$A$304,0)),""))</f>
        <v/>
      </c>
      <c r="E123" s="52"/>
      <c r="F123" s="97"/>
      <c r="G123" s="97"/>
      <c r="H123" s="91"/>
      <c r="I123" s="98" t="str">
        <f aca="false">IF(A123="","",F123-G123)</f>
        <v/>
      </c>
      <c r="J123" s="85" t="str">
        <f aca="false">IF(A123="","",IF(I123&lt;=0,"Paid",IF(G123&gt;0,"Partial","Unpaid")))</f>
        <v/>
      </c>
      <c r="K123" s="99"/>
    </row>
    <row r="124" customFormat="false" ht="19.5" hidden="false" customHeight="true" outlineLevel="0" collapsed="false">
      <c r="A124" s="52"/>
      <c r="B124" s="89" t="str">
        <f aca="false">IF(A124="","",IFERROR(INDEX(Students!$B$5:$B$304,MATCH(A124,Students!$A$5:$A$304,0)),"ID not found"))</f>
        <v/>
      </c>
      <c r="C124" s="85" t="str">
        <f aca="false">IF(A124="","",IFERROR(INDEX(Students!$E$5:$E$304,MATCH(A124,Students!$A$5:$A$304,0)),""))</f>
        <v/>
      </c>
      <c r="D124" s="85" t="str">
        <f aca="false">IF(A124="","",IFERROR(INDEX(Students!$F$5:$F$304,MATCH(A124,Students!$A$5:$A$304,0)),""))</f>
        <v/>
      </c>
      <c r="E124" s="52"/>
      <c r="F124" s="97"/>
      <c r="G124" s="97"/>
      <c r="H124" s="91"/>
      <c r="I124" s="98" t="str">
        <f aca="false">IF(A124="","",F124-G124)</f>
        <v/>
      </c>
      <c r="J124" s="85" t="str">
        <f aca="false">IF(A124="","",IF(I124&lt;=0,"Paid",IF(G124&gt;0,"Partial","Unpaid")))</f>
        <v/>
      </c>
      <c r="K124" s="99"/>
    </row>
    <row r="125" customFormat="false" ht="19.5" hidden="false" customHeight="true" outlineLevel="0" collapsed="false">
      <c r="A125" s="52"/>
      <c r="B125" s="89" t="str">
        <f aca="false">IF(A125="","",IFERROR(INDEX(Students!$B$5:$B$304,MATCH(A125,Students!$A$5:$A$304,0)),"ID not found"))</f>
        <v/>
      </c>
      <c r="C125" s="85" t="str">
        <f aca="false">IF(A125="","",IFERROR(INDEX(Students!$E$5:$E$304,MATCH(A125,Students!$A$5:$A$304,0)),""))</f>
        <v/>
      </c>
      <c r="D125" s="85" t="str">
        <f aca="false">IF(A125="","",IFERROR(INDEX(Students!$F$5:$F$304,MATCH(A125,Students!$A$5:$A$304,0)),""))</f>
        <v/>
      </c>
      <c r="E125" s="52"/>
      <c r="F125" s="97"/>
      <c r="G125" s="97"/>
      <c r="H125" s="91"/>
      <c r="I125" s="98" t="str">
        <f aca="false">IF(A125="","",F125-G125)</f>
        <v/>
      </c>
      <c r="J125" s="85" t="str">
        <f aca="false">IF(A125="","",IF(I125&lt;=0,"Paid",IF(G125&gt;0,"Partial","Unpaid")))</f>
        <v/>
      </c>
      <c r="K125" s="99"/>
    </row>
    <row r="126" customFormat="false" ht="19.5" hidden="false" customHeight="true" outlineLevel="0" collapsed="false">
      <c r="A126" s="52"/>
      <c r="B126" s="89" t="str">
        <f aca="false">IF(A126="","",IFERROR(INDEX(Students!$B$5:$B$304,MATCH(A126,Students!$A$5:$A$304,0)),"ID not found"))</f>
        <v/>
      </c>
      <c r="C126" s="85" t="str">
        <f aca="false">IF(A126="","",IFERROR(INDEX(Students!$E$5:$E$304,MATCH(A126,Students!$A$5:$A$304,0)),""))</f>
        <v/>
      </c>
      <c r="D126" s="85" t="str">
        <f aca="false">IF(A126="","",IFERROR(INDEX(Students!$F$5:$F$304,MATCH(A126,Students!$A$5:$A$304,0)),""))</f>
        <v/>
      </c>
      <c r="E126" s="52"/>
      <c r="F126" s="97"/>
      <c r="G126" s="97"/>
      <c r="H126" s="91"/>
      <c r="I126" s="98" t="str">
        <f aca="false">IF(A126="","",F126-G126)</f>
        <v/>
      </c>
      <c r="J126" s="85" t="str">
        <f aca="false">IF(A126="","",IF(I126&lt;=0,"Paid",IF(G126&gt;0,"Partial","Unpaid")))</f>
        <v/>
      </c>
      <c r="K126" s="99"/>
    </row>
    <row r="127" customFormat="false" ht="19.5" hidden="false" customHeight="true" outlineLevel="0" collapsed="false">
      <c r="A127" s="52"/>
      <c r="B127" s="89" t="str">
        <f aca="false">IF(A127="","",IFERROR(INDEX(Students!$B$5:$B$304,MATCH(A127,Students!$A$5:$A$304,0)),"ID not found"))</f>
        <v/>
      </c>
      <c r="C127" s="85" t="str">
        <f aca="false">IF(A127="","",IFERROR(INDEX(Students!$E$5:$E$304,MATCH(A127,Students!$A$5:$A$304,0)),""))</f>
        <v/>
      </c>
      <c r="D127" s="85" t="str">
        <f aca="false">IF(A127="","",IFERROR(INDEX(Students!$F$5:$F$304,MATCH(A127,Students!$A$5:$A$304,0)),""))</f>
        <v/>
      </c>
      <c r="E127" s="52"/>
      <c r="F127" s="97"/>
      <c r="G127" s="97"/>
      <c r="H127" s="91"/>
      <c r="I127" s="98" t="str">
        <f aca="false">IF(A127="","",F127-G127)</f>
        <v/>
      </c>
      <c r="J127" s="85" t="str">
        <f aca="false">IF(A127="","",IF(I127&lt;=0,"Paid",IF(G127&gt;0,"Partial","Unpaid")))</f>
        <v/>
      </c>
      <c r="K127" s="99"/>
    </row>
    <row r="128" customFormat="false" ht="19.5" hidden="false" customHeight="true" outlineLevel="0" collapsed="false">
      <c r="A128" s="52"/>
      <c r="B128" s="89" t="str">
        <f aca="false">IF(A128="","",IFERROR(INDEX(Students!$B$5:$B$304,MATCH(A128,Students!$A$5:$A$304,0)),"ID not found"))</f>
        <v/>
      </c>
      <c r="C128" s="85" t="str">
        <f aca="false">IF(A128="","",IFERROR(INDEX(Students!$E$5:$E$304,MATCH(A128,Students!$A$5:$A$304,0)),""))</f>
        <v/>
      </c>
      <c r="D128" s="85" t="str">
        <f aca="false">IF(A128="","",IFERROR(INDEX(Students!$F$5:$F$304,MATCH(A128,Students!$A$5:$A$304,0)),""))</f>
        <v/>
      </c>
      <c r="E128" s="52"/>
      <c r="F128" s="97"/>
      <c r="G128" s="97"/>
      <c r="H128" s="91"/>
      <c r="I128" s="98" t="str">
        <f aca="false">IF(A128="","",F128-G128)</f>
        <v/>
      </c>
      <c r="J128" s="85" t="str">
        <f aca="false">IF(A128="","",IF(I128&lt;=0,"Paid",IF(G128&gt;0,"Partial","Unpaid")))</f>
        <v/>
      </c>
      <c r="K128" s="99"/>
    </row>
    <row r="129" customFormat="false" ht="19.5" hidden="false" customHeight="true" outlineLevel="0" collapsed="false">
      <c r="A129" s="52"/>
      <c r="B129" s="89" t="str">
        <f aca="false">IF(A129="","",IFERROR(INDEX(Students!$B$5:$B$304,MATCH(A129,Students!$A$5:$A$304,0)),"ID not found"))</f>
        <v/>
      </c>
      <c r="C129" s="85" t="str">
        <f aca="false">IF(A129="","",IFERROR(INDEX(Students!$E$5:$E$304,MATCH(A129,Students!$A$5:$A$304,0)),""))</f>
        <v/>
      </c>
      <c r="D129" s="85" t="str">
        <f aca="false">IF(A129="","",IFERROR(INDEX(Students!$F$5:$F$304,MATCH(A129,Students!$A$5:$A$304,0)),""))</f>
        <v/>
      </c>
      <c r="E129" s="52"/>
      <c r="F129" s="97"/>
      <c r="G129" s="97"/>
      <c r="H129" s="91"/>
      <c r="I129" s="98" t="str">
        <f aca="false">IF(A129="","",F129-G129)</f>
        <v/>
      </c>
      <c r="J129" s="85" t="str">
        <f aca="false">IF(A129="","",IF(I129&lt;=0,"Paid",IF(G129&gt;0,"Partial","Unpaid")))</f>
        <v/>
      </c>
      <c r="K129" s="99"/>
    </row>
    <row r="130" customFormat="false" ht="19.5" hidden="false" customHeight="true" outlineLevel="0" collapsed="false">
      <c r="A130" s="52"/>
      <c r="B130" s="89" t="str">
        <f aca="false">IF(A130="","",IFERROR(INDEX(Students!$B$5:$B$304,MATCH(A130,Students!$A$5:$A$304,0)),"ID not found"))</f>
        <v/>
      </c>
      <c r="C130" s="85" t="str">
        <f aca="false">IF(A130="","",IFERROR(INDEX(Students!$E$5:$E$304,MATCH(A130,Students!$A$5:$A$304,0)),""))</f>
        <v/>
      </c>
      <c r="D130" s="85" t="str">
        <f aca="false">IF(A130="","",IFERROR(INDEX(Students!$F$5:$F$304,MATCH(A130,Students!$A$5:$A$304,0)),""))</f>
        <v/>
      </c>
      <c r="E130" s="52"/>
      <c r="F130" s="97"/>
      <c r="G130" s="97"/>
      <c r="H130" s="91"/>
      <c r="I130" s="98" t="str">
        <f aca="false">IF(A130="","",F130-G130)</f>
        <v/>
      </c>
      <c r="J130" s="85" t="str">
        <f aca="false">IF(A130="","",IF(I130&lt;=0,"Paid",IF(G130&gt;0,"Partial","Unpaid")))</f>
        <v/>
      </c>
      <c r="K130" s="99"/>
    </row>
    <row r="131" customFormat="false" ht="19.5" hidden="false" customHeight="true" outlineLevel="0" collapsed="false">
      <c r="A131" s="52"/>
      <c r="B131" s="89" t="str">
        <f aca="false">IF(A131="","",IFERROR(INDEX(Students!$B$5:$B$304,MATCH(A131,Students!$A$5:$A$304,0)),"ID not found"))</f>
        <v/>
      </c>
      <c r="C131" s="85" t="str">
        <f aca="false">IF(A131="","",IFERROR(INDEX(Students!$E$5:$E$304,MATCH(A131,Students!$A$5:$A$304,0)),""))</f>
        <v/>
      </c>
      <c r="D131" s="85" t="str">
        <f aca="false">IF(A131="","",IFERROR(INDEX(Students!$F$5:$F$304,MATCH(A131,Students!$A$5:$A$304,0)),""))</f>
        <v/>
      </c>
      <c r="E131" s="52"/>
      <c r="F131" s="97"/>
      <c r="G131" s="97"/>
      <c r="H131" s="91"/>
      <c r="I131" s="98" t="str">
        <f aca="false">IF(A131="","",F131-G131)</f>
        <v/>
      </c>
      <c r="J131" s="85" t="str">
        <f aca="false">IF(A131="","",IF(I131&lt;=0,"Paid",IF(G131&gt;0,"Partial","Unpaid")))</f>
        <v/>
      </c>
      <c r="K131" s="99"/>
    </row>
    <row r="132" customFormat="false" ht="19.5" hidden="false" customHeight="true" outlineLevel="0" collapsed="false">
      <c r="A132" s="52"/>
      <c r="B132" s="89" t="str">
        <f aca="false">IF(A132="","",IFERROR(INDEX(Students!$B$5:$B$304,MATCH(A132,Students!$A$5:$A$304,0)),"ID not found"))</f>
        <v/>
      </c>
      <c r="C132" s="85" t="str">
        <f aca="false">IF(A132="","",IFERROR(INDEX(Students!$E$5:$E$304,MATCH(A132,Students!$A$5:$A$304,0)),""))</f>
        <v/>
      </c>
      <c r="D132" s="85" t="str">
        <f aca="false">IF(A132="","",IFERROR(INDEX(Students!$F$5:$F$304,MATCH(A132,Students!$A$5:$A$304,0)),""))</f>
        <v/>
      </c>
      <c r="E132" s="52"/>
      <c r="F132" s="97"/>
      <c r="G132" s="97"/>
      <c r="H132" s="91"/>
      <c r="I132" s="98" t="str">
        <f aca="false">IF(A132="","",F132-G132)</f>
        <v/>
      </c>
      <c r="J132" s="85" t="str">
        <f aca="false">IF(A132="","",IF(I132&lt;=0,"Paid",IF(G132&gt;0,"Partial","Unpaid")))</f>
        <v/>
      </c>
      <c r="K132" s="99"/>
    </row>
    <row r="133" customFormat="false" ht="19.5" hidden="false" customHeight="true" outlineLevel="0" collapsed="false">
      <c r="A133" s="52"/>
      <c r="B133" s="89" t="str">
        <f aca="false">IF(A133="","",IFERROR(INDEX(Students!$B$5:$B$304,MATCH(A133,Students!$A$5:$A$304,0)),"ID not found"))</f>
        <v/>
      </c>
      <c r="C133" s="85" t="str">
        <f aca="false">IF(A133="","",IFERROR(INDEX(Students!$E$5:$E$304,MATCH(A133,Students!$A$5:$A$304,0)),""))</f>
        <v/>
      </c>
      <c r="D133" s="85" t="str">
        <f aca="false">IF(A133="","",IFERROR(INDEX(Students!$F$5:$F$304,MATCH(A133,Students!$A$5:$A$304,0)),""))</f>
        <v/>
      </c>
      <c r="E133" s="52"/>
      <c r="F133" s="97"/>
      <c r="G133" s="97"/>
      <c r="H133" s="91"/>
      <c r="I133" s="98" t="str">
        <f aca="false">IF(A133="","",F133-G133)</f>
        <v/>
      </c>
      <c r="J133" s="85" t="str">
        <f aca="false">IF(A133="","",IF(I133&lt;=0,"Paid",IF(G133&gt;0,"Partial","Unpaid")))</f>
        <v/>
      </c>
      <c r="K133" s="99"/>
    </row>
    <row r="134" customFormat="false" ht="19.5" hidden="false" customHeight="true" outlineLevel="0" collapsed="false">
      <c r="A134" s="52"/>
      <c r="B134" s="89" t="str">
        <f aca="false">IF(A134="","",IFERROR(INDEX(Students!$B$5:$B$304,MATCH(A134,Students!$A$5:$A$304,0)),"ID not found"))</f>
        <v/>
      </c>
      <c r="C134" s="85" t="str">
        <f aca="false">IF(A134="","",IFERROR(INDEX(Students!$E$5:$E$304,MATCH(A134,Students!$A$5:$A$304,0)),""))</f>
        <v/>
      </c>
      <c r="D134" s="85" t="str">
        <f aca="false">IF(A134="","",IFERROR(INDEX(Students!$F$5:$F$304,MATCH(A134,Students!$A$5:$A$304,0)),""))</f>
        <v/>
      </c>
      <c r="E134" s="52"/>
      <c r="F134" s="97"/>
      <c r="G134" s="97"/>
      <c r="H134" s="91"/>
      <c r="I134" s="98" t="str">
        <f aca="false">IF(A134="","",F134-G134)</f>
        <v/>
      </c>
      <c r="J134" s="85" t="str">
        <f aca="false">IF(A134="","",IF(I134&lt;=0,"Paid",IF(G134&gt;0,"Partial","Unpaid")))</f>
        <v/>
      </c>
      <c r="K134" s="99"/>
    </row>
    <row r="135" customFormat="false" ht="19.5" hidden="false" customHeight="true" outlineLevel="0" collapsed="false">
      <c r="A135" s="52"/>
      <c r="B135" s="89" t="str">
        <f aca="false">IF(A135="","",IFERROR(INDEX(Students!$B$5:$B$304,MATCH(A135,Students!$A$5:$A$304,0)),"ID not found"))</f>
        <v/>
      </c>
      <c r="C135" s="85" t="str">
        <f aca="false">IF(A135="","",IFERROR(INDEX(Students!$E$5:$E$304,MATCH(A135,Students!$A$5:$A$304,0)),""))</f>
        <v/>
      </c>
      <c r="D135" s="85" t="str">
        <f aca="false">IF(A135="","",IFERROR(INDEX(Students!$F$5:$F$304,MATCH(A135,Students!$A$5:$A$304,0)),""))</f>
        <v/>
      </c>
      <c r="E135" s="52"/>
      <c r="F135" s="97"/>
      <c r="G135" s="97"/>
      <c r="H135" s="91"/>
      <c r="I135" s="98" t="str">
        <f aca="false">IF(A135="","",F135-G135)</f>
        <v/>
      </c>
      <c r="J135" s="85" t="str">
        <f aca="false">IF(A135="","",IF(I135&lt;=0,"Paid",IF(G135&gt;0,"Partial","Unpaid")))</f>
        <v/>
      </c>
      <c r="K135" s="99"/>
    </row>
    <row r="136" customFormat="false" ht="19.5" hidden="false" customHeight="true" outlineLevel="0" collapsed="false">
      <c r="A136" s="52"/>
      <c r="B136" s="89" t="str">
        <f aca="false">IF(A136="","",IFERROR(INDEX(Students!$B$5:$B$304,MATCH(A136,Students!$A$5:$A$304,0)),"ID not found"))</f>
        <v/>
      </c>
      <c r="C136" s="85" t="str">
        <f aca="false">IF(A136="","",IFERROR(INDEX(Students!$E$5:$E$304,MATCH(A136,Students!$A$5:$A$304,0)),""))</f>
        <v/>
      </c>
      <c r="D136" s="85" t="str">
        <f aca="false">IF(A136="","",IFERROR(INDEX(Students!$F$5:$F$304,MATCH(A136,Students!$A$5:$A$304,0)),""))</f>
        <v/>
      </c>
      <c r="E136" s="52"/>
      <c r="F136" s="97"/>
      <c r="G136" s="97"/>
      <c r="H136" s="91"/>
      <c r="I136" s="98" t="str">
        <f aca="false">IF(A136="","",F136-G136)</f>
        <v/>
      </c>
      <c r="J136" s="85" t="str">
        <f aca="false">IF(A136="","",IF(I136&lt;=0,"Paid",IF(G136&gt;0,"Partial","Unpaid")))</f>
        <v/>
      </c>
      <c r="K136" s="99"/>
    </row>
    <row r="137" customFormat="false" ht="19.5" hidden="false" customHeight="true" outlineLevel="0" collapsed="false">
      <c r="A137" s="52"/>
      <c r="B137" s="89" t="str">
        <f aca="false">IF(A137="","",IFERROR(INDEX(Students!$B$5:$B$304,MATCH(A137,Students!$A$5:$A$304,0)),"ID not found"))</f>
        <v/>
      </c>
      <c r="C137" s="85" t="str">
        <f aca="false">IF(A137="","",IFERROR(INDEX(Students!$E$5:$E$304,MATCH(A137,Students!$A$5:$A$304,0)),""))</f>
        <v/>
      </c>
      <c r="D137" s="85" t="str">
        <f aca="false">IF(A137="","",IFERROR(INDEX(Students!$F$5:$F$304,MATCH(A137,Students!$A$5:$A$304,0)),""))</f>
        <v/>
      </c>
      <c r="E137" s="52"/>
      <c r="F137" s="97"/>
      <c r="G137" s="97"/>
      <c r="H137" s="91"/>
      <c r="I137" s="98" t="str">
        <f aca="false">IF(A137="","",F137-G137)</f>
        <v/>
      </c>
      <c r="J137" s="85" t="str">
        <f aca="false">IF(A137="","",IF(I137&lt;=0,"Paid",IF(G137&gt;0,"Partial","Unpaid")))</f>
        <v/>
      </c>
      <c r="K137" s="99"/>
    </row>
    <row r="138" customFormat="false" ht="19.5" hidden="false" customHeight="true" outlineLevel="0" collapsed="false">
      <c r="A138" s="52"/>
      <c r="B138" s="89" t="str">
        <f aca="false">IF(A138="","",IFERROR(INDEX(Students!$B$5:$B$304,MATCH(A138,Students!$A$5:$A$304,0)),"ID not found"))</f>
        <v/>
      </c>
      <c r="C138" s="85" t="str">
        <f aca="false">IF(A138="","",IFERROR(INDEX(Students!$E$5:$E$304,MATCH(A138,Students!$A$5:$A$304,0)),""))</f>
        <v/>
      </c>
      <c r="D138" s="85" t="str">
        <f aca="false">IF(A138="","",IFERROR(INDEX(Students!$F$5:$F$304,MATCH(A138,Students!$A$5:$A$304,0)),""))</f>
        <v/>
      </c>
      <c r="E138" s="52"/>
      <c r="F138" s="97"/>
      <c r="G138" s="97"/>
      <c r="H138" s="91"/>
      <c r="I138" s="98" t="str">
        <f aca="false">IF(A138="","",F138-G138)</f>
        <v/>
      </c>
      <c r="J138" s="85" t="str">
        <f aca="false">IF(A138="","",IF(I138&lt;=0,"Paid",IF(G138&gt;0,"Partial","Unpaid")))</f>
        <v/>
      </c>
      <c r="K138" s="99"/>
    </row>
    <row r="139" customFormat="false" ht="19.5" hidden="false" customHeight="true" outlineLevel="0" collapsed="false">
      <c r="A139" s="52"/>
      <c r="B139" s="89" t="str">
        <f aca="false">IF(A139="","",IFERROR(INDEX(Students!$B$5:$B$304,MATCH(A139,Students!$A$5:$A$304,0)),"ID not found"))</f>
        <v/>
      </c>
      <c r="C139" s="85" t="str">
        <f aca="false">IF(A139="","",IFERROR(INDEX(Students!$E$5:$E$304,MATCH(A139,Students!$A$5:$A$304,0)),""))</f>
        <v/>
      </c>
      <c r="D139" s="85" t="str">
        <f aca="false">IF(A139="","",IFERROR(INDEX(Students!$F$5:$F$304,MATCH(A139,Students!$A$5:$A$304,0)),""))</f>
        <v/>
      </c>
      <c r="E139" s="52"/>
      <c r="F139" s="97"/>
      <c r="G139" s="97"/>
      <c r="H139" s="91"/>
      <c r="I139" s="98" t="str">
        <f aca="false">IF(A139="","",F139-G139)</f>
        <v/>
      </c>
      <c r="J139" s="85" t="str">
        <f aca="false">IF(A139="","",IF(I139&lt;=0,"Paid",IF(G139&gt;0,"Partial","Unpaid")))</f>
        <v/>
      </c>
      <c r="K139" s="99"/>
    </row>
    <row r="140" customFormat="false" ht="19.5" hidden="false" customHeight="true" outlineLevel="0" collapsed="false">
      <c r="A140" s="52"/>
      <c r="B140" s="89" t="str">
        <f aca="false">IF(A140="","",IFERROR(INDEX(Students!$B$5:$B$304,MATCH(A140,Students!$A$5:$A$304,0)),"ID not found"))</f>
        <v/>
      </c>
      <c r="C140" s="85" t="str">
        <f aca="false">IF(A140="","",IFERROR(INDEX(Students!$E$5:$E$304,MATCH(A140,Students!$A$5:$A$304,0)),""))</f>
        <v/>
      </c>
      <c r="D140" s="85" t="str">
        <f aca="false">IF(A140="","",IFERROR(INDEX(Students!$F$5:$F$304,MATCH(A140,Students!$A$5:$A$304,0)),""))</f>
        <v/>
      </c>
      <c r="E140" s="52"/>
      <c r="F140" s="97"/>
      <c r="G140" s="97"/>
      <c r="H140" s="91"/>
      <c r="I140" s="98" t="str">
        <f aca="false">IF(A140="","",F140-G140)</f>
        <v/>
      </c>
      <c r="J140" s="85" t="str">
        <f aca="false">IF(A140="","",IF(I140&lt;=0,"Paid",IF(G140&gt;0,"Partial","Unpaid")))</f>
        <v/>
      </c>
      <c r="K140" s="99"/>
    </row>
    <row r="141" customFormat="false" ht="19.5" hidden="false" customHeight="true" outlineLevel="0" collapsed="false">
      <c r="A141" s="52"/>
      <c r="B141" s="89" t="str">
        <f aca="false">IF(A141="","",IFERROR(INDEX(Students!$B$5:$B$304,MATCH(A141,Students!$A$5:$A$304,0)),"ID not found"))</f>
        <v/>
      </c>
      <c r="C141" s="85" t="str">
        <f aca="false">IF(A141="","",IFERROR(INDEX(Students!$E$5:$E$304,MATCH(A141,Students!$A$5:$A$304,0)),""))</f>
        <v/>
      </c>
      <c r="D141" s="85" t="str">
        <f aca="false">IF(A141="","",IFERROR(INDEX(Students!$F$5:$F$304,MATCH(A141,Students!$A$5:$A$304,0)),""))</f>
        <v/>
      </c>
      <c r="E141" s="52"/>
      <c r="F141" s="97"/>
      <c r="G141" s="97"/>
      <c r="H141" s="91"/>
      <c r="I141" s="98" t="str">
        <f aca="false">IF(A141="","",F141-G141)</f>
        <v/>
      </c>
      <c r="J141" s="85" t="str">
        <f aca="false">IF(A141="","",IF(I141&lt;=0,"Paid",IF(G141&gt;0,"Partial","Unpaid")))</f>
        <v/>
      </c>
      <c r="K141" s="99"/>
    </row>
    <row r="142" customFormat="false" ht="19.5" hidden="false" customHeight="true" outlineLevel="0" collapsed="false">
      <c r="A142" s="52"/>
      <c r="B142" s="89" t="str">
        <f aca="false">IF(A142="","",IFERROR(INDEX(Students!$B$5:$B$304,MATCH(A142,Students!$A$5:$A$304,0)),"ID not found"))</f>
        <v/>
      </c>
      <c r="C142" s="85" t="str">
        <f aca="false">IF(A142="","",IFERROR(INDEX(Students!$E$5:$E$304,MATCH(A142,Students!$A$5:$A$304,0)),""))</f>
        <v/>
      </c>
      <c r="D142" s="85" t="str">
        <f aca="false">IF(A142="","",IFERROR(INDEX(Students!$F$5:$F$304,MATCH(A142,Students!$A$5:$A$304,0)),""))</f>
        <v/>
      </c>
      <c r="E142" s="52"/>
      <c r="F142" s="97"/>
      <c r="G142" s="97"/>
      <c r="H142" s="91"/>
      <c r="I142" s="98" t="str">
        <f aca="false">IF(A142="","",F142-G142)</f>
        <v/>
      </c>
      <c r="J142" s="85" t="str">
        <f aca="false">IF(A142="","",IF(I142&lt;=0,"Paid",IF(G142&gt;0,"Partial","Unpaid")))</f>
        <v/>
      </c>
      <c r="K142" s="99"/>
    </row>
    <row r="143" customFormat="false" ht="19.5" hidden="false" customHeight="true" outlineLevel="0" collapsed="false">
      <c r="A143" s="52"/>
      <c r="B143" s="89" t="str">
        <f aca="false">IF(A143="","",IFERROR(INDEX(Students!$B$5:$B$304,MATCH(A143,Students!$A$5:$A$304,0)),"ID not found"))</f>
        <v/>
      </c>
      <c r="C143" s="85" t="str">
        <f aca="false">IF(A143="","",IFERROR(INDEX(Students!$E$5:$E$304,MATCH(A143,Students!$A$5:$A$304,0)),""))</f>
        <v/>
      </c>
      <c r="D143" s="85" t="str">
        <f aca="false">IF(A143="","",IFERROR(INDEX(Students!$F$5:$F$304,MATCH(A143,Students!$A$5:$A$304,0)),""))</f>
        <v/>
      </c>
      <c r="E143" s="52"/>
      <c r="F143" s="97"/>
      <c r="G143" s="97"/>
      <c r="H143" s="91"/>
      <c r="I143" s="98" t="str">
        <f aca="false">IF(A143="","",F143-G143)</f>
        <v/>
      </c>
      <c r="J143" s="85" t="str">
        <f aca="false">IF(A143="","",IF(I143&lt;=0,"Paid",IF(G143&gt;0,"Partial","Unpaid")))</f>
        <v/>
      </c>
      <c r="K143" s="99"/>
    </row>
    <row r="144" customFormat="false" ht="19.5" hidden="false" customHeight="true" outlineLevel="0" collapsed="false">
      <c r="A144" s="52"/>
      <c r="B144" s="89" t="str">
        <f aca="false">IF(A144="","",IFERROR(INDEX(Students!$B$5:$B$304,MATCH(A144,Students!$A$5:$A$304,0)),"ID not found"))</f>
        <v/>
      </c>
      <c r="C144" s="85" t="str">
        <f aca="false">IF(A144="","",IFERROR(INDEX(Students!$E$5:$E$304,MATCH(A144,Students!$A$5:$A$304,0)),""))</f>
        <v/>
      </c>
      <c r="D144" s="85" t="str">
        <f aca="false">IF(A144="","",IFERROR(INDEX(Students!$F$5:$F$304,MATCH(A144,Students!$A$5:$A$304,0)),""))</f>
        <v/>
      </c>
      <c r="E144" s="52"/>
      <c r="F144" s="97"/>
      <c r="G144" s="97"/>
      <c r="H144" s="91"/>
      <c r="I144" s="98" t="str">
        <f aca="false">IF(A144="","",F144-G144)</f>
        <v/>
      </c>
      <c r="J144" s="85" t="str">
        <f aca="false">IF(A144="","",IF(I144&lt;=0,"Paid",IF(G144&gt;0,"Partial","Unpaid")))</f>
        <v/>
      </c>
      <c r="K144" s="99"/>
    </row>
    <row r="145" customFormat="false" ht="19.5" hidden="false" customHeight="true" outlineLevel="0" collapsed="false">
      <c r="A145" s="52"/>
      <c r="B145" s="89" t="str">
        <f aca="false">IF(A145="","",IFERROR(INDEX(Students!$B$5:$B$304,MATCH(A145,Students!$A$5:$A$304,0)),"ID not found"))</f>
        <v/>
      </c>
      <c r="C145" s="85" t="str">
        <f aca="false">IF(A145="","",IFERROR(INDEX(Students!$E$5:$E$304,MATCH(A145,Students!$A$5:$A$304,0)),""))</f>
        <v/>
      </c>
      <c r="D145" s="85" t="str">
        <f aca="false">IF(A145="","",IFERROR(INDEX(Students!$F$5:$F$304,MATCH(A145,Students!$A$5:$A$304,0)),""))</f>
        <v/>
      </c>
      <c r="E145" s="52"/>
      <c r="F145" s="97"/>
      <c r="G145" s="97"/>
      <c r="H145" s="91"/>
      <c r="I145" s="98" t="str">
        <f aca="false">IF(A145="","",F145-G145)</f>
        <v/>
      </c>
      <c r="J145" s="85" t="str">
        <f aca="false">IF(A145="","",IF(I145&lt;=0,"Paid",IF(G145&gt;0,"Partial","Unpaid")))</f>
        <v/>
      </c>
      <c r="K145" s="99"/>
    </row>
    <row r="146" customFormat="false" ht="19.5" hidden="false" customHeight="true" outlineLevel="0" collapsed="false">
      <c r="A146" s="52"/>
      <c r="B146" s="89" t="str">
        <f aca="false">IF(A146="","",IFERROR(INDEX(Students!$B$5:$B$304,MATCH(A146,Students!$A$5:$A$304,0)),"ID not found"))</f>
        <v/>
      </c>
      <c r="C146" s="85" t="str">
        <f aca="false">IF(A146="","",IFERROR(INDEX(Students!$E$5:$E$304,MATCH(A146,Students!$A$5:$A$304,0)),""))</f>
        <v/>
      </c>
      <c r="D146" s="85" t="str">
        <f aca="false">IF(A146="","",IFERROR(INDEX(Students!$F$5:$F$304,MATCH(A146,Students!$A$5:$A$304,0)),""))</f>
        <v/>
      </c>
      <c r="E146" s="52"/>
      <c r="F146" s="97"/>
      <c r="G146" s="97"/>
      <c r="H146" s="91"/>
      <c r="I146" s="98" t="str">
        <f aca="false">IF(A146="","",F146-G146)</f>
        <v/>
      </c>
      <c r="J146" s="85" t="str">
        <f aca="false">IF(A146="","",IF(I146&lt;=0,"Paid",IF(G146&gt;0,"Partial","Unpaid")))</f>
        <v/>
      </c>
      <c r="K146" s="99"/>
    </row>
    <row r="147" customFormat="false" ht="19.5" hidden="false" customHeight="true" outlineLevel="0" collapsed="false">
      <c r="A147" s="52"/>
      <c r="B147" s="89" t="str">
        <f aca="false">IF(A147="","",IFERROR(INDEX(Students!$B$5:$B$304,MATCH(A147,Students!$A$5:$A$304,0)),"ID not found"))</f>
        <v/>
      </c>
      <c r="C147" s="85" t="str">
        <f aca="false">IF(A147="","",IFERROR(INDEX(Students!$E$5:$E$304,MATCH(A147,Students!$A$5:$A$304,0)),""))</f>
        <v/>
      </c>
      <c r="D147" s="85" t="str">
        <f aca="false">IF(A147="","",IFERROR(INDEX(Students!$F$5:$F$304,MATCH(A147,Students!$A$5:$A$304,0)),""))</f>
        <v/>
      </c>
      <c r="E147" s="52"/>
      <c r="F147" s="97"/>
      <c r="G147" s="97"/>
      <c r="H147" s="91"/>
      <c r="I147" s="98" t="str">
        <f aca="false">IF(A147="","",F147-G147)</f>
        <v/>
      </c>
      <c r="J147" s="85" t="str">
        <f aca="false">IF(A147="","",IF(I147&lt;=0,"Paid",IF(G147&gt;0,"Partial","Unpaid")))</f>
        <v/>
      </c>
      <c r="K147" s="99"/>
    </row>
    <row r="148" customFormat="false" ht="19.5" hidden="false" customHeight="true" outlineLevel="0" collapsed="false">
      <c r="A148" s="52"/>
      <c r="B148" s="89" t="str">
        <f aca="false">IF(A148="","",IFERROR(INDEX(Students!$B$5:$B$304,MATCH(A148,Students!$A$5:$A$304,0)),"ID not found"))</f>
        <v/>
      </c>
      <c r="C148" s="85" t="str">
        <f aca="false">IF(A148="","",IFERROR(INDEX(Students!$E$5:$E$304,MATCH(A148,Students!$A$5:$A$304,0)),""))</f>
        <v/>
      </c>
      <c r="D148" s="85" t="str">
        <f aca="false">IF(A148="","",IFERROR(INDEX(Students!$F$5:$F$304,MATCH(A148,Students!$A$5:$A$304,0)),""))</f>
        <v/>
      </c>
      <c r="E148" s="52"/>
      <c r="F148" s="97"/>
      <c r="G148" s="97"/>
      <c r="H148" s="91"/>
      <c r="I148" s="98" t="str">
        <f aca="false">IF(A148="","",F148-G148)</f>
        <v/>
      </c>
      <c r="J148" s="85" t="str">
        <f aca="false">IF(A148="","",IF(I148&lt;=0,"Paid",IF(G148&gt;0,"Partial","Unpaid")))</f>
        <v/>
      </c>
      <c r="K148" s="99"/>
    </row>
    <row r="149" customFormat="false" ht="19.5" hidden="false" customHeight="true" outlineLevel="0" collapsed="false">
      <c r="A149" s="52"/>
      <c r="B149" s="89" t="str">
        <f aca="false">IF(A149="","",IFERROR(INDEX(Students!$B$5:$B$304,MATCH(A149,Students!$A$5:$A$304,0)),"ID not found"))</f>
        <v/>
      </c>
      <c r="C149" s="85" t="str">
        <f aca="false">IF(A149="","",IFERROR(INDEX(Students!$E$5:$E$304,MATCH(A149,Students!$A$5:$A$304,0)),""))</f>
        <v/>
      </c>
      <c r="D149" s="85" t="str">
        <f aca="false">IF(A149="","",IFERROR(INDEX(Students!$F$5:$F$304,MATCH(A149,Students!$A$5:$A$304,0)),""))</f>
        <v/>
      </c>
      <c r="E149" s="52"/>
      <c r="F149" s="97"/>
      <c r="G149" s="97"/>
      <c r="H149" s="91"/>
      <c r="I149" s="98" t="str">
        <f aca="false">IF(A149="","",F149-G149)</f>
        <v/>
      </c>
      <c r="J149" s="85" t="str">
        <f aca="false">IF(A149="","",IF(I149&lt;=0,"Paid",IF(G149&gt;0,"Partial","Unpaid")))</f>
        <v/>
      </c>
      <c r="K149" s="99"/>
    </row>
    <row r="150" customFormat="false" ht="19.5" hidden="false" customHeight="true" outlineLevel="0" collapsed="false">
      <c r="A150" s="52"/>
      <c r="B150" s="89" t="str">
        <f aca="false">IF(A150="","",IFERROR(INDEX(Students!$B$5:$B$304,MATCH(A150,Students!$A$5:$A$304,0)),"ID not found"))</f>
        <v/>
      </c>
      <c r="C150" s="85" t="str">
        <f aca="false">IF(A150="","",IFERROR(INDEX(Students!$E$5:$E$304,MATCH(A150,Students!$A$5:$A$304,0)),""))</f>
        <v/>
      </c>
      <c r="D150" s="85" t="str">
        <f aca="false">IF(A150="","",IFERROR(INDEX(Students!$F$5:$F$304,MATCH(A150,Students!$A$5:$A$304,0)),""))</f>
        <v/>
      </c>
      <c r="E150" s="52"/>
      <c r="F150" s="97"/>
      <c r="G150" s="97"/>
      <c r="H150" s="91"/>
      <c r="I150" s="98" t="str">
        <f aca="false">IF(A150="","",F150-G150)</f>
        <v/>
      </c>
      <c r="J150" s="85" t="str">
        <f aca="false">IF(A150="","",IF(I150&lt;=0,"Paid",IF(G150&gt;0,"Partial","Unpaid")))</f>
        <v/>
      </c>
      <c r="K150" s="99"/>
    </row>
    <row r="151" customFormat="false" ht="19.5" hidden="false" customHeight="true" outlineLevel="0" collapsed="false">
      <c r="A151" s="52"/>
      <c r="B151" s="89" t="str">
        <f aca="false">IF(A151="","",IFERROR(INDEX(Students!$B$5:$B$304,MATCH(A151,Students!$A$5:$A$304,0)),"ID not found"))</f>
        <v/>
      </c>
      <c r="C151" s="85" t="str">
        <f aca="false">IF(A151="","",IFERROR(INDEX(Students!$E$5:$E$304,MATCH(A151,Students!$A$5:$A$304,0)),""))</f>
        <v/>
      </c>
      <c r="D151" s="85" t="str">
        <f aca="false">IF(A151="","",IFERROR(INDEX(Students!$F$5:$F$304,MATCH(A151,Students!$A$5:$A$304,0)),""))</f>
        <v/>
      </c>
      <c r="E151" s="52"/>
      <c r="F151" s="97"/>
      <c r="G151" s="97"/>
      <c r="H151" s="91"/>
      <c r="I151" s="98" t="str">
        <f aca="false">IF(A151="","",F151-G151)</f>
        <v/>
      </c>
      <c r="J151" s="85" t="str">
        <f aca="false">IF(A151="","",IF(I151&lt;=0,"Paid",IF(G151&gt;0,"Partial","Unpaid")))</f>
        <v/>
      </c>
      <c r="K151" s="99"/>
    </row>
    <row r="152" customFormat="false" ht="19.5" hidden="false" customHeight="true" outlineLevel="0" collapsed="false">
      <c r="A152" s="52"/>
      <c r="B152" s="89" t="str">
        <f aca="false">IF(A152="","",IFERROR(INDEX(Students!$B$5:$B$304,MATCH(A152,Students!$A$5:$A$304,0)),"ID not found"))</f>
        <v/>
      </c>
      <c r="C152" s="85" t="str">
        <f aca="false">IF(A152="","",IFERROR(INDEX(Students!$E$5:$E$304,MATCH(A152,Students!$A$5:$A$304,0)),""))</f>
        <v/>
      </c>
      <c r="D152" s="85" t="str">
        <f aca="false">IF(A152="","",IFERROR(INDEX(Students!$F$5:$F$304,MATCH(A152,Students!$A$5:$A$304,0)),""))</f>
        <v/>
      </c>
      <c r="E152" s="52"/>
      <c r="F152" s="97"/>
      <c r="G152" s="97"/>
      <c r="H152" s="91"/>
      <c r="I152" s="98" t="str">
        <f aca="false">IF(A152="","",F152-G152)</f>
        <v/>
      </c>
      <c r="J152" s="85" t="str">
        <f aca="false">IF(A152="","",IF(I152&lt;=0,"Paid",IF(G152&gt;0,"Partial","Unpaid")))</f>
        <v/>
      </c>
      <c r="K152" s="99"/>
    </row>
    <row r="153" customFormat="false" ht="19.5" hidden="false" customHeight="true" outlineLevel="0" collapsed="false">
      <c r="A153" s="52"/>
      <c r="B153" s="89" t="str">
        <f aca="false">IF(A153="","",IFERROR(INDEX(Students!$B$5:$B$304,MATCH(A153,Students!$A$5:$A$304,0)),"ID not found"))</f>
        <v/>
      </c>
      <c r="C153" s="85" t="str">
        <f aca="false">IF(A153="","",IFERROR(INDEX(Students!$E$5:$E$304,MATCH(A153,Students!$A$5:$A$304,0)),""))</f>
        <v/>
      </c>
      <c r="D153" s="85" t="str">
        <f aca="false">IF(A153="","",IFERROR(INDEX(Students!$F$5:$F$304,MATCH(A153,Students!$A$5:$A$304,0)),""))</f>
        <v/>
      </c>
      <c r="E153" s="52"/>
      <c r="F153" s="97"/>
      <c r="G153" s="97"/>
      <c r="H153" s="91"/>
      <c r="I153" s="98" t="str">
        <f aca="false">IF(A153="","",F153-G153)</f>
        <v/>
      </c>
      <c r="J153" s="85" t="str">
        <f aca="false">IF(A153="","",IF(I153&lt;=0,"Paid",IF(G153&gt;0,"Partial","Unpaid")))</f>
        <v/>
      </c>
      <c r="K153" s="99"/>
    </row>
    <row r="154" customFormat="false" ht="19.5" hidden="false" customHeight="true" outlineLevel="0" collapsed="false">
      <c r="A154" s="52"/>
      <c r="B154" s="89" t="str">
        <f aca="false">IF(A154="","",IFERROR(INDEX(Students!$B$5:$B$304,MATCH(A154,Students!$A$5:$A$304,0)),"ID not found"))</f>
        <v/>
      </c>
      <c r="C154" s="85" t="str">
        <f aca="false">IF(A154="","",IFERROR(INDEX(Students!$E$5:$E$304,MATCH(A154,Students!$A$5:$A$304,0)),""))</f>
        <v/>
      </c>
      <c r="D154" s="85" t="str">
        <f aca="false">IF(A154="","",IFERROR(INDEX(Students!$F$5:$F$304,MATCH(A154,Students!$A$5:$A$304,0)),""))</f>
        <v/>
      </c>
      <c r="E154" s="52"/>
      <c r="F154" s="97"/>
      <c r="G154" s="97"/>
      <c r="H154" s="91"/>
      <c r="I154" s="98" t="str">
        <f aca="false">IF(A154="","",F154-G154)</f>
        <v/>
      </c>
      <c r="J154" s="85" t="str">
        <f aca="false">IF(A154="","",IF(I154&lt;=0,"Paid",IF(G154&gt;0,"Partial","Unpaid")))</f>
        <v/>
      </c>
      <c r="K154" s="99"/>
    </row>
    <row r="155" customFormat="false" ht="19.5" hidden="false" customHeight="true" outlineLevel="0" collapsed="false">
      <c r="A155" s="52"/>
      <c r="B155" s="89" t="str">
        <f aca="false">IF(A155="","",IFERROR(INDEX(Students!$B$5:$B$304,MATCH(A155,Students!$A$5:$A$304,0)),"ID not found"))</f>
        <v/>
      </c>
      <c r="C155" s="85" t="str">
        <f aca="false">IF(A155="","",IFERROR(INDEX(Students!$E$5:$E$304,MATCH(A155,Students!$A$5:$A$304,0)),""))</f>
        <v/>
      </c>
      <c r="D155" s="85" t="str">
        <f aca="false">IF(A155="","",IFERROR(INDEX(Students!$F$5:$F$304,MATCH(A155,Students!$A$5:$A$304,0)),""))</f>
        <v/>
      </c>
      <c r="E155" s="52"/>
      <c r="F155" s="97"/>
      <c r="G155" s="97"/>
      <c r="H155" s="91"/>
      <c r="I155" s="98" t="str">
        <f aca="false">IF(A155="","",F155-G155)</f>
        <v/>
      </c>
      <c r="J155" s="85" t="str">
        <f aca="false">IF(A155="","",IF(I155&lt;=0,"Paid",IF(G155&gt;0,"Partial","Unpaid")))</f>
        <v/>
      </c>
      <c r="K155" s="99"/>
    </row>
    <row r="156" customFormat="false" ht="19.5" hidden="false" customHeight="true" outlineLevel="0" collapsed="false">
      <c r="A156" s="52"/>
      <c r="B156" s="89" t="str">
        <f aca="false">IF(A156="","",IFERROR(INDEX(Students!$B$5:$B$304,MATCH(A156,Students!$A$5:$A$304,0)),"ID not found"))</f>
        <v/>
      </c>
      <c r="C156" s="85" t="str">
        <f aca="false">IF(A156="","",IFERROR(INDEX(Students!$E$5:$E$304,MATCH(A156,Students!$A$5:$A$304,0)),""))</f>
        <v/>
      </c>
      <c r="D156" s="85" t="str">
        <f aca="false">IF(A156="","",IFERROR(INDEX(Students!$F$5:$F$304,MATCH(A156,Students!$A$5:$A$304,0)),""))</f>
        <v/>
      </c>
      <c r="E156" s="52"/>
      <c r="F156" s="97"/>
      <c r="G156" s="97"/>
      <c r="H156" s="91"/>
      <c r="I156" s="98" t="str">
        <f aca="false">IF(A156="","",F156-G156)</f>
        <v/>
      </c>
      <c r="J156" s="85" t="str">
        <f aca="false">IF(A156="","",IF(I156&lt;=0,"Paid",IF(G156&gt;0,"Partial","Unpaid")))</f>
        <v/>
      </c>
      <c r="K156" s="99"/>
    </row>
    <row r="157" customFormat="false" ht="19.5" hidden="false" customHeight="true" outlineLevel="0" collapsed="false">
      <c r="A157" s="52"/>
      <c r="B157" s="89" t="str">
        <f aca="false">IF(A157="","",IFERROR(INDEX(Students!$B$5:$B$304,MATCH(A157,Students!$A$5:$A$304,0)),"ID not found"))</f>
        <v/>
      </c>
      <c r="C157" s="85" t="str">
        <f aca="false">IF(A157="","",IFERROR(INDEX(Students!$E$5:$E$304,MATCH(A157,Students!$A$5:$A$304,0)),""))</f>
        <v/>
      </c>
      <c r="D157" s="85" t="str">
        <f aca="false">IF(A157="","",IFERROR(INDEX(Students!$F$5:$F$304,MATCH(A157,Students!$A$5:$A$304,0)),""))</f>
        <v/>
      </c>
      <c r="E157" s="52"/>
      <c r="F157" s="97"/>
      <c r="G157" s="97"/>
      <c r="H157" s="91"/>
      <c r="I157" s="98" t="str">
        <f aca="false">IF(A157="","",F157-G157)</f>
        <v/>
      </c>
      <c r="J157" s="85" t="str">
        <f aca="false">IF(A157="","",IF(I157&lt;=0,"Paid",IF(G157&gt;0,"Partial","Unpaid")))</f>
        <v/>
      </c>
      <c r="K157" s="99"/>
    </row>
    <row r="158" customFormat="false" ht="19.5" hidden="false" customHeight="true" outlineLevel="0" collapsed="false">
      <c r="A158" s="52"/>
      <c r="B158" s="89" t="str">
        <f aca="false">IF(A158="","",IFERROR(INDEX(Students!$B$5:$B$304,MATCH(A158,Students!$A$5:$A$304,0)),"ID not found"))</f>
        <v/>
      </c>
      <c r="C158" s="85" t="str">
        <f aca="false">IF(A158="","",IFERROR(INDEX(Students!$E$5:$E$304,MATCH(A158,Students!$A$5:$A$304,0)),""))</f>
        <v/>
      </c>
      <c r="D158" s="85" t="str">
        <f aca="false">IF(A158="","",IFERROR(INDEX(Students!$F$5:$F$304,MATCH(A158,Students!$A$5:$A$304,0)),""))</f>
        <v/>
      </c>
      <c r="E158" s="52"/>
      <c r="F158" s="97"/>
      <c r="G158" s="97"/>
      <c r="H158" s="91"/>
      <c r="I158" s="98" t="str">
        <f aca="false">IF(A158="","",F158-G158)</f>
        <v/>
      </c>
      <c r="J158" s="85" t="str">
        <f aca="false">IF(A158="","",IF(I158&lt;=0,"Paid",IF(G158&gt;0,"Partial","Unpaid")))</f>
        <v/>
      </c>
      <c r="K158" s="99"/>
    </row>
    <row r="159" customFormat="false" ht="19.5" hidden="false" customHeight="true" outlineLevel="0" collapsed="false">
      <c r="A159" s="52"/>
      <c r="B159" s="89" t="str">
        <f aca="false">IF(A159="","",IFERROR(INDEX(Students!$B$5:$B$304,MATCH(A159,Students!$A$5:$A$304,0)),"ID not found"))</f>
        <v/>
      </c>
      <c r="C159" s="85" t="str">
        <f aca="false">IF(A159="","",IFERROR(INDEX(Students!$E$5:$E$304,MATCH(A159,Students!$A$5:$A$304,0)),""))</f>
        <v/>
      </c>
      <c r="D159" s="85" t="str">
        <f aca="false">IF(A159="","",IFERROR(INDEX(Students!$F$5:$F$304,MATCH(A159,Students!$A$5:$A$304,0)),""))</f>
        <v/>
      </c>
      <c r="E159" s="52"/>
      <c r="F159" s="97"/>
      <c r="G159" s="97"/>
      <c r="H159" s="91"/>
      <c r="I159" s="98" t="str">
        <f aca="false">IF(A159="","",F159-G159)</f>
        <v/>
      </c>
      <c r="J159" s="85" t="str">
        <f aca="false">IF(A159="","",IF(I159&lt;=0,"Paid",IF(G159&gt;0,"Partial","Unpaid")))</f>
        <v/>
      </c>
      <c r="K159" s="99"/>
    </row>
    <row r="160" customFormat="false" ht="19.5" hidden="false" customHeight="true" outlineLevel="0" collapsed="false">
      <c r="A160" s="52"/>
      <c r="B160" s="89" t="str">
        <f aca="false">IF(A160="","",IFERROR(INDEX(Students!$B$5:$B$304,MATCH(A160,Students!$A$5:$A$304,0)),"ID not found"))</f>
        <v/>
      </c>
      <c r="C160" s="85" t="str">
        <f aca="false">IF(A160="","",IFERROR(INDEX(Students!$E$5:$E$304,MATCH(A160,Students!$A$5:$A$304,0)),""))</f>
        <v/>
      </c>
      <c r="D160" s="85" t="str">
        <f aca="false">IF(A160="","",IFERROR(INDEX(Students!$F$5:$F$304,MATCH(A160,Students!$A$5:$A$304,0)),""))</f>
        <v/>
      </c>
      <c r="E160" s="52"/>
      <c r="F160" s="97"/>
      <c r="G160" s="97"/>
      <c r="H160" s="91"/>
      <c r="I160" s="98" t="str">
        <f aca="false">IF(A160="","",F160-G160)</f>
        <v/>
      </c>
      <c r="J160" s="85" t="str">
        <f aca="false">IF(A160="","",IF(I160&lt;=0,"Paid",IF(G160&gt;0,"Partial","Unpaid")))</f>
        <v/>
      </c>
      <c r="K160" s="99"/>
    </row>
    <row r="161" customFormat="false" ht="19.5" hidden="false" customHeight="true" outlineLevel="0" collapsed="false">
      <c r="A161" s="52"/>
      <c r="B161" s="89" t="str">
        <f aca="false">IF(A161="","",IFERROR(INDEX(Students!$B$5:$B$304,MATCH(A161,Students!$A$5:$A$304,0)),"ID not found"))</f>
        <v/>
      </c>
      <c r="C161" s="85" t="str">
        <f aca="false">IF(A161="","",IFERROR(INDEX(Students!$E$5:$E$304,MATCH(A161,Students!$A$5:$A$304,0)),""))</f>
        <v/>
      </c>
      <c r="D161" s="85" t="str">
        <f aca="false">IF(A161="","",IFERROR(INDEX(Students!$F$5:$F$304,MATCH(A161,Students!$A$5:$A$304,0)),""))</f>
        <v/>
      </c>
      <c r="E161" s="52"/>
      <c r="F161" s="97"/>
      <c r="G161" s="97"/>
      <c r="H161" s="91"/>
      <c r="I161" s="98" t="str">
        <f aca="false">IF(A161="","",F161-G161)</f>
        <v/>
      </c>
      <c r="J161" s="85" t="str">
        <f aca="false">IF(A161="","",IF(I161&lt;=0,"Paid",IF(G161&gt;0,"Partial","Unpaid")))</f>
        <v/>
      </c>
      <c r="K161" s="99"/>
    </row>
    <row r="162" customFormat="false" ht="19.5" hidden="false" customHeight="true" outlineLevel="0" collapsed="false">
      <c r="A162" s="52"/>
      <c r="B162" s="89" t="str">
        <f aca="false">IF(A162="","",IFERROR(INDEX(Students!$B$5:$B$304,MATCH(A162,Students!$A$5:$A$304,0)),"ID not found"))</f>
        <v/>
      </c>
      <c r="C162" s="85" t="str">
        <f aca="false">IF(A162="","",IFERROR(INDEX(Students!$E$5:$E$304,MATCH(A162,Students!$A$5:$A$304,0)),""))</f>
        <v/>
      </c>
      <c r="D162" s="85" t="str">
        <f aca="false">IF(A162="","",IFERROR(INDEX(Students!$F$5:$F$304,MATCH(A162,Students!$A$5:$A$304,0)),""))</f>
        <v/>
      </c>
      <c r="E162" s="52"/>
      <c r="F162" s="97"/>
      <c r="G162" s="97"/>
      <c r="H162" s="91"/>
      <c r="I162" s="98" t="str">
        <f aca="false">IF(A162="","",F162-G162)</f>
        <v/>
      </c>
      <c r="J162" s="85" t="str">
        <f aca="false">IF(A162="","",IF(I162&lt;=0,"Paid",IF(G162&gt;0,"Partial","Unpaid")))</f>
        <v/>
      </c>
      <c r="K162" s="99"/>
    </row>
    <row r="163" customFormat="false" ht="19.5" hidden="false" customHeight="true" outlineLevel="0" collapsed="false">
      <c r="A163" s="52"/>
      <c r="B163" s="89" t="str">
        <f aca="false">IF(A163="","",IFERROR(INDEX(Students!$B$5:$B$304,MATCH(A163,Students!$A$5:$A$304,0)),"ID not found"))</f>
        <v/>
      </c>
      <c r="C163" s="85" t="str">
        <f aca="false">IF(A163="","",IFERROR(INDEX(Students!$E$5:$E$304,MATCH(A163,Students!$A$5:$A$304,0)),""))</f>
        <v/>
      </c>
      <c r="D163" s="85" t="str">
        <f aca="false">IF(A163="","",IFERROR(INDEX(Students!$F$5:$F$304,MATCH(A163,Students!$A$5:$A$304,0)),""))</f>
        <v/>
      </c>
      <c r="E163" s="52"/>
      <c r="F163" s="97"/>
      <c r="G163" s="97"/>
      <c r="H163" s="91"/>
      <c r="I163" s="98" t="str">
        <f aca="false">IF(A163="","",F163-G163)</f>
        <v/>
      </c>
      <c r="J163" s="85" t="str">
        <f aca="false">IF(A163="","",IF(I163&lt;=0,"Paid",IF(G163&gt;0,"Partial","Unpaid")))</f>
        <v/>
      </c>
      <c r="K163" s="99"/>
    </row>
    <row r="164" customFormat="false" ht="19.5" hidden="false" customHeight="true" outlineLevel="0" collapsed="false">
      <c r="A164" s="52"/>
      <c r="B164" s="89" t="str">
        <f aca="false">IF(A164="","",IFERROR(INDEX(Students!$B$5:$B$304,MATCH(A164,Students!$A$5:$A$304,0)),"ID not found"))</f>
        <v/>
      </c>
      <c r="C164" s="85" t="str">
        <f aca="false">IF(A164="","",IFERROR(INDEX(Students!$E$5:$E$304,MATCH(A164,Students!$A$5:$A$304,0)),""))</f>
        <v/>
      </c>
      <c r="D164" s="85" t="str">
        <f aca="false">IF(A164="","",IFERROR(INDEX(Students!$F$5:$F$304,MATCH(A164,Students!$A$5:$A$304,0)),""))</f>
        <v/>
      </c>
      <c r="E164" s="52"/>
      <c r="F164" s="97"/>
      <c r="G164" s="97"/>
      <c r="H164" s="91"/>
      <c r="I164" s="98" t="str">
        <f aca="false">IF(A164="","",F164-G164)</f>
        <v/>
      </c>
      <c r="J164" s="85" t="str">
        <f aca="false">IF(A164="","",IF(I164&lt;=0,"Paid",IF(G164&gt;0,"Partial","Unpaid")))</f>
        <v/>
      </c>
      <c r="K164" s="99"/>
    </row>
    <row r="165" customFormat="false" ht="19.5" hidden="false" customHeight="true" outlineLevel="0" collapsed="false">
      <c r="A165" s="52"/>
      <c r="B165" s="89" t="str">
        <f aca="false">IF(A165="","",IFERROR(INDEX(Students!$B$5:$B$304,MATCH(A165,Students!$A$5:$A$304,0)),"ID not found"))</f>
        <v/>
      </c>
      <c r="C165" s="85" t="str">
        <f aca="false">IF(A165="","",IFERROR(INDEX(Students!$E$5:$E$304,MATCH(A165,Students!$A$5:$A$304,0)),""))</f>
        <v/>
      </c>
      <c r="D165" s="85" t="str">
        <f aca="false">IF(A165="","",IFERROR(INDEX(Students!$F$5:$F$304,MATCH(A165,Students!$A$5:$A$304,0)),""))</f>
        <v/>
      </c>
      <c r="E165" s="52"/>
      <c r="F165" s="97"/>
      <c r="G165" s="97"/>
      <c r="H165" s="91"/>
      <c r="I165" s="98" t="str">
        <f aca="false">IF(A165="","",F165-G165)</f>
        <v/>
      </c>
      <c r="J165" s="85" t="str">
        <f aca="false">IF(A165="","",IF(I165&lt;=0,"Paid",IF(G165&gt;0,"Partial","Unpaid")))</f>
        <v/>
      </c>
      <c r="K165" s="99"/>
    </row>
    <row r="166" customFormat="false" ht="19.5" hidden="false" customHeight="true" outlineLevel="0" collapsed="false">
      <c r="A166" s="52"/>
      <c r="B166" s="89" t="str">
        <f aca="false">IF(A166="","",IFERROR(INDEX(Students!$B$5:$B$304,MATCH(A166,Students!$A$5:$A$304,0)),"ID not found"))</f>
        <v/>
      </c>
      <c r="C166" s="85" t="str">
        <f aca="false">IF(A166="","",IFERROR(INDEX(Students!$E$5:$E$304,MATCH(A166,Students!$A$5:$A$304,0)),""))</f>
        <v/>
      </c>
      <c r="D166" s="85" t="str">
        <f aca="false">IF(A166="","",IFERROR(INDEX(Students!$F$5:$F$304,MATCH(A166,Students!$A$5:$A$304,0)),""))</f>
        <v/>
      </c>
      <c r="E166" s="52"/>
      <c r="F166" s="97"/>
      <c r="G166" s="97"/>
      <c r="H166" s="91"/>
      <c r="I166" s="98" t="str">
        <f aca="false">IF(A166="","",F166-G166)</f>
        <v/>
      </c>
      <c r="J166" s="85" t="str">
        <f aca="false">IF(A166="","",IF(I166&lt;=0,"Paid",IF(G166&gt;0,"Partial","Unpaid")))</f>
        <v/>
      </c>
      <c r="K166" s="99"/>
    </row>
    <row r="167" customFormat="false" ht="19.5" hidden="false" customHeight="true" outlineLevel="0" collapsed="false">
      <c r="A167" s="52"/>
      <c r="B167" s="89" t="str">
        <f aca="false">IF(A167="","",IFERROR(INDEX(Students!$B$5:$B$304,MATCH(A167,Students!$A$5:$A$304,0)),"ID not found"))</f>
        <v/>
      </c>
      <c r="C167" s="85" t="str">
        <f aca="false">IF(A167="","",IFERROR(INDEX(Students!$E$5:$E$304,MATCH(A167,Students!$A$5:$A$304,0)),""))</f>
        <v/>
      </c>
      <c r="D167" s="85" t="str">
        <f aca="false">IF(A167="","",IFERROR(INDEX(Students!$F$5:$F$304,MATCH(A167,Students!$A$5:$A$304,0)),""))</f>
        <v/>
      </c>
      <c r="E167" s="52"/>
      <c r="F167" s="97"/>
      <c r="G167" s="97"/>
      <c r="H167" s="91"/>
      <c r="I167" s="98" t="str">
        <f aca="false">IF(A167="","",F167-G167)</f>
        <v/>
      </c>
      <c r="J167" s="85" t="str">
        <f aca="false">IF(A167="","",IF(I167&lt;=0,"Paid",IF(G167&gt;0,"Partial","Unpaid")))</f>
        <v/>
      </c>
      <c r="K167" s="99"/>
    </row>
    <row r="168" customFormat="false" ht="19.5" hidden="false" customHeight="true" outlineLevel="0" collapsed="false">
      <c r="A168" s="52"/>
      <c r="B168" s="89" t="str">
        <f aca="false">IF(A168="","",IFERROR(INDEX(Students!$B$5:$B$304,MATCH(A168,Students!$A$5:$A$304,0)),"ID not found"))</f>
        <v/>
      </c>
      <c r="C168" s="85" t="str">
        <f aca="false">IF(A168="","",IFERROR(INDEX(Students!$E$5:$E$304,MATCH(A168,Students!$A$5:$A$304,0)),""))</f>
        <v/>
      </c>
      <c r="D168" s="85" t="str">
        <f aca="false">IF(A168="","",IFERROR(INDEX(Students!$F$5:$F$304,MATCH(A168,Students!$A$5:$A$304,0)),""))</f>
        <v/>
      </c>
      <c r="E168" s="52"/>
      <c r="F168" s="97"/>
      <c r="G168" s="97"/>
      <c r="H168" s="91"/>
      <c r="I168" s="98" t="str">
        <f aca="false">IF(A168="","",F168-G168)</f>
        <v/>
      </c>
      <c r="J168" s="85" t="str">
        <f aca="false">IF(A168="","",IF(I168&lt;=0,"Paid",IF(G168&gt;0,"Partial","Unpaid")))</f>
        <v/>
      </c>
      <c r="K168" s="99"/>
    </row>
    <row r="169" customFormat="false" ht="19.5" hidden="false" customHeight="true" outlineLevel="0" collapsed="false">
      <c r="A169" s="52"/>
      <c r="B169" s="89" t="str">
        <f aca="false">IF(A169="","",IFERROR(INDEX(Students!$B$5:$B$304,MATCH(A169,Students!$A$5:$A$304,0)),"ID not found"))</f>
        <v/>
      </c>
      <c r="C169" s="85" t="str">
        <f aca="false">IF(A169="","",IFERROR(INDEX(Students!$E$5:$E$304,MATCH(A169,Students!$A$5:$A$304,0)),""))</f>
        <v/>
      </c>
      <c r="D169" s="85" t="str">
        <f aca="false">IF(A169="","",IFERROR(INDEX(Students!$F$5:$F$304,MATCH(A169,Students!$A$5:$A$304,0)),""))</f>
        <v/>
      </c>
      <c r="E169" s="52"/>
      <c r="F169" s="97"/>
      <c r="G169" s="97"/>
      <c r="H169" s="91"/>
      <c r="I169" s="98" t="str">
        <f aca="false">IF(A169="","",F169-G169)</f>
        <v/>
      </c>
      <c r="J169" s="85" t="str">
        <f aca="false">IF(A169="","",IF(I169&lt;=0,"Paid",IF(G169&gt;0,"Partial","Unpaid")))</f>
        <v/>
      </c>
      <c r="K169" s="99"/>
    </row>
    <row r="170" customFormat="false" ht="19.5" hidden="false" customHeight="true" outlineLevel="0" collapsed="false">
      <c r="A170" s="52"/>
      <c r="B170" s="89" t="str">
        <f aca="false">IF(A170="","",IFERROR(INDEX(Students!$B$5:$B$304,MATCH(A170,Students!$A$5:$A$304,0)),"ID not found"))</f>
        <v/>
      </c>
      <c r="C170" s="85" t="str">
        <f aca="false">IF(A170="","",IFERROR(INDEX(Students!$E$5:$E$304,MATCH(A170,Students!$A$5:$A$304,0)),""))</f>
        <v/>
      </c>
      <c r="D170" s="85" t="str">
        <f aca="false">IF(A170="","",IFERROR(INDEX(Students!$F$5:$F$304,MATCH(A170,Students!$A$5:$A$304,0)),""))</f>
        <v/>
      </c>
      <c r="E170" s="52"/>
      <c r="F170" s="97"/>
      <c r="G170" s="97"/>
      <c r="H170" s="91"/>
      <c r="I170" s="98" t="str">
        <f aca="false">IF(A170="","",F170-G170)</f>
        <v/>
      </c>
      <c r="J170" s="85" t="str">
        <f aca="false">IF(A170="","",IF(I170&lt;=0,"Paid",IF(G170&gt;0,"Partial","Unpaid")))</f>
        <v/>
      </c>
      <c r="K170" s="99"/>
    </row>
    <row r="171" customFormat="false" ht="19.5" hidden="false" customHeight="true" outlineLevel="0" collapsed="false">
      <c r="A171" s="52"/>
      <c r="B171" s="89" t="str">
        <f aca="false">IF(A171="","",IFERROR(INDEX(Students!$B$5:$B$304,MATCH(A171,Students!$A$5:$A$304,0)),"ID not found"))</f>
        <v/>
      </c>
      <c r="C171" s="85" t="str">
        <f aca="false">IF(A171="","",IFERROR(INDEX(Students!$E$5:$E$304,MATCH(A171,Students!$A$5:$A$304,0)),""))</f>
        <v/>
      </c>
      <c r="D171" s="85" t="str">
        <f aca="false">IF(A171="","",IFERROR(INDEX(Students!$F$5:$F$304,MATCH(A171,Students!$A$5:$A$304,0)),""))</f>
        <v/>
      </c>
      <c r="E171" s="52"/>
      <c r="F171" s="97"/>
      <c r="G171" s="97"/>
      <c r="H171" s="91"/>
      <c r="I171" s="98" t="str">
        <f aca="false">IF(A171="","",F171-G171)</f>
        <v/>
      </c>
      <c r="J171" s="85" t="str">
        <f aca="false">IF(A171="","",IF(I171&lt;=0,"Paid",IF(G171&gt;0,"Partial","Unpaid")))</f>
        <v/>
      </c>
      <c r="K171" s="99"/>
    </row>
    <row r="172" customFormat="false" ht="19.5" hidden="false" customHeight="true" outlineLevel="0" collapsed="false">
      <c r="A172" s="52"/>
      <c r="B172" s="89" t="str">
        <f aca="false">IF(A172="","",IFERROR(INDEX(Students!$B$5:$B$304,MATCH(A172,Students!$A$5:$A$304,0)),"ID not found"))</f>
        <v/>
      </c>
      <c r="C172" s="85" t="str">
        <f aca="false">IF(A172="","",IFERROR(INDEX(Students!$E$5:$E$304,MATCH(A172,Students!$A$5:$A$304,0)),""))</f>
        <v/>
      </c>
      <c r="D172" s="85" t="str">
        <f aca="false">IF(A172="","",IFERROR(INDEX(Students!$F$5:$F$304,MATCH(A172,Students!$A$5:$A$304,0)),""))</f>
        <v/>
      </c>
      <c r="E172" s="52"/>
      <c r="F172" s="97"/>
      <c r="G172" s="97"/>
      <c r="H172" s="91"/>
      <c r="I172" s="98" t="str">
        <f aca="false">IF(A172="","",F172-G172)</f>
        <v/>
      </c>
      <c r="J172" s="85" t="str">
        <f aca="false">IF(A172="","",IF(I172&lt;=0,"Paid",IF(G172&gt;0,"Partial","Unpaid")))</f>
        <v/>
      </c>
      <c r="K172" s="99"/>
    </row>
    <row r="173" customFormat="false" ht="19.5" hidden="false" customHeight="true" outlineLevel="0" collapsed="false">
      <c r="A173" s="52"/>
      <c r="B173" s="89" t="str">
        <f aca="false">IF(A173="","",IFERROR(INDEX(Students!$B$5:$B$304,MATCH(A173,Students!$A$5:$A$304,0)),"ID not found"))</f>
        <v/>
      </c>
      <c r="C173" s="85" t="str">
        <f aca="false">IF(A173="","",IFERROR(INDEX(Students!$E$5:$E$304,MATCH(A173,Students!$A$5:$A$304,0)),""))</f>
        <v/>
      </c>
      <c r="D173" s="85" t="str">
        <f aca="false">IF(A173="","",IFERROR(INDEX(Students!$F$5:$F$304,MATCH(A173,Students!$A$5:$A$304,0)),""))</f>
        <v/>
      </c>
      <c r="E173" s="52"/>
      <c r="F173" s="97"/>
      <c r="G173" s="97"/>
      <c r="H173" s="91"/>
      <c r="I173" s="98" t="str">
        <f aca="false">IF(A173="","",F173-G173)</f>
        <v/>
      </c>
      <c r="J173" s="85" t="str">
        <f aca="false">IF(A173="","",IF(I173&lt;=0,"Paid",IF(G173&gt;0,"Partial","Unpaid")))</f>
        <v/>
      </c>
      <c r="K173" s="99"/>
    </row>
    <row r="174" customFormat="false" ht="19.5" hidden="false" customHeight="true" outlineLevel="0" collapsed="false">
      <c r="A174" s="52"/>
      <c r="B174" s="89" t="str">
        <f aca="false">IF(A174="","",IFERROR(INDEX(Students!$B$5:$B$304,MATCH(A174,Students!$A$5:$A$304,0)),"ID not found"))</f>
        <v/>
      </c>
      <c r="C174" s="85" t="str">
        <f aca="false">IF(A174="","",IFERROR(INDEX(Students!$E$5:$E$304,MATCH(A174,Students!$A$5:$A$304,0)),""))</f>
        <v/>
      </c>
      <c r="D174" s="85" t="str">
        <f aca="false">IF(A174="","",IFERROR(INDEX(Students!$F$5:$F$304,MATCH(A174,Students!$A$5:$A$304,0)),""))</f>
        <v/>
      </c>
      <c r="E174" s="52"/>
      <c r="F174" s="97"/>
      <c r="G174" s="97"/>
      <c r="H174" s="91"/>
      <c r="I174" s="98" t="str">
        <f aca="false">IF(A174="","",F174-G174)</f>
        <v/>
      </c>
      <c r="J174" s="85" t="str">
        <f aca="false">IF(A174="","",IF(I174&lt;=0,"Paid",IF(G174&gt;0,"Partial","Unpaid")))</f>
        <v/>
      </c>
      <c r="K174" s="99"/>
    </row>
    <row r="175" customFormat="false" ht="19.5" hidden="false" customHeight="true" outlineLevel="0" collapsed="false">
      <c r="A175" s="52"/>
      <c r="B175" s="89" t="str">
        <f aca="false">IF(A175="","",IFERROR(INDEX(Students!$B$5:$B$304,MATCH(A175,Students!$A$5:$A$304,0)),"ID not found"))</f>
        <v/>
      </c>
      <c r="C175" s="85" t="str">
        <f aca="false">IF(A175="","",IFERROR(INDEX(Students!$E$5:$E$304,MATCH(A175,Students!$A$5:$A$304,0)),""))</f>
        <v/>
      </c>
      <c r="D175" s="85" t="str">
        <f aca="false">IF(A175="","",IFERROR(INDEX(Students!$F$5:$F$304,MATCH(A175,Students!$A$5:$A$304,0)),""))</f>
        <v/>
      </c>
      <c r="E175" s="52"/>
      <c r="F175" s="97"/>
      <c r="G175" s="97"/>
      <c r="H175" s="91"/>
      <c r="I175" s="98" t="str">
        <f aca="false">IF(A175="","",F175-G175)</f>
        <v/>
      </c>
      <c r="J175" s="85" t="str">
        <f aca="false">IF(A175="","",IF(I175&lt;=0,"Paid",IF(G175&gt;0,"Partial","Unpaid")))</f>
        <v/>
      </c>
      <c r="K175" s="99"/>
    </row>
    <row r="176" customFormat="false" ht="19.5" hidden="false" customHeight="true" outlineLevel="0" collapsed="false">
      <c r="A176" s="52"/>
      <c r="B176" s="89" t="str">
        <f aca="false">IF(A176="","",IFERROR(INDEX(Students!$B$5:$B$304,MATCH(A176,Students!$A$5:$A$304,0)),"ID not found"))</f>
        <v/>
      </c>
      <c r="C176" s="85" t="str">
        <f aca="false">IF(A176="","",IFERROR(INDEX(Students!$E$5:$E$304,MATCH(A176,Students!$A$5:$A$304,0)),""))</f>
        <v/>
      </c>
      <c r="D176" s="85" t="str">
        <f aca="false">IF(A176="","",IFERROR(INDEX(Students!$F$5:$F$304,MATCH(A176,Students!$A$5:$A$304,0)),""))</f>
        <v/>
      </c>
      <c r="E176" s="52"/>
      <c r="F176" s="97"/>
      <c r="G176" s="97"/>
      <c r="H176" s="91"/>
      <c r="I176" s="98" t="str">
        <f aca="false">IF(A176="","",F176-G176)</f>
        <v/>
      </c>
      <c r="J176" s="85" t="str">
        <f aca="false">IF(A176="","",IF(I176&lt;=0,"Paid",IF(G176&gt;0,"Partial","Unpaid")))</f>
        <v/>
      </c>
      <c r="K176" s="99"/>
    </row>
    <row r="177" customFormat="false" ht="19.5" hidden="false" customHeight="true" outlineLevel="0" collapsed="false">
      <c r="A177" s="52"/>
      <c r="B177" s="89" t="str">
        <f aca="false">IF(A177="","",IFERROR(INDEX(Students!$B$5:$B$304,MATCH(A177,Students!$A$5:$A$304,0)),"ID not found"))</f>
        <v/>
      </c>
      <c r="C177" s="85" t="str">
        <f aca="false">IF(A177="","",IFERROR(INDEX(Students!$E$5:$E$304,MATCH(A177,Students!$A$5:$A$304,0)),""))</f>
        <v/>
      </c>
      <c r="D177" s="85" t="str">
        <f aca="false">IF(A177="","",IFERROR(INDEX(Students!$F$5:$F$304,MATCH(A177,Students!$A$5:$A$304,0)),""))</f>
        <v/>
      </c>
      <c r="E177" s="52"/>
      <c r="F177" s="97"/>
      <c r="G177" s="97"/>
      <c r="H177" s="91"/>
      <c r="I177" s="98" t="str">
        <f aca="false">IF(A177="","",F177-G177)</f>
        <v/>
      </c>
      <c r="J177" s="85" t="str">
        <f aca="false">IF(A177="","",IF(I177&lt;=0,"Paid",IF(G177&gt;0,"Partial","Unpaid")))</f>
        <v/>
      </c>
      <c r="K177" s="99"/>
    </row>
    <row r="178" customFormat="false" ht="19.5" hidden="false" customHeight="true" outlineLevel="0" collapsed="false">
      <c r="A178" s="52"/>
      <c r="B178" s="89" t="str">
        <f aca="false">IF(A178="","",IFERROR(INDEX(Students!$B$5:$B$304,MATCH(A178,Students!$A$5:$A$304,0)),"ID not found"))</f>
        <v/>
      </c>
      <c r="C178" s="85" t="str">
        <f aca="false">IF(A178="","",IFERROR(INDEX(Students!$E$5:$E$304,MATCH(A178,Students!$A$5:$A$304,0)),""))</f>
        <v/>
      </c>
      <c r="D178" s="85" t="str">
        <f aca="false">IF(A178="","",IFERROR(INDEX(Students!$F$5:$F$304,MATCH(A178,Students!$A$5:$A$304,0)),""))</f>
        <v/>
      </c>
      <c r="E178" s="52"/>
      <c r="F178" s="97"/>
      <c r="G178" s="97"/>
      <c r="H178" s="91"/>
      <c r="I178" s="98" t="str">
        <f aca="false">IF(A178="","",F178-G178)</f>
        <v/>
      </c>
      <c r="J178" s="85" t="str">
        <f aca="false">IF(A178="","",IF(I178&lt;=0,"Paid",IF(G178&gt;0,"Partial","Unpaid")))</f>
        <v/>
      </c>
      <c r="K178" s="99"/>
    </row>
    <row r="179" customFormat="false" ht="19.5" hidden="false" customHeight="true" outlineLevel="0" collapsed="false">
      <c r="A179" s="52"/>
      <c r="B179" s="89" t="str">
        <f aca="false">IF(A179="","",IFERROR(INDEX(Students!$B$5:$B$304,MATCH(A179,Students!$A$5:$A$304,0)),"ID not found"))</f>
        <v/>
      </c>
      <c r="C179" s="85" t="str">
        <f aca="false">IF(A179="","",IFERROR(INDEX(Students!$E$5:$E$304,MATCH(A179,Students!$A$5:$A$304,0)),""))</f>
        <v/>
      </c>
      <c r="D179" s="85" t="str">
        <f aca="false">IF(A179="","",IFERROR(INDEX(Students!$F$5:$F$304,MATCH(A179,Students!$A$5:$A$304,0)),""))</f>
        <v/>
      </c>
      <c r="E179" s="52"/>
      <c r="F179" s="97"/>
      <c r="G179" s="97"/>
      <c r="H179" s="91"/>
      <c r="I179" s="98" t="str">
        <f aca="false">IF(A179="","",F179-G179)</f>
        <v/>
      </c>
      <c r="J179" s="85" t="str">
        <f aca="false">IF(A179="","",IF(I179&lt;=0,"Paid",IF(G179&gt;0,"Partial","Unpaid")))</f>
        <v/>
      </c>
      <c r="K179" s="99"/>
    </row>
    <row r="180" customFormat="false" ht="19.5" hidden="false" customHeight="true" outlineLevel="0" collapsed="false">
      <c r="A180" s="52"/>
      <c r="B180" s="89" t="str">
        <f aca="false">IF(A180="","",IFERROR(INDEX(Students!$B$5:$B$304,MATCH(A180,Students!$A$5:$A$304,0)),"ID not found"))</f>
        <v/>
      </c>
      <c r="C180" s="85" t="str">
        <f aca="false">IF(A180="","",IFERROR(INDEX(Students!$E$5:$E$304,MATCH(A180,Students!$A$5:$A$304,0)),""))</f>
        <v/>
      </c>
      <c r="D180" s="85" t="str">
        <f aca="false">IF(A180="","",IFERROR(INDEX(Students!$F$5:$F$304,MATCH(A180,Students!$A$5:$A$304,0)),""))</f>
        <v/>
      </c>
      <c r="E180" s="52"/>
      <c r="F180" s="97"/>
      <c r="G180" s="97"/>
      <c r="H180" s="91"/>
      <c r="I180" s="98" t="str">
        <f aca="false">IF(A180="","",F180-G180)</f>
        <v/>
      </c>
      <c r="J180" s="85" t="str">
        <f aca="false">IF(A180="","",IF(I180&lt;=0,"Paid",IF(G180&gt;0,"Partial","Unpaid")))</f>
        <v/>
      </c>
      <c r="K180" s="99"/>
    </row>
    <row r="181" customFormat="false" ht="19.5" hidden="false" customHeight="true" outlineLevel="0" collapsed="false">
      <c r="A181" s="52"/>
      <c r="B181" s="89" t="str">
        <f aca="false">IF(A181="","",IFERROR(INDEX(Students!$B$5:$B$304,MATCH(A181,Students!$A$5:$A$304,0)),"ID not found"))</f>
        <v/>
      </c>
      <c r="C181" s="85" t="str">
        <f aca="false">IF(A181="","",IFERROR(INDEX(Students!$E$5:$E$304,MATCH(A181,Students!$A$5:$A$304,0)),""))</f>
        <v/>
      </c>
      <c r="D181" s="85" t="str">
        <f aca="false">IF(A181="","",IFERROR(INDEX(Students!$F$5:$F$304,MATCH(A181,Students!$A$5:$A$304,0)),""))</f>
        <v/>
      </c>
      <c r="E181" s="52"/>
      <c r="F181" s="97"/>
      <c r="G181" s="97"/>
      <c r="H181" s="91"/>
      <c r="I181" s="98" t="str">
        <f aca="false">IF(A181="","",F181-G181)</f>
        <v/>
      </c>
      <c r="J181" s="85" t="str">
        <f aca="false">IF(A181="","",IF(I181&lt;=0,"Paid",IF(G181&gt;0,"Partial","Unpaid")))</f>
        <v/>
      </c>
      <c r="K181" s="99"/>
    </row>
    <row r="182" customFormat="false" ht="19.5" hidden="false" customHeight="true" outlineLevel="0" collapsed="false">
      <c r="A182" s="52"/>
      <c r="B182" s="89" t="str">
        <f aca="false">IF(A182="","",IFERROR(INDEX(Students!$B$5:$B$304,MATCH(A182,Students!$A$5:$A$304,0)),"ID not found"))</f>
        <v/>
      </c>
      <c r="C182" s="85" t="str">
        <f aca="false">IF(A182="","",IFERROR(INDEX(Students!$E$5:$E$304,MATCH(A182,Students!$A$5:$A$304,0)),""))</f>
        <v/>
      </c>
      <c r="D182" s="85" t="str">
        <f aca="false">IF(A182="","",IFERROR(INDEX(Students!$F$5:$F$304,MATCH(A182,Students!$A$5:$A$304,0)),""))</f>
        <v/>
      </c>
      <c r="E182" s="52"/>
      <c r="F182" s="97"/>
      <c r="G182" s="97"/>
      <c r="H182" s="91"/>
      <c r="I182" s="98" t="str">
        <f aca="false">IF(A182="","",F182-G182)</f>
        <v/>
      </c>
      <c r="J182" s="85" t="str">
        <f aca="false">IF(A182="","",IF(I182&lt;=0,"Paid",IF(G182&gt;0,"Partial","Unpaid")))</f>
        <v/>
      </c>
      <c r="K182" s="99"/>
    </row>
    <row r="183" customFormat="false" ht="19.5" hidden="false" customHeight="true" outlineLevel="0" collapsed="false">
      <c r="A183" s="52"/>
      <c r="B183" s="89" t="str">
        <f aca="false">IF(A183="","",IFERROR(INDEX(Students!$B$5:$B$304,MATCH(A183,Students!$A$5:$A$304,0)),"ID not found"))</f>
        <v/>
      </c>
      <c r="C183" s="85" t="str">
        <f aca="false">IF(A183="","",IFERROR(INDEX(Students!$E$5:$E$304,MATCH(A183,Students!$A$5:$A$304,0)),""))</f>
        <v/>
      </c>
      <c r="D183" s="85" t="str">
        <f aca="false">IF(A183="","",IFERROR(INDEX(Students!$F$5:$F$304,MATCH(A183,Students!$A$5:$A$304,0)),""))</f>
        <v/>
      </c>
      <c r="E183" s="52"/>
      <c r="F183" s="97"/>
      <c r="G183" s="97"/>
      <c r="H183" s="91"/>
      <c r="I183" s="98" t="str">
        <f aca="false">IF(A183="","",F183-G183)</f>
        <v/>
      </c>
      <c r="J183" s="85" t="str">
        <f aca="false">IF(A183="","",IF(I183&lt;=0,"Paid",IF(G183&gt;0,"Partial","Unpaid")))</f>
        <v/>
      </c>
      <c r="K183" s="99"/>
    </row>
    <row r="184" customFormat="false" ht="19.5" hidden="false" customHeight="true" outlineLevel="0" collapsed="false">
      <c r="A184" s="52"/>
      <c r="B184" s="89" t="str">
        <f aca="false">IF(A184="","",IFERROR(INDEX(Students!$B$5:$B$304,MATCH(A184,Students!$A$5:$A$304,0)),"ID not found"))</f>
        <v/>
      </c>
      <c r="C184" s="85" t="str">
        <f aca="false">IF(A184="","",IFERROR(INDEX(Students!$E$5:$E$304,MATCH(A184,Students!$A$5:$A$304,0)),""))</f>
        <v/>
      </c>
      <c r="D184" s="85" t="str">
        <f aca="false">IF(A184="","",IFERROR(INDEX(Students!$F$5:$F$304,MATCH(A184,Students!$A$5:$A$304,0)),""))</f>
        <v/>
      </c>
      <c r="E184" s="52"/>
      <c r="F184" s="97"/>
      <c r="G184" s="97"/>
      <c r="H184" s="91"/>
      <c r="I184" s="98" t="str">
        <f aca="false">IF(A184="","",F184-G184)</f>
        <v/>
      </c>
      <c r="J184" s="85" t="str">
        <f aca="false">IF(A184="","",IF(I184&lt;=0,"Paid",IF(G184&gt;0,"Partial","Unpaid")))</f>
        <v/>
      </c>
      <c r="K184" s="99"/>
    </row>
    <row r="185" customFormat="false" ht="19.5" hidden="false" customHeight="true" outlineLevel="0" collapsed="false">
      <c r="A185" s="52"/>
      <c r="B185" s="89" t="str">
        <f aca="false">IF(A185="","",IFERROR(INDEX(Students!$B$5:$B$304,MATCH(A185,Students!$A$5:$A$304,0)),"ID not found"))</f>
        <v/>
      </c>
      <c r="C185" s="85" t="str">
        <f aca="false">IF(A185="","",IFERROR(INDEX(Students!$E$5:$E$304,MATCH(A185,Students!$A$5:$A$304,0)),""))</f>
        <v/>
      </c>
      <c r="D185" s="85" t="str">
        <f aca="false">IF(A185="","",IFERROR(INDEX(Students!$F$5:$F$304,MATCH(A185,Students!$A$5:$A$304,0)),""))</f>
        <v/>
      </c>
      <c r="E185" s="52"/>
      <c r="F185" s="97"/>
      <c r="G185" s="97"/>
      <c r="H185" s="91"/>
      <c r="I185" s="98" t="str">
        <f aca="false">IF(A185="","",F185-G185)</f>
        <v/>
      </c>
      <c r="J185" s="85" t="str">
        <f aca="false">IF(A185="","",IF(I185&lt;=0,"Paid",IF(G185&gt;0,"Partial","Unpaid")))</f>
        <v/>
      </c>
      <c r="K185" s="99"/>
    </row>
    <row r="186" customFormat="false" ht="19.5" hidden="false" customHeight="true" outlineLevel="0" collapsed="false">
      <c r="A186" s="52"/>
      <c r="B186" s="89" t="str">
        <f aca="false">IF(A186="","",IFERROR(INDEX(Students!$B$5:$B$304,MATCH(A186,Students!$A$5:$A$304,0)),"ID not found"))</f>
        <v/>
      </c>
      <c r="C186" s="85" t="str">
        <f aca="false">IF(A186="","",IFERROR(INDEX(Students!$E$5:$E$304,MATCH(A186,Students!$A$5:$A$304,0)),""))</f>
        <v/>
      </c>
      <c r="D186" s="85" t="str">
        <f aca="false">IF(A186="","",IFERROR(INDEX(Students!$F$5:$F$304,MATCH(A186,Students!$A$5:$A$304,0)),""))</f>
        <v/>
      </c>
      <c r="E186" s="52"/>
      <c r="F186" s="97"/>
      <c r="G186" s="97"/>
      <c r="H186" s="91"/>
      <c r="I186" s="98" t="str">
        <f aca="false">IF(A186="","",F186-G186)</f>
        <v/>
      </c>
      <c r="J186" s="85" t="str">
        <f aca="false">IF(A186="","",IF(I186&lt;=0,"Paid",IF(G186&gt;0,"Partial","Unpaid")))</f>
        <v/>
      </c>
      <c r="K186" s="99"/>
    </row>
    <row r="187" customFormat="false" ht="19.5" hidden="false" customHeight="true" outlineLevel="0" collapsed="false">
      <c r="A187" s="52"/>
      <c r="B187" s="89" t="str">
        <f aca="false">IF(A187="","",IFERROR(INDEX(Students!$B$5:$B$304,MATCH(A187,Students!$A$5:$A$304,0)),"ID not found"))</f>
        <v/>
      </c>
      <c r="C187" s="85" t="str">
        <f aca="false">IF(A187="","",IFERROR(INDEX(Students!$E$5:$E$304,MATCH(A187,Students!$A$5:$A$304,0)),""))</f>
        <v/>
      </c>
      <c r="D187" s="85" t="str">
        <f aca="false">IF(A187="","",IFERROR(INDEX(Students!$F$5:$F$304,MATCH(A187,Students!$A$5:$A$304,0)),""))</f>
        <v/>
      </c>
      <c r="E187" s="52"/>
      <c r="F187" s="97"/>
      <c r="G187" s="97"/>
      <c r="H187" s="91"/>
      <c r="I187" s="98" t="str">
        <f aca="false">IF(A187="","",F187-G187)</f>
        <v/>
      </c>
      <c r="J187" s="85" t="str">
        <f aca="false">IF(A187="","",IF(I187&lt;=0,"Paid",IF(G187&gt;0,"Partial","Unpaid")))</f>
        <v/>
      </c>
      <c r="K187" s="99"/>
    </row>
    <row r="188" customFormat="false" ht="19.5" hidden="false" customHeight="true" outlineLevel="0" collapsed="false">
      <c r="A188" s="52"/>
      <c r="B188" s="89" t="str">
        <f aca="false">IF(A188="","",IFERROR(INDEX(Students!$B$5:$B$304,MATCH(A188,Students!$A$5:$A$304,0)),"ID not found"))</f>
        <v/>
      </c>
      <c r="C188" s="85" t="str">
        <f aca="false">IF(A188="","",IFERROR(INDEX(Students!$E$5:$E$304,MATCH(A188,Students!$A$5:$A$304,0)),""))</f>
        <v/>
      </c>
      <c r="D188" s="85" t="str">
        <f aca="false">IF(A188="","",IFERROR(INDEX(Students!$F$5:$F$304,MATCH(A188,Students!$A$5:$A$304,0)),""))</f>
        <v/>
      </c>
      <c r="E188" s="52"/>
      <c r="F188" s="97"/>
      <c r="G188" s="97"/>
      <c r="H188" s="91"/>
      <c r="I188" s="98" t="str">
        <f aca="false">IF(A188="","",F188-G188)</f>
        <v/>
      </c>
      <c r="J188" s="85" t="str">
        <f aca="false">IF(A188="","",IF(I188&lt;=0,"Paid",IF(G188&gt;0,"Partial","Unpaid")))</f>
        <v/>
      </c>
      <c r="K188" s="99"/>
    </row>
    <row r="189" customFormat="false" ht="19.5" hidden="false" customHeight="true" outlineLevel="0" collapsed="false">
      <c r="A189" s="52"/>
      <c r="B189" s="89" t="str">
        <f aca="false">IF(A189="","",IFERROR(INDEX(Students!$B$5:$B$304,MATCH(A189,Students!$A$5:$A$304,0)),"ID not found"))</f>
        <v/>
      </c>
      <c r="C189" s="85" t="str">
        <f aca="false">IF(A189="","",IFERROR(INDEX(Students!$E$5:$E$304,MATCH(A189,Students!$A$5:$A$304,0)),""))</f>
        <v/>
      </c>
      <c r="D189" s="85" t="str">
        <f aca="false">IF(A189="","",IFERROR(INDEX(Students!$F$5:$F$304,MATCH(A189,Students!$A$5:$A$304,0)),""))</f>
        <v/>
      </c>
      <c r="E189" s="52"/>
      <c r="F189" s="97"/>
      <c r="G189" s="97"/>
      <c r="H189" s="91"/>
      <c r="I189" s="98" t="str">
        <f aca="false">IF(A189="","",F189-G189)</f>
        <v/>
      </c>
      <c r="J189" s="85" t="str">
        <f aca="false">IF(A189="","",IF(I189&lt;=0,"Paid",IF(G189&gt;0,"Partial","Unpaid")))</f>
        <v/>
      </c>
      <c r="K189" s="99"/>
    </row>
    <row r="190" customFormat="false" ht="19.5" hidden="false" customHeight="true" outlineLevel="0" collapsed="false">
      <c r="A190" s="52"/>
      <c r="B190" s="89" t="str">
        <f aca="false">IF(A190="","",IFERROR(INDEX(Students!$B$5:$B$304,MATCH(A190,Students!$A$5:$A$304,0)),"ID not found"))</f>
        <v/>
      </c>
      <c r="C190" s="85" t="str">
        <f aca="false">IF(A190="","",IFERROR(INDEX(Students!$E$5:$E$304,MATCH(A190,Students!$A$5:$A$304,0)),""))</f>
        <v/>
      </c>
      <c r="D190" s="85" t="str">
        <f aca="false">IF(A190="","",IFERROR(INDEX(Students!$F$5:$F$304,MATCH(A190,Students!$A$5:$A$304,0)),""))</f>
        <v/>
      </c>
      <c r="E190" s="52"/>
      <c r="F190" s="97"/>
      <c r="G190" s="97"/>
      <c r="H190" s="91"/>
      <c r="I190" s="98" t="str">
        <f aca="false">IF(A190="","",F190-G190)</f>
        <v/>
      </c>
      <c r="J190" s="85" t="str">
        <f aca="false">IF(A190="","",IF(I190&lt;=0,"Paid",IF(G190&gt;0,"Partial","Unpaid")))</f>
        <v/>
      </c>
      <c r="K190" s="99"/>
    </row>
    <row r="191" customFormat="false" ht="19.5" hidden="false" customHeight="true" outlineLevel="0" collapsed="false">
      <c r="A191" s="52"/>
      <c r="B191" s="89" t="str">
        <f aca="false">IF(A191="","",IFERROR(INDEX(Students!$B$5:$B$304,MATCH(A191,Students!$A$5:$A$304,0)),"ID not found"))</f>
        <v/>
      </c>
      <c r="C191" s="85" t="str">
        <f aca="false">IF(A191="","",IFERROR(INDEX(Students!$E$5:$E$304,MATCH(A191,Students!$A$5:$A$304,0)),""))</f>
        <v/>
      </c>
      <c r="D191" s="85" t="str">
        <f aca="false">IF(A191="","",IFERROR(INDEX(Students!$F$5:$F$304,MATCH(A191,Students!$A$5:$A$304,0)),""))</f>
        <v/>
      </c>
      <c r="E191" s="52"/>
      <c r="F191" s="97"/>
      <c r="G191" s="97"/>
      <c r="H191" s="91"/>
      <c r="I191" s="98" t="str">
        <f aca="false">IF(A191="","",F191-G191)</f>
        <v/>
      </c>
      <c r="J191" s="85" t="str">
        <f aca="false">IF(A191="","",IF(I191&lt;=0,"Paid",IF(G191&gt;0,"Partial","Unpaid")))</f>
        <v/>
      </c>
      <c r="K191" s="99"/>
    </row>
    <row r="192" customFormat="false" ht="19.5" hidden="false" customHeight="true" outlineLevel="0" collapsed="false">
      <c r="A192" s="52"/>
      <c r="B192" s="89" t="str">
        <f aca="false">IF(A192="","",IFERROR(INDEX(Students!$B$5:$B$304,MATCH(A192,Students!$A$5:$A$304,0)),"ID not found"))</f>
        <v/>
      </c>
      <c r="C192" s="85" t="str">
        <f aca="false">IF(A192="","",IFERROR(INDEX(Students!$E$5:$E$304,MATCH(A192,Students!$A$5:$A$304,0)),""))</f>
        <v/>
      </c>
      <c r="D192" s="85" t="str">
        <f aca="false">IF(A192="","",IFERROR(INDEX(Students!$F$5:$F$304,MATCH(A192,Students!$A$5:$A$304,0)),""))</f>
        <v/>
      </c>
      <c r="E192" s="52"/>
      <c r="F192" s="97"/>
      <c r="G192" s="97"/>
      <c r="H192" s="91"/>
      <c r="I192" s="98" t="str">
        <f aca="false">IF(A192="","",F192-G192)</f>
        <v/>
      </c>
      <c r="J192" s="85" t="str">
        <f aca="false">IF(A192="","",IF(I192&lt;=0,"Paid",IF(G192&gt;0,"Partial","Unpaid")))</f>
        <v/>
      </c>
      <c r="K192" s="99"/>
    </row>
    <row r="193" customFormat="false" ht="19.5" hidden="false" customHeight="true" outlineLevel="0" collapsed="false">
      <c r="A193" s="52"/>
      <c r="B193" s="89" t="str">
        <f aca="false">IF(A193="","",IFERROR(INDEX(Students!$B$5:$B$304,MATCH(A193,Students!$A$5:$A$304,0)),"ID not found"))</f>
        <v/>
      </c>
      <c r="C193" s="85" t="str">
        <f aca="false">IF(A193="","",IFERROR(INDEX(Students!$E$5:$E$304,MATCH(A193,Students!$A$5:$A$304,0)),""))</f>
        <v/>
      </c>
      <c r="D193" s="85" t="str">
        <f aca="false">IF(A193="","",IFERROR(INDEX(Students!$F$5:$F$304,MATCH(A193,Students!$A$5:$A$304,0)),""))</f>
        <v/>
      </c>
      <c r="E193" s="52"/>
      <c r="F193" s="97"/>
      <c r="G193" s="97"/>
      <c r="H193" s="91"/>
      <c r="I193" s="98" t="str">
        <f aca="false">IF(A193="","",F193-G193)</f>
        <v/>
      </c>
      <c r="J193" s="85" t="str">
        <f aca="false">IF(A193="","",IF(I193&lt;=0,"Paid",IF(G193&gt;0,"Partial","Unpaid")))</f>
        <v/>
      </c>
      <c r="K193" s="99"/>
    </row>
    <row r="194" customFormat="false" ht="19.5" hidden="false" customHeight="true" outlineLevel="0" collapsed="false">
      <c r="A194" s="52"/>
      <c r="B194" s="89" t="str">
        <f aca="false">IF(A194="","",IFERROR(INDEX(Students!$B$5:$B$304,MATCH(A194,Students!$A$5:$A$304,0)),"ID not found"))</f>
        <v/>
      </c>
      <c r="C194" s="85" t="str">
        <f aca="false">IF(A194="","",IFERROR(INDEX(Students!$E$5:$E$304,MATCH(A194,Students!$A$5:$A$304,0)),""))</f>
        <v/>
      </c>
      <c r="D194" s="85" t="str">
        <f aca="false">IF(A194="","",IFERROR(INDEX(Students!$F$5:$F$304,MATCH(A194,Students!$A$5:$A$304,0)),""))</f>
        <v/>
      </c>
      <c r="E194" s="52"/>
      <c r="F194" s="97"/>
      <c r="G194" s="97"/>
      <c r="H194" s="91"/>
      <c r="I194" s="98" t="str">
        <f aca="false">IF(A194="","",F194-G194)</f>
        <v/>
      </c>
      <c r="J194" s="85" t="str">
        <f aca="false">IF(A194="","",IF(I194&lt;=0,"Paid",IF(G194&gt;0,"Partial","Unpaid")))</f>
        <v/>
      </c>
      <c r="K194" s="99"/>
    </row>
    <row r="195" customFormat="false" ht="19.5" hidden="false" customHeight="true" outlineLevel="0" collapsed="false">
      <c r="A195" s="52"/>
      <c r="B195" s="89" t="str">
        <f aca="false">IF(A195="","",IFERROR(INDEX(Students!$B$5:$B$304,MATCH(A195,Students!$A$5:$A$304,0)),"ID not found"))</f>
        <v/>
      </c>
      <c r="C195" s="85" t="str">
        <f aca="false">IF(A195="","",IFERROR(INDEX(Students!$E$5:$E$304,MATCH(A195,Students!$A$5:$A$304,0)),""))</f>
        <v/>
      </c>
      <c r="D195" s="85" t="str">
        <f aca="false">IF(A195="","",IFERROR(INDEX(Students!$F$5:$F$304,MATCH(A195,Students!$A$5:$A$304,0)),""))</f>
        <v/>
      </c>
      <c r="E195" s="52"/>
      <c r="F195" s="97"/>
      <c r="G195" s="97"/>
      <c r="H195" s="91"/>
      <c r="I195" s="98" t="str">
        <f aca="false">IF(A195="","",F195-G195)</f>
        <v/>
      </c>
      <c r="J195" s="85" t="str">
        <f aca="false">IF(A195="","",IF(I195&lt;=0,"Paid",IF(G195&gt;0,"Partial","Unpaid")))</f>
        <v/>
      </c>
      <c r="K195" s="99"/>
    </row>
    <row r="196" customFormat="false" ht="19.5" hidden="false" customHeight="true" outlineLevel="0" collapsed="false">
      <c r="A196" s="52"/>
      <c r="B196" s="89" t="str">
        <f aca="false">IF(A196="","",IFERROR(INDEX(Students!$B$5:$B$304,MATCH(A196,Students!$A$5:$A$304,0)),"ID not found"))</f>
        <v/>
      </c>
      <c r="C196" s="85" t="str">
        <f aca="false">IF(A196="","",IFERROR(INDEX(Students!$E$5:$E$304,MATCH(A196,Students!$A$5:$A$304,0)),""))</f>
        <v/>
      </c>
      <c r="D196" s="85" t="str">
        <f aca="false">IF(A196="","",IFERROR(INDEX(Students!$F$5:$F$304,MATCH(A196,Students!$A$5:$A$304,0)),""))</f>
        <v/>
      </c>
      <c r="E196" s="52"/>
      <c r="F196" s="97"/>
      <c r="G196" s="97"/>
      <c r="H196" s="91"/>
      <c r="I196" s="98" t="str">
        <f aca="false">IF(A196="","",F196-G196)</f>
        <v/>
      </c>
      <c r="J196" s="85" t="str">
        <f aca="false">IF(A196="","",IF(I196&lt;=0,"Paid",IF(G196&gt;0,"Partial","Unpaid")))</f>
        <v/>
      </c>
      <c r="K196" s="99"/>
    </row>
    <row r="197" customFormat="false" ht="19.5" hidden="false" customHeight="true" outlineLevel="0" collapsed="false">
      <c r="A197" s="52"/>
      <c r="B197" s="89" t="str">
        <f aca="false">IF(A197="","",IFERROR(INDEX(Students!$B$5:$B$304,MATCH(A197,Students!$A$5:$A$304,0)),"ID not found"))</f>
        <v/>
      </c>
      <c r="C197" s="85" t="str">
        <f aca="false">IF(A197="","",IFERROR(INDEX(Students!$E$5:$E$304,MATCH(A197,Students!$A$5:$A$304,0)),""))</f>
        <v/>
      </c>
      <c r="D197" s="85" t="str">
        <f aca="false">IF(A197="","",IFERROR(INDEX(Students!$F$5:$F$304,MATCH(A197,Students!$A$5:$A$304,0)),""))</f>
        <v/>
      </c>
      <c r="E197" s="52"/>
      <c r="F197" s="97"/>
      <c r="G197" s="97"/>
      <c r="H197" s="91"/>
      <c r="I197" s="98" t="str">
        <f aca="false">IF(A197="","",F197-G197)</f>
        <v/>
      </c>
      <c r="J197" s="85" t="str">
        <f aca="false">IF(A197="","",IF(I197&lt;=0,"Paid",IF(G197&gt;0,"Partial","Unpaid")))</f>
        <v/>
      </c>
      <c r="K197" s="99"/>
    </row>
    <row r="198" customFormat="false" ht="19.5" hidden="false" customHeight="true" outlineLevel="0" collapsed="false">
      <c r="A198" s="52"/>
      <c r="B198" s="89" t="str">
        <f aca="false">IF(A198="","",IFERROR(INDEX(Students!$B$5:$B$304,MATCH(A198,Students!$A$5:$A$304,0)),"ID not found"))</f>
        <v/>
      </c>
      <c r="C198" s="85" t="str">
        <f aca="false">IF(A198="","",IFERROR(INDEX(Students!$E$5:$E$304,MATCH(A198,Students!$A$5:$A$304,0)),""))</f>
        <v/>
      </c>
      <c r="D198" s="85" t="str">
        <f aca="false">IF(A198="","",IFERROR(INDEX(Students!$F$5:$F$304,MATCH(A198,Students!$A$5:$A$304,0)),""))</f>
        <v/>
      </c>
      <c r="E198" s="52"/>
      <c r="F198" s="97"/>
      <c r="G198" s="97"/>
      <c r="H198" s="91"/>
      <c r="I198" s="98" t="str">
        <f aca="false">IF(A198="","",F198-G198)</f>
        <v/>
      </c>
      <c r="J198" s="85" t="str">
        <f aca="false">IF(A198="","",IF(I198&lt;=0,"Paid",IF(G198&gt;0,"Partial","Unpaid")))</f>
        <v/>
      </c>
      <c r="K198" s="99"/>
    </row>
    <row r="199" customFormat="false" ht="19.5" hidden="false" customHeight="true" outlineLevel="0" collapsed="false">
      <c r="A199" s="52"/>
      <c r="B199" s="89" t="str">
        <f aca="false">IF(A199="","",IFERROR(INDEX(Students!$B$5:$B$304,MATCH(A199,Students!$A$5:$A$304,0)),"ID not found"))</f>
        <v/>
      </c>
      <c r="C199" s="85" t="str">
        <f aca="false">IF(A199="","",IFERROR(INDEX(Students!$E$5:$E$304,MATCH(A199,Students!$A$5:$A$304,0)),""))</f>
        <v/>
      </c>
      <c r="D199" s="85" t="str">
        <f aca="false">IF(A199="","",IFERROR(INDEX(Students!$F$5:$F$304,MATCH(A199,Students!$A$5:$A$304,0)),""))</f>
        <v/>
      </c>
      <c r="E199" s="52"/>
      <c r="F199" s="97"/>
      <c r="G199" s="97"/>
      <c r="H199" s="91"/>
      <c r="I199" s="98" t="str">
        <f aca="false">IF(A199="","",F199-G199)</f>
        <v/>
      </c>
      <c r="J199" s="85" t="str">
        <f aca="false">IF(A199="","",IF(I199&lt;=0,"Paid",IF(G199&gt;0,"Partial","Unpaid")))</f>
        <v/>
      </c>
      <c r="K199" s="99"/>
    </row>
    <row r="200" customFormat="false" ht="19.5" hidden="false" customHeight="true" outlineLevel="0" collapsed="false">
      <c r="A200" s="52"/>
      <c r="B200" s="89" t="str">
        <f aca="false">IF(A200="","",IFERROR(INDEX(Students!$B$5:$B$304,MATCH(A200,Students!$A$5:$A$304,0)),"ID not found"))</f>
        <v/>
      </c>
      <c r="C200" s="85" t="str">
        <f aca="false">IF(A200="","",IFERROR(INDEX(Students!$E$5:$E$304,MATCH(A200,Students!$A$5:$A$304,0)),""))</f>
        <v/>
      </c>
      <c r="D200" s="85" t="str">
        <f aca="false">IF(A200="","",IFERROR(INDEX(Students!$F$5:$F$304,MATCH(A200,Students!$A$5:$A$304,0)),""))</f>
        <v/>
      </c>
      <c r="E200" s="52"/>
      <c r="F200" s="97"/>
      <c r="G200" s="97"/>
      <c r="H200" s="91"/>
      <c r="I200" s="98" t="str">
        <f aca="false">IF(A200="","",F200-G200)</f>
        <v/>
      </c>
      <c r="J200" s="85" t="str">
        <f aca="false">IF(A200="","",IF(I200&lt;=0,"Paid",IF(G200&gt;0,"Partial","Unpaid")))</f>
        <v/>
      </c>
      <c r="K200" s="99"/>
    </row>
    <row r="201" customFormat="false" ht="19.5" hidden="false" customHeight="true" outlineLevel="0" collapsed="false">
      <c r="A201" s="52"/>
      <c r="B201" s="89" t="str">
        <f aca="false">IF(A201="","",IFERROR(INDEX(Students!$B$5:$B$304,MATCH(A201,Students!$A$5:$A$304,0)),"ID not found"))</f>
        <v/>
      </c>
      <c r="C201" s="85" t="str">
        <f aca="false">IF(A201="","",IFERROR(INDEX(Students!$E$5:$E$304,MATCH(A201,Students!$A$5:$A$304,0)),""))</f>
        <v/>
      </c>
      <c r="D201" s="85" t="str">
        <f aca="false">IF(A201="","",IFERROR(INDEX(Students!$F$5:$F$304,MATCH(A201,Students!$A$5:$A$304,0)),""))</f>
        <v/>
      </c>
      <c r="E201" s="52"/>
      <c r="F201" s="97"/>
      <c r="G201" s="97"/>
      <c r="H201" s="91"/>
      <c r="I201" s="98" t="str">
        <f aca="false">IF(A201="","",F201-G201)</f>
        <v/>
      </c>
      <c r="J201" s="85" t="str">
        <f aca="false">IF(A201="","",IF(I201&lt;=0,"Paid",IF(G201&gt;0,"Partial","Unpaid")))</f>
        <v/>
      </c>
      <c r="K201" s="99"/>
    </row>
    <row r="202" customFormat="false" ht="19.5" hidden="false" customHeight="true" outlineLevel="0" collapsed="false">
      <c r="A202" s="52"/>
      <c r="B202" s="89" t="str">
        <f aca="false">IF(A202="","",IFERROR(INDEX(Students!$B$5:$B$304,MATCH(A202,Students!$A$5:$A$304,0)),"ID not found"))</f>
        <v/>
      </c>
      <c r="C202" s="85" t="str">
        <f aca="false">IF(A202="","",IFERROR(INDEX(Students!$E$5:$E$304,MATCH(A202,Students!$A$5:$A$304,0)),""))</f>
        <v/>
      </c>
      <c r="D202" s="85" t="str">
        <f aca="false">IF(A202="","",IFERROR(INDEX(Students!$F$5:$F$304,MATCH(A202,Students!$A$5:$A$304,0)),""))</f>
        <v/>
      </c>
      <c r="E202" s="52"/>
      <c r="F202" s="97"/>
      <c r="G202" s="97"/>
      <c r="H202" s="91"/>
      <c r="I202" s="98" t="str">
        <f aca="false">IF(A202="","",F202-G202)</f>
        <v/>
      </c>
      <c r="J202" s="85" t="str">
        <f aca="false">IF(A202="","",IF(I202&lt;=0,"Paid",IF(G202&gt;0,"Partial","Unpaid")))</f>
        <v/>
      </c>
      <c r="K202" s="99"/>
    </row>
    <row r="203" customFormat="false" ht="19.5" hidden="false" customHeight="true" outlineLevel="0" collapsed="false">
      <c r="A203" s="52"/>
      <c r="B203" s="89" t="str">
        <f aca="false">IF(A203="","",IFERROR(INDEX(Students!$B$5:$B$304,MATCH(A203,Students!$A$5:$A$304,0)),"ID not found"))</f>
        <v/>
      </c>
      <c r="C203" s="85" t="str">
        <f aca="false">IF(A203="","",IFERROR(INDEX(Students!$E$5:$E$304,MATCH(A203,Students!$A$5:$A$304,0)),""))</f>
        <v/>
      </c>
      <c r="D203" s="85" t="str">
        <f aca="false">IF(A203="","",IFERROR(INDEX(Students!$F$5:$F$304,MATCH(A203,Students!$A$5:$A$304,0)),""))</f>
        <v/>
      </c>
      <c r="E203" s="52"/>
      <c r="F203" s="97"/>
      <c r="G203" s="97"/>
      <c r="H203" s="91"/>
      <c r="I203" s="98" t="str">
        <f aca="false">IF(A203="","",F203-G203)</f>
        <v/>
      </c>
      <c r="J203" s="85" t="str">
        <f aca="false">IF(A203="","",IF(I203&lt;=0,"Paid",IF(G203&gt;0,"Partial","Unpaid")))</f>
        <v/>
      </c>
      <c r="K203" s="99"/>
    </row>
    <row r="204" customFormat="false" ht="19.5" hidden="false" customHeight="true" outlineLevel="0" collapsed="false">
      <c r="A204" s="52"/>
      <c r="B204" s="89" t="str">
        <f aca="false">IF(A204="","",IFERROR(INDEX(Students!$B$5:$B$304,MATCH(A204,Students!$A$5:$A$304,0)),"ID not found"))</f>
        <v/>
      </c>
      <c r="C204" s="85" t="str">
        <f aca="false">IF(A204="","",IFERROR(INDEX(Students!$E$5:$E$304,MATCH(A204,Students!$A$5:$A$304,0)),""))</f>
        <v/>
      </c>
      <c r="D204" s="85" t="str">
        <f aca="false">IF(A204="","",IFERROR(INDEX(Students!$F$5:$F$304,MATCH(A204,Students!$A$5:$A$304,0)),""))</f>
        <v/>
      </c>
      <c r="E204" s="52"/>
      <c r="F204" s="97"/>
      <c r="G204" s="97"/>
      <c r="H204" s="91"/>
      <c r="I204" s="98" t="str">
        <f aca="false">IF(A204="","",F204-G204)</f>
        <v/>
      </c>
      <c r="J204" s="85" t="str">
        <f aca="false">IF(A204="","",IF(I204&lt;=0,"Paid",IF(G204&gt;0,"Partial","Unpaid")))</f>
        <v/>
      </c>
      <c r="K204" s="99"/>
    </row>
    <row r="205" customFormat="false" ht="19.5" hidden="false" customHeight="true" outlineLevel="0" collapsed="false">
      <c r="A205" s="52"/>
      <c r="B205" s="89" t="str">
        <f aca="false">IF(A205="","",IFERROR(INDEX(Students!$B$5:$B$304,MATCH(A205,Students!$A$5:$A$304,0)),"ID not found"))</f>
        <v/>
      </c>
      <c r="C205" s="85" t="str">
        <f aca="false">IF(A205="","",IFERROR(INDEX(Students!$E$5:$E$304,MATCH(A205,Students!$A$5:$A$304,0)),""))</f>
        <v/>
      </c>
      <c r="D205" s="85" t="str">
        <f aca="false">IF(A205="","",IFERROR(INDEX(Students!$F$5:$F$304,MATCH(A205,Students!$A$5:$A$304,0)),""))</f>
        <v/>
      </c>
      <c r="E205" s="52"/>
      <c r="F205" s="97"/>
      <c r="G205" s="97"/>
      <c r="H205" s="91"/>
      <c r="I205" s="98" t="str">
        <f aca="false">IF(A205="","",F205-G205)</f>
        <v/>
      </c>
      <c r="J205" s="85" t="str">
        <f aca="false">IF(A205="","",IF(I205&lt;=0,"Paid",IF(G205&gt;0,"Partial","Unpaid")))</f>
        <v/>
      </c>
      <c r="K205" s="99"/>
    </row>
    <row r="206" customFormat="false" ht="19.5" hidden="false" customHeight="true" outlineLevel="0" collapsed="false">
      <c r="A206" s="52"/>
      <c r="B206" s="89" t="str">
        <f aca="false">IF(A206="","",IFERROR(INDEX(Students!$B$5:$B$304,MATCH(A206,Students!$A$5:$A$304,0)),"ID not found"))</f>
        <v/>
      </c>
      <c r="C206" s="85" t="str">
        <f aca="false">IF(A206="","",IFERROR(INDEX(Students!$E$5:$E$304,MATCH(A206,Students!$A$5:$A$304,0)),""))</f>
        <v/>
      </c>
      <c r="D206" s="85" t="str">
        <f aca="false">IF(A206="","",IFERROR(INDEX(Students!$F$5:$F$304,MATCH(A206,Students!$A$5:$A$304,0)),""))</f>
        <v/>
      </c>
      <c r="E206" s="52"/>
      <c r="F206" s="97"/>
      <c r="G206" s="97"/>
      <c r="H206" s="91"/>
      <c r="I206" s="98" t="str">
        <f aca="false">IF(A206="","",F206-G206)</f>
        <v/>
      </c>
      <c r="J206" s="85" t="str">
        <f aca="false">IF(A206="","",IF(I206&lt;=0,"Paid",IF(G206&gt;0,"Partial","Unpaid")))</f>
        <v/>
      </c>
      <c r="K206" s="99"/>
    </row>
    <row r="207" customFormat="false" ht="19.5" hidden="false" customHeight="true" outlineLevel="0" collapsed="false">
      <c r="A207" s="52"/>
      <c r="B207" s="89" t="str">
        <f aca="false">IF(A207="","",IFERROR(INDEX(Students!$B$5:$B$304,MATCH(A207,Students!$A$5:$A$304,0)),"ID not found"))</f>
        <v/>
      </c>
      <c r="C207" s="85" t="str">
        <f aca="false">IF(A207="","",IFERROR(INDEX(Students!$E$5:$E$304,MATCH(A207,Students!$A$5:$A$304,0)),""))</f>
        <v/>
      </c>
      <c r="D207" s="85" t="str">
        <f aca="false">IF(A207="","",IFERROR(INDEX(Students!$F$5:$F$304,MATCH(A207,Students!$A$5:$A$304,0)),""))</f>
        <v/>
      </c>
      <c r="E207" s="52"/>
      <c r="F207" s="97"/>
      <c r="G207" s="97"/>
      <c r="H207" s="91"/>
      <c r="I207" s="98" t="str">
        <f aca="false">IF(A207="","",F207-G207)</f>
        <v/>
      </c>
      <c r="J207" s="85" t="str">
        <f aca="false">IF(A207="","",IF(I207&lt;=0,"Paid",IF(G207&gt;0,"Partial","Unpaid")))</f>
        <v/>
      </c>
      <c r="K207" s="99"/>
    </row>
    <row r="208" customFormat="false" ht="19.5" hidden="false" customHeight="true" outlineLevel="0" collapsed="false">
      <c r="A208" s="52"/>
      <c r="B208" s="89" t="str">
        <f aca="false">IF(A208="","",IFERROR(INDEX(Students!$B$5:$B$304,MATCH(A208,Students!$A$5:$A$304,0)),"ID not found"))</f>
        <v/>
      </c>
      <c r="C208" s="85" t="str">
        <f aca="false">IF(A208="","",IFERROR(INDEX(Students!$E$5:$E$304,MATCH(A208,Students!$A$5:$A$304,0)),""))</f>
        <v/>
      </c>
      <c r="D208" s="85" t="str">
        <f aca="false">IF(A208="","",IFERROR(INDEX(Students!$F$5:$F$304,MATCH(A208,Students!$A$5:$A$304,0)),""))</f>
        <v/>
      </c>
      <c r="E208" s="52"/>
      <c r="F208" s="97"/>
      <c r="G208" s="97"/>
      <c r="H208" s="91"/>
      <c r="I208" s="98" t="str">
        <f aca="false">IF(A208="","",F208-G208)</f>
        <v/>
      </c>
      <c r="J208" s="85" t="str">
        <f aca="false">IF(A208="","",IF(I208&lt;=0,"Paid",IF(G208&gt;0,"Partial","Unpaid")))</f>
        <v/>
      </c>
      <c r="K208" s="99"/>
    </row>
    <row r="209" customFormat="false" ht="19.5" hidden="false" customHeight="true" outlineLevel="0" collapsed="false">
      <c r="A209" s="52"/>
      <c r="B209" s="89" t="str">
        <f aca="false">IF(A209="","",IFERROR(INDEX(Students!$B$5:$B$304,MATCH(A209,Students!$A$5:$A$304,0)),"ID not found"))</f>
        <v/>
      </c>
      <c r="C209" s="85" t="str">
        <f aca="false">IF(A209="","",IFERROR(INDEX(Students!$E$5:$E$304,MATCH(A209,Students!$A$5:$A$304,0)),""))</f>
        <v/>
      </c>
      <c r="D209" s="85" t="str">
        <f aca="false">IF(A209="","",IFERROR(INDEX(Students!$F$5:$F$304,MATCH(A209,Students!$A$5:$A$304,0)),""))</f>
        <v/>
      </c>
      <c r="E209" s="52"/>
      <c r="F209" s="97"/>
      <c r="G209" s="97"/>
      <c r="H209" s="91"/>
      <c r="I209" s="98" t="str">
        <f aca="false">IF(A209="","",F209-G209)</f>
        <v/>
      </c>
      <c r="J209" s="85" t="str">
        <f aca="false">IF(A209="","",IF(I209&lt;=0,"Paid",IF(G209&gt;0,"Partial","Unpaid")))</f>
        <v/>
      </c>
      <c r="K209" s="99"/>
    </row>
    <row r="210" customFormat="false" ht="19.5" hidden="false" customHeight="true" outlineLevel="0" collapsed="false">
      <c r="A210" s="52"/>
      <c r="B210" s="89" t="str">
        <f aca="false">IF(A210="","",IFERROR(INDEX(Students!$B$5:$B$304,MATCH(A210,Students!$A$5:$A$304,0)),"ID not found"))</f>
        <v/>
      </c>
      <c r="C210" s="85" t="str">
        <f aca="false">IF(A210="","",IFERROR(INDEX(Students!$E$5:$E$304,MATCH(A210,Students!$A$5:$A$304,0)),""))</f>
        <v/>
      </c>
      <c r="D210" s="85" t="str">
        <f aca="false">IF(A210="","",IFERROR(INDEX(Students!$F$5:$F$304,MATCH(A210,Students!$A$5:$A$304,0)),""))</f>
        <v/>
      </c>
      <c r="E210" s="52"/>
      <c r="F210" s="97"/>
      <c r="G210" s="97"/>
      <c r="H210" s="91"/>
      <c r="I210" s="98" t="str">
        <f aca="false">IF(A210="","",F210-G210)</f>
        <v/>
      </c>
      <c r="J210" s="85" t="str">
        <f aca="false">IF(A210="","",IF(I210&lt;=0,"Paid",IF(G210&gt;0,"Partial","Unpaid")))</f>
        <v/>
      </c>
      <c r="K210" s="99"/>
    </row>
    <row r="211" customFormat="false" ht="19.5" hidden="false" customHeight="true" outlineLevel="0" collapsed="false">
      <c r="A211" s="52"/>
      <c r="B211" s="89" t="str">
        <f aca="false">IF(A211="","",IFERROR(INDEX(Students!$B$5:$B$304,MATCH(A211,Students!$A$5:$A$304,0)),"ID not found"))</f>
        <v/>
      </c>
      <c r="C211" s="85" t="str">
        <f aca="false">IF(A211="","",IFERROR(INDEX(Students!$E$5:$E$304,MATCH(A211,Students!$A$5:$A$304,0)),""))</f>
        <v/>
      </c>
      <c r="D211" s="85" t="str">
        <f aca="false">IF(A211="","",IFERROR(INDEX(Students!$F$5:$F$304,MATCH(A211,Students!$A$5:$A$304,0)),""))</f>
        <v/>
      </c>
      <c r="E211" s="52"/>
      <c r="F211" s="97"/>
      <c r="G211" s="97"/>
      <c r="H211" s="91"/>
      <c r="I211" s="98" t="str">
        <f aca="false">IF(A211="","",F211-G211)</f>
        <v/>
      </c>
      <c r="J211" s="85" t="str">
        <f aca="false">IF(A211="","",IF(I211&lt;=0,"Paid",IF(G211&gt;0,"Partial","Unpaid")))</f>
        <v/>
      </c>
      <c r="K211" s="99"/>
    </row>
    <row r="212" customFormat="false" ht="19.5" hidden="false" customHeight="true" outlineLevel="0" collapsed="false">
      <c r="A212" s="52"/>
      <c r="B212" s="89" t="str">
        <f aca="false">IF(A212="","",IFERROR(INDEX(Students!$B$5:$B$304,MATCH(A212,Students!$A$5:$A$304,0)),"ID not found"))</f>
        <v/>
      </c>
      <c r="C212" s="85" t="str">
        <f aca="false">IF(A212="","",IFERROR(INDEX(Students!$E$5:$E$304,MATCH(A212,Students!$A$5:$A$304,0)),""))</f>
        <v/>
      </c>
      <c r="D212" s="85" t="str">
        <f aca="false">IF(A212="","",IFERROR(INDEX(Students!$F$5:$F$304,MATCH(A212,Students!$A$5:$A$304,0)),""))</f>
        <v/>
      </c>
      <c r="E212" s="52"/>
      <c r="F212" s="97"/>
      <c r="G212" s="97"/>
      <c r="H212" s="91"/>
      <c r="I212" s="98" t="str">
        <f aca="false">IF(A212="","",F212-G212)</f>
        <v/>
      </c>
      <c r="J212" s="85" t="str">
        <f aca="false">IF(A212="","",IF(I212&lt;=0,"Paid",IF(G212&gt;0,"Partial","Unpaid")))</f>
        <v/>
      </c>
      <c r="K212" s="99"/>
    </row>
    <row r="213" customFormat="false" ht="19.5" hidden="false" customHeight="true" outlineLevel="0" collapsed="false">
      <c r="A213" s="52"/>
      <c r="B213" s="89" t="str">
        <f aca="false">IF(A213="","",IFERROR(INDEX(Students!$B$5:$B$304,MATCH(A213,Students!$A$5:$A$304,0)),"ID not found"))</f>
        <v/>
      </c>
      <c r="C213" s="85" t="str">
        <f aca="false">IF(A213="","",IFERROR(INDEX(Students!$E$5:$E$304,MATCH(A213,Students!$A$5:$A$304,0)),""))</f>
        <v/>
      </c>
      <c r="D213" s="85" t="str">
        <f aca="false">IF(A213="","",IFERROR(INDEX(Students!$F$5:$F$304,MATCH(A213,Students!$A$5:$A$304,0)),""))</f>
        <v/>
      </c>
      <c r="E213" s="52"/>
      <c r="F213" s="97"/>
      <c r="G213" s="97"/>
      <c r="H213" s="91"/>
      <c r="I213" s="98" t="str">
        <f aca="false">IF(A213="","",F213-G213)</f>
        <v/>
      </c>
      <c r="J213" s="85" t="str">
        <f aca="false">IF(A213="","",IF(I213&lt;=0,"Paid",IF(G213&gt;0,"Partial","Unpaid")))</f>
        <v/>
      </c>
      <c r="K213" s="99"/>
    </row>
    <row r="214" customFormat="false" ht="19.5" hidden="false" customHeight="true" outlineLevel="0" collapsed="false">
      <c r="A214" s="52"/>
      <c r="B214" s="89" t="str">
        <f aca="false">IF(A214="","",IFERROR(INDEX(Students!$B$5:$B$304,MATCH(A214,Students!$A$5:$A$304,0)),"ID not found"))</f>
        <v/>
      </c>
      <c r="C214" s="85" t="str">
        <f aca="false">IF(A214="","",IFERROR(INDEX(Students!$E$5:$E$304,MATCH(A214,Students!$A$5:$A$304,0)),""))</f>
        <v/>
      </c>
      <c r="D214" s="85" t="str">
        <f aca="false">IF(A214="","",IFERROR(INDEX(Students!$F$5:$F$304,MATCH(A214,Students!$A$5:$A$304,0)),""))</f>
        <v/>
      </c>
      <c r="E214" s="52"/>
      <c r="F214" s="97"/>
      <c r="G214" s="97"/>
      <c r="H214" s="91"/>
      <c r="I214" s="98" t="str">
        <f aca="false">IF(A214="","",F214-G214)</f>
        <v/>
      </c>
      <c r="J214" s="85" t="str">
        <f aca="false">IF(A214="","",IF(I214&lt;=0,"Paid",IF(G214&gt;0,"Partial","Unpaid")))</f>
        <v/>
      </c>
      <c r="K214" s="99"/>
    </row>
    <row r="215" customFormat="false" ht="19.5" hidden="false" customHeight="true" outlineLevel="0" collapsed="false">
      <c r="A215" s="52"/>
      <c r="B215" s="89" t="str">
        <f aca="false">IF(A215="","",IFERROR(INDEX(Students!$B$5:$B$304,MATCH(A215,Students!$A$5:$A$304,0)),"ID not found"))</f>
        <v/>
      </c>
      <c r="C215" s="85" t="str">
        <f aca="false">IF(A215="","",IFERROR(INDEX(Students!$E$5:$E$304,MATCH(A215,Students!$A$5:$A$304,0)),""))</f>
        <v/>
      </c>
      <c r="D215" s="85" t="str">
        <f aca="false">IF(A215="","",IFERROR(INDEX(Students!$F$5:$F$304,MATCH(A215,Students!$A$5:$A$304,0)),""))</f>
        <v/>
      </c>
      <c r="E215" s="52"/>
      <c r="F215" s="97"/>
      <c r="G215" s="97"/>
      <c r="H215" s="91"/>
      <c r="I215" s="98" t="str">
        <f aca="false">IF(A215="","",F215-G215)</f>
        <v/>
      </c>
      <c r="J215" s="85" t="str">
        <f aca="false">IF(A215="","",IF(I215&lt;=0,"Paid",IF(G215&gt;0,"Partial","Unpaid")))</f>
        <v/>
      </c>
      <c r="K215" s="99"/>
    </row>
    <row r="216" customFormat="false" ht="19.5" hidden="false" customHeight="true" outlineLevel="0" collapsed="false">
      <c r="A216" s="52"/>
      <c r="B216" s="89" t="str">
        <f aca="false">IF(A216="","",IFERROR(INDEX(Students!$B$5:$B$304,MATCH(A216,Students!$A$5:$A$304,0)),"ID not found"))</f>
        <v/>
      </c>
      <c r="C216" s="85" t="str">
        <f aca="false">IF(A216="","",IFERROR(INDEX(Students!$E$5:$E$304,MATCH(A216,Students!$A$5:$A$304,0)),""))</f>
        <v/>
      </c>
      <c r="D216" s="85" t="str">
        <f aca="false">IF(A216="","",IFERROR(INDEX(Students!$F$5:$F$304,MATCH(A216,Students!$A$5:$A$304,0)),""))</f>
        <v/>
      </c>
      <c r="E216" s="52"/>
      <c r="F216" s="97"/>
      <c r="G216" s="97"/>
      <c r="H216" s="91"/>
      <c r="I216" s="98" t="str">
        <f aca="false">IF(A216="","",F216-G216)</f>
        <v/>
      </c>
      <c r="J216" s="85" t="str">
        <f aca="false">IF(A216="","",IF(I216&lt;=0,"Paid",IF(G216&gt;0,"Partial","Unpaid")))</f>
        <v/>
      </c>
      <c r="K216" s="99"/>
    </row>
    <row r="217" customFormat="false" ht="19.5" hidden="false" customHeight="true" outlineLevel="0" collapsed="false">
      <c r="A217" s="52"/>
      <c r="B217" s="89" t="str">
        <f aca="false">IF(A217="","",IFERROR(INDEX(Students!$B$5:$B$304,MATCH(A217,Students!$A$5:$A$304,0)),"ID not found"))</f>
        <v/>
      </c>
      <c r="C217" s="85" t="str">
        <f aca="false">IF(A217="","",IFERROR(INDEX(Students!$E$5:$E$304,MATCH(A217,Students!$A$5:$A$304,0)),""))</f>
        <v/>
      </c>
      <c r="D217" s="85" t="str">
        <f aca="false">IF(A217="","",IFERROR(INDEX(Students!$F$5:$F$304,MATCH(A217,Students!$A$5:$A$304,0)),""))</f>
        <v/>
      </c>
      <c r="E217" s="52"/>
      <c r="F217" s="97"/>
      <c r="G217" s="97"/>
      <c r="H217" s="91"/>
      <c r="I217" s="98" t="str">
        <f aca="false">IF(A217="","",F217-G217)</f>
        <v/>
      </c>
      <c r="J217" s="85" t="str">
        <f aca="false">IF(A217="","",IF(I217&lt;=0,"Paid",IF(G217&gt;0,"Partial","Unpaid")))</f>
        <v/>
      </c>
      <c r="K217" s="99"/>
    </row>
    <row r="218" customFormat="false" ht="19.5" hidden="false" customHeight="true" outlineLevel="0" collapsed="false">
      <c r="A218" s="52"/>
      <c r="B218" s="89" t="str">
        <f aca="false">IF(A218="","",IFERROR(INDEX(Students!$B$5:$B$304,MATCH(A218,Students!$A$5:$A$304,0)),"ID not found"))</f>
        <v/>
      </c>
      <c r="C218" s="85" t="str">
        <f aca="false">IF(A218="","",IFERROR(INDEX(Students!$E$5:$E$304,MATCH(A218,Students!$A$5:$A$304,0)),""))</f>
        <v/>
      </c>
      <c r="D218" s="85" t="str">
        <f aca="false">IF(A218="","",IFERROR(INDEX(Students!$F$5:$F$304,MATCH(A218,Students!$A$5:$A$304,0)),""))</f>
        <v/>
      </c>
      <c r="E218" s="52"/>
      <c r="F218" s="97"/>
      <c r="G218" s="97"/>
      <c r="H218" s="91"/>
      <c r="I218" s="98" t="str">
        <f aca="false">IF(A218="","",F218-G218)</f>
        <v/>
      </c>
      <c r="J218" s="85" t="str">
        <f aca="false">IF(A218="","",IF(I218&lt;=0,"Paid",IF(G218&gt;0,"Partial","Unpaid")))</f>
        <v/>
      </c>
      <c r="K218" s="99"/>
    </row>
    <row r="219" customFormat="false" ht="19.5" hidden="false" customHeight="true" outlineLevel="0" collapsed="false">
      <c r="A219" s="52"/>
      <c r="B219" s="89" t="str">
        <f aca="false">IF(A219="","",IFERROR(INDEX(Students!$B$5:$B$304,MATCH(A219,Students!$A$5:$A$304,0)),"ID not found"))</f>
        <v/>
      </c>
      <c r="C219" s="85" t="str">
        <f aca="false">IF(A219="","",IFERROR(INDEX(Students!$E$5:$E$304,MATCH(A219,Students!$A$5:$A$304,0)),""))</f>
        <v/>
      </c>
      <c r="D219" s="85" t="str">
        <f aca="false">IF(A219="","",IFERROR(INDEX(Students!$F$5:$F$304,MATCH(A219,Students!$A$5:$A$304,0)),""))</f>
        <v/>
      </c>
      <c r="E219" s="52"/>
      <c r="F219" s="97"/>
      <c r="G219" s="97"/>
      <c r="H219" s="91"/>
      <c r="I219" s="98" t="str">
        <f aca="false">IF(A219="","",F219-G219)</f>
        <v/>
      </c>
      <c r="J219" s="85" t="str">
        <f aca="false">IF(A219="","",IF(I219&lt;=0,"Paid",IF(G219&gt;0,"Partial","Unpaid")))</f>
        <v/>
      </c>
      <c r="K219" s="99"/>
    </row>
    <row r="220" customFormat="false" ht="19.5" hidden="false" customHeight="true" outlineLevel="0" collapsed="false">
      <c r="A220" s="52"/>
      <c r="B220" s="89" t="str">
        <f aca="false">IF(A220="","",IFERROR(INDEX(Students!$B$5:$B$304,MATCH(A220,Students!$A$5:$A$304,0)),"ID not found"))</f>
        <v/>
      </c>
      <c r="C220" s="85" t="str">
        <f aca="false">IF(A220="","",IFERROR(INDEX(Students!$E$5:$E$304,MATCH(A220,Students!$A$5:$A$304,0)),""))</f>
        <v/>
      </c>
      <c r="D220" s="85" t="str">
        <f aca="false">IF(A220="","",IFERROR(INDEX(Students!$F$5:$F$304,MATCH(A220,Students!$A$5:$A$304,0)),""))</f>
        <v/>
      </c>
      <c r="E220" s="52"/>
      <c r="F220" s="97"/>
      <c r="G220" s="97"/>
      <c r="H220" s="91"/>
      <c r="I220" s="98" t="str">
        <f aca="false">IF(A220="","",F220-G220)</f>
        <v/>
      </c>
      <c r="J220" s="85" t="str">
        <f aca="false">IF(A220="","",IF(I220&lt;=0,"Paid",IF(G220&gt;0,"Partial","Unpaid")))</f>
        <v/>
      </c>
      <c r="K220" s="99"/>
    </row>
    <row r="221" customFormat="false" ht="19.5" hidden="false" customHeight="true" outlineLevel="0" collapsed="false">
      <c r="A221" s="52"/>
      <c r="B221" s="89" t="str">
        <f aca="false">IF(A221="","",IFERROR(INDEX(Students!$B$5:$B$304,MATCH(A221,Students!$A$5:$A$304,0)),"ID not found"))</f>
        <v/>
      </c>
      <c r="C221" s="85" t="str">
        <f aca="false">IF(A221="","",IFERROR(INDEX(Students!$E$5:$E$304,MATCH(A221,Students!$A$5:$A$304,0)),""))</f>
        <v/>
      </c>
      <c r="D221" s="85" t="str">
        <f aca="false">IF(A221="","",IFERROR(INDEX(Students!$F$5:$F$304,MATCH(A221,Students!$A$5:$A$304,0)),""))</f>
        <v/>
      </c>
      <c r="E221" s="52"/>
      <c r="F221" s="97"/>
      <c r="G221" s="97"/>
      <c r="H221" s="91"/>
      <c r="I221" s="98" t="str">
        <f aca="false">IF(A221="","",F221-G221)</f>
        <v/>
      </c>
      <c r="J221" s="85" t="str">
        <f aca="false">IF(A221="","",IF(I221&lt;=0,"Paid",IF(G221&gt;0,"Partial","Unpaid")))</f>
        <v/>
      </c>
      <c r="K221" s="99"/>
    </row>
    <row r="222" customFormat="false" ht="19.5" hidden="false" customHeight="true" outlineLevel="0" collapsed="false">
      <c r="A222" s="52"/>
      <c r="B222" s="89" t="str">
        <f aca="false">IF(A222="","",IFERROR(INDEX(Students!$B$5:$B$304,MATCH(A222,Students!$A$5:$A$304,0)),"ID not found"))</f>
        <v/>
      </c>
      <c r="C222" s="85" t="str">
        <f aca="false">IF(A222="","",IFERROR(INDEX(Students!$E$5:$E$304,MATCH(A222,Students!$A$5:$A$304,0)),""))</f>
        <v/>
      </c>
      <c r="D222" s="85" t="str">
        <f aca="false">IF(A222="","",IFERROR(INDEX(Students!$F$5:$F$304,MATCH(A222,Students!$A$5:$A$304,0)),""))</f>
        <v/>
      </c>
      <c r="E222" s="52"/>
      <c r="F222" s="97"/>
      <c r="G222" s="97"/>
      <c r="H222" s="91"/>
      <c r="I222" s="98" t="str">
        <f aca="false">IF(A222="","",F222-G222)</f>
        <v/>
      </c>
      <c r="J222" s="85" t="str">
        <f aca="false">IF(A222="","",IF(I222&lt;=0,"Paid",IF(G222&gt;0,"Partial","Unpaid")))</f>
        <v/>
      </c>
      <c r="K222" s="99"/>
    </row>
    <row r="223" customFormat="false" ht="19.5" hidden="false" customHeight="true" outlineLevel="0" collapsed="false">
      <c r="A223" s="52"/>
      <c r="B223" s="89" t="str">
        <f aca="false">IF(A223="","",IFERROR(INDEX(Students!$B$5:$B$304,MATCH(A223,Students!$A$5:$A$304,0)),"ID not found"))</f>
        <v/>
      </c>
      <c r="C223" s="85" t="str">
        <f aca="false">IF(A223="","",IFERROR(INDEX(Students!$E$5:$E$304,MATCH(A223,Students!$A$5:$A$304,0)),""))</f>
        <v/>
      </c>
      <c r="D223" s="85" t="str">
        <f aca="false">IF(A223="","",IFERROR(INDEX(Students!$F$5:$F$304,MATCH(A223,Students!$A$5:$A$304,0)),""))</f>
        <v/>
      </c>
      <c r="E223" s="52"/>
      <c r="F223" s="97"/>
      <c r="G223" s="97"/>
      <c r="H223" s="91"/>
      <c r="I223" s="98" t="str">
        <f aca="false">IF(A223="","",F223-G223)</f>
        <v/>
      </c>
      <c r="J223" s="85" t="str">
        <f aca="false">IF(A223="","",IF(I223&lt;=0,"Paid",IF(G223&gt;0,"Partial","Unpaid")))</f>
        <v/>
      </c>
      <c r="K223" s="99"/>
    </row>
    <row r="224" customFormat="false" ht="19.5" hidden="false" customHeight="true" outlineLevel="0" collapsed="false">
      <c r="A224" s="52"/>
      <c r="B224" s="89" t="str">
        <f aca="false">IF(A224="","",IFERROR(INDEX(Students!$B$5:$B$304,MATCH(A224,Students!$A$5:$A$304,0)),"ID not found"))</f>
        <v/>
      </c>
      <c r="C224" s="85" t="str">
        <f aca="false">IF(A224="","",IFERROR(INDEX(Students!$E$5:$E$304,MATCH(A224,Students!$A$5:$A$304,0)),""))</f>
        <v/>
      </c>
      <c r="D224" s="85" t="str">
        <f aca="false">IF(A224="","",IFERROR(INDEX(Students!$F$5:$F$304,MATCH(A224,Students!$A$5:$A$304,0)),""))</f>
        <v/>
      </c>
      <c r="E224" s="52"/>
      <c r="F224" s="97"/>
      <c r="G224" s="97"/>
      <c r="H224" s="91"/>
      <c r="I224" s="98" t="str">
        <f aca="false">IF(A224="","",F224-G224)</f>
        <v/>
      </c>
      <c r="J224" s="85" t="str">
        <f aca="false">IF(A224="","",IF(I224&lt;=0,"Paid",IF(G224&gt;0,"Partial","Unpaid")))</f>
        <v/>
      </c>
      <c r="K224" s="99"/>
    </row>
    <row r="225" customFormat="false" ht="19.5" hidden="false" customHeight="true" outlineLevel="0" collapsed="false">
      <c r="A225" s="52"/>
      <c r="B225" s="89" t="str">
        <f aca="false">IF(A225="","",IFERROR(INDEX(Students!$B$5:$B$304,MATCH(A225,Students!$A$5:$A$304,0)),"ID not found"))</f>
        <v/>
      </c>
      <c r="C225" s="85" t="str">
        <f aca="false">IF(A225="","",IFERROR(INDEX(Students!$E$5:$E$304,MATCH(A225,Students!$A$5:$A$304,0)),""))</f>
        <v/>
      </c>
      <c r="D225" s="85" t="str">
        <f aca="false">IF(A225="","",IFERROR(INDEX(Students!$F$5:$F$304,MATCH(A225,Students!$A$5:$A$304,0)),""))</f>
        <v/>
      </c>
      <c r="E225" s="52"/>
      <c r="F225" s="97"/>
      <c r="G225" s="97"/>
      <c r="H225" s="91"/>
      <c r="I225" s="98" t="str">
        <f aca="false">IF(A225="","",F225-G225)</f>
        <v/>
      </c>
      <c r="J225" s="85" t="str">
        <f aca="false">IF(A225="","",IF(I225&lt;=0,"Paid",IF(G225&gt;0,"Partial","Unpaid")))</f>
        <v/>
      </c>
      <c r="K225" s="99"/>
    </row>
    <row r="226" customFormat="false" ht="19.5" hidden="false" customHeight="true" outlineLevel="0" collapsed="false">
      <c r="A226" s="52"/>
      <c r="B226" s="89" t="str">
        <f aca="false">IF(A226="","",IFERROR(INDEX(Students!$B$5:$B$304,MATCH(A226,Students!$A$5:$A$304,0)),"ID not found"))</f>
        <v/>
      </c>
      <c r="C226" s="85" t="str">
        <f aca="false">IF(A226="","",IFERROR(INDEX(Students!$E$5:$E$304,MATCH(A226,Students!$A$5:$A$304,0)),""))</f>
        <v/>
      </c>
      <c r="D226" s="85" t="str">
        <f aca="false">IF(A226="","",IFERROR(INDEX(Students!$F$5:$F$304,MATCH(A226,Students!$A$5:$A$304,0)),""))</f>
        <v/>
      </c>
      <c r="E226" s="52"/>
      <c r="F226" s="97"/>
      <c r="G226" s="97"/>
      <c r="H226" s="91"/>
      <c r="I226" s="98" t="str">
        <f aca="false">IF(A226="","",F226-G226)</f>
        <v/>
      </c>
      <c r="J226" s="85" t="str">
        <f aca="false">IF(A226="","",IF(I226&lt;=0,"Paid",IF(G226&gt;0,"Partial","Unpaid")))</f>
        <v/>
      </c>
      <c r="K226" s="99"/>
    </row>
    <row r="227" customFormat="false" ht="19.5" hidden="false" customHeight="true" outlineLevel="0" collapsed="false">
      <c r="A227" s="52"/>
      <c r="B227" s="89" t="str">
        <f aca="false">IF(A227="","",IFERROR(INDEX(Students!$B$5:$B$304,MATCH(A227,Students!$A$5:$A$304,0)),"ID not found"))</f>
        <v/>
      </c>
      <c r="C227" s="85" t="str">
        <f aca="false">IF(A227="","",IFERROR(INDEX(Students!$E$5:$E$304,MATCH(A227,Students!$A$5:$A$304,0)),""))</f>
        <v/>
      </c>
      <c r="D227" s="85" t="str">
        <f aca="false">IF(A227="","",IFERROR(INDEX(Students!$F$5:$F$304,MATCH(A227,Students!$A$5:$A$304,0)),""))</f>
        <v/>
      </c>
      <c r="E227" s="52"/>
      <c r="F227" s="97"/>
      <c r="G227" s="97"/>
      <c r="H227" s="91"/>
      <c r="I227" s="98" t="str">
        <f aca="false">IF(A227="","",F227-G227)</f>
        <v/>
      </c>
      <c r="J227" s="85" t="str">
        <f aca="false">IF(A227="","",IF(I227&lt;=0,"Paid",IF(G227&gt;0,"Partial","Unpaid")))</f>
        <v/>
      </c>
      <c r="K227" s="99"/>
    </row>
    <row r="228" customFormat="false" ht="19.5" hidden="false" customHeight="true" outlineLevel="0" collapsed="false">
      <c r="A228" s="52"/>
      <c r="B228" s="89" t="str">
        <f aca="false">IF(A228="","",IFERROR(INDEX(Students!$B$5:$B$304,MATCH(A228,Students!$A$5:$A$304,0)),"ID not found"))</f>
        <v/>
      </c>
      <c r="C228" s="85" t="str">
        <f aca="false">IF(A228="","",IFERROR(INDEX(Students!$E$5:$E$304,MATCH(A228,Students!$A$5:$A$304,0)),""))</f>
        <v/>
      </c>
      <c r="D228" s="85" t="str">
        <f aca="false">IF(A228="","",IFERROR(INDEX(Students!$F$5:$F$304,MATCH(A228,Students!$A$5:$A$304,0)),""))</f>
        <v/>
      </c>
      <c r="E228" s="52"/>
      <c r="F228" s="97"/>
      <c r="G228" s="97"/>
      <c r="H228" s="91"/>
      <c r="I228" s="98" t="str">
        <f aca="false">IF(A228="","",F228-G228)</f>
        <v/>
      </c>
      <c r="J228" s="85" t="str">
        <f aca="false">IF(A228="","",IF(I228&lt;=0,"Paid",IF(G228&gt;0,"Partial","Unpaid")))</f>
        <v/>
      </c>
      <c r="K228" s="99"/>
    </row>
    <row r="229" customFormat="false" ht="19.5" hidden="false" customHeight="true" outlineLevel="0" collapsed="false">
      <c r="A229" s="52"/>
      <c r="B229" s="89" t="str">
        <f aca="false">IF(A229="","",IFERROR(INDEX(Students!$B$5:$B$304,MATCH(A229,Students!$A$5:$A$304,0)),"ID not found"))</f>
        <v/>
      </c>
      <c r="C229" s="85" t="str">
        <f aca="false">IF(A229="","",IFERROR(INDEX(Students!$E$5:$E$304,MATCH(A229,Students!$A$5:$A$304,0)),""))</f>
        <v/>
      </c>
      <c r="D229" s="85" t="str">
        <f aca="false">IF(A229="","",IFERROR(INDEX(Students!$F$5:$F$304,MATCH(A229,Students!$A$5:$A$304,0)),""))</f>
        <v/>
      </c>
      <c r="E229" s="52"/>
      <c r="F229" s="97"/>
      <c r="G229" s="97"/>
      <c r="H229" s="91"/>
      <c r="I229" s="98" t="str">
        <f aca="false">IF(A229="","",F229-G229)</f>
        <v/>
      </c>
      <c r="J229" s="85" t="str">
        <f aca="false">IF(A229="","",IF(I229&lt;=0,"Paid",IF(G229&gt;0,"Partial","Unpaid")))</f>
        <v/>
      </c>
      <c r="K229" s="99"/>
    </row>
    <row r="230" customFormat="false" ht="19.5" hidden="false" customHeight="true" outlineLevel="0" collapsed="false">
      <c r="A230" s="52"/>
      <c r="B230" s="89" t="str">
        <f aca="false">IF(A230="","",IFERROR(INDEX(Students!$B$5:$B$304,MATCH(A230,Students!$A$5:$A$304,0)),"ID not found"))</f>
        <v/>
      </c>
      <c r="C230" s="85" t="str">
        <f aca="false">IF(A230="","",IFERROR(INDEX(Students!$E$5:$E$304,MATCH(A230,Students!$A$5:$A$304,0)),""))</f>
        <v/>
      </c>
      <c r="D230" s="85" t="str">
        <f aca="false">IF(A230="","",IFERROR(INDEX(Students!$F$5:$F$304,MATCH(A230,Students!$A$5:$A$304,0)),""))</f>
        <v/>
      </c>
      <c r="E230" s="52"/>
      <c r="F230" s="97"/>
      <c r="G230" s="97"/>
      <c r="H230" s="91"/>
      <c r="I230" s="98" t="str">
        <f aca="false">IF(A230="","",F230-G230)</f>
        <v/>
      </c>
      <c r="J230" s="85" t="str">
        <f aca="false">IF(A230="","",IF(I230&lt;=0,"Paid",IF(G230&gt;0,"Partial","Unpaid")))</f>
        <v/>
      </c>
      <c r="K230" s="99"/>
    </row>
    <row r="231" customFormat="false" ht="19.5" hidden="false" customHeight="true" outlineLevel="0" collapsed="false">
      <c r="A231" s="52"/>
      <c r="B231" s="89" t="str">
        <f aca="false">IF(A231="","",IFERROR(INDEX(Students!$B$5:$B$304,MATCH(A231,Students!$A$5:$A$304,0)),"ID not found"))</f>
        <v/>
      </c>
      <c r="C231" s="85" t="str">
        <f aca="false">IF(A231="","",IFERROR(INDEX(Students!$E$5:$E$304,MATCH(A231,Students!$A$5:$A$304,0)),""))</f>
        <v/>
      </c>
      <c r="D231" s="85" t="str">
        <f aca="false">IF(A231="","",IFERROR(INDEX(Students!$F$5:$F$304,MATCH(A231,Students!$A$5:$A$304,0)),""))</f>
        <v/>
      </c>
      <c r="E231" s="52"/>
      <c r="F231" s="97"/>
      <c r="G231" s="97"/>
      <c r="H231" s="91"/>
      <c r="I231" s="98" t="str">
        <f aca="false">IF(A231="","",F231-G231)</f>
        <v/>
      </c>
      <c r="J231" s="85" t="str">
        <f aca="false">IF(A231="","",IF(I231&lt;=0,"Paid",IF(G231&gt;0,"Partial","Unpaid")))</f>
        <v/>
      </c>
      <c r="K231" s="99"/>
    </row>
    <row r="232" customFormat="false" ht="19.5" hidden="false" customHeight="true" outlineLevel="0" collapsed="false">
      <c r="A232" s="52"/>
      <c r="B232" s="89" t="str">
        <f aca="false">IF(A232="","",IFERROR(INDEX(Students!$B$5:$B$304,MATCH(A232,Students!$A$5:$A$304,0)),"ID not found"))</f>
        <v/>
      </c>
      <c r="C232" s="85" t="str">
        <f aca="false">IF(A232="","",IFERROR(INDEX(Students!$E$5:$E$304,MATCH(A232,Students!$A$5:$A$304,0)),""))</f>
        <v/>
      </c>
      <c r="D232" s="85" t="str">
        <f aca="false">IF(A232="","",IFERROR(INDEX(Students!$F$5:$F$304,MATCH(A232,Students!$A$5:$A$304,0)),""))</f>
        <v/>
      </c>
      <c r="E232" s="52"/>
      <c r="F232" s="97"/>
      <c r="G232" s="97"/>
      <c r="H232" s="91"/>
      <c r="I232" s="98" t="str">
        <f aca="false">IF(A232="","",F232-G232)</f>
        <v/>
      </c>
      <c r="J232" s="85" t="str">
        <f aca="false">IF(A232="","",IF(I232&lt;=0,"Paid",IF(G232&gt;0,"Partial","Unpaid")))</f>
        <v/>
      </c>
      <c r="K232" s="99"/>
    </row>
    <row r="233" customFormat="false" ht="19.5" hidden="false" customHeight="true" outlineLevel="0" collapsed="false">
      <c r="A233" s="52"/>
      <c r="B233" s="89" t="str">
        <f aca="false">IF(A233="","",IFERROR(INDEX(Students!$B$5:$B$304,MATCH(A233,Students!$A$5:$A$304,0)),"ID not found"))</f>
        <v/>
      </c>
      <c r="C233" s="85" t="str">
        <f aca="false">IF(A233="","",IFERROR(INDEX(Students!$E$5:$E$304,MATCH(A233,Students!$A$5:$A$304,0)),""))</f>
        <v/>
      </c>
      <c r="D233" s="85" t="str">
        <f aca="false">IF(A233="","",IFERROR(INDEX(Students!$F$5:$F$304,MATCH(A233,Students!$A$5:$A$304,0)),""))</f>
        <v/>
      </c>
      <c r="E233" s="52"/>
      <c r="F233" s="97"/>
      <c r="G233" s="97"/>
      <c r="H233" s="91"/>
      <c r="I233" s="98" t="str">
        <f aca="false">IF(A233="","",F233-G233)</f>
        <v/>
      </c>
      <c r="J233" s="85" t="str">
        <f aca="false">IF(A233="","",IF(I233&lt;=0,"Paid",IF(G233&gt;0,"Partial","Unpaid")))</f>
        <v/>
      </c>
      <c r="K233" s="99"/>
    </row>
    <row r="234" customFormat="false" ht="19.5" hidden="false" customHeight="true" outlineLevel="0" collapsed="false">
      <c r="A234" s="52"/>
      <c r="B234" s="89" t="str">
        <f aca="false">IF(A234="","",IFERROR(INDEX(Students!$B$5:$B$304,MATCH(A234,Students!$A$5:$A$304,0)),"ID not found"))</f>
        <v/>
      </c>
      <c r="C234" s="85" t="str">
        <f aca="false">IF(A234="","",IFERROR(INDEX(Students!$E$5:$E$304,MATCH(A234,Students!$A$5:$A$304,0)),""))</f>
        <v/>
      </c>
      <c r="D234" s="85" t="str">
        <f aca="false">IF(A234="","",IFERROR(INDEX(Students!$F$5:$F$304,MATCH(A234,Students!$A$5:$A$304,0)),""))</f>
        <v/>
      </c>
      <c r="E234" s="52"/>
      <c r="F234" s="97"/>
      <c r="G234" s="97"/>
      <c r="H234" s="91"/>
      <c r="I234" s="98" t="str">
        <f aca="false">IF(A234="","",F234-G234)</f>
        <v/>
      </c>
      <c r="J234" s="85" t="str">
        <f aca="false">IF(A234="","",IF(I234&lt;=0,"Paid",IF(G234&gt;0,"Partial","Unpaid")))</f>
        <v/>
      </c>
      <c r="K234" s="99"/>
    </row>
    <row r="235" customFormat="false" ht="19.5" hidden="false" customHeight="true" outlineLevel="0" collapsed="false">
      <c r="A235" s="52"/>
      <c r="B235" s="89" t="str">
        <f aca="false">IF(A235="","",IFERROR(INDEX(Students!$B$5:$B$304,MATCH(A235,Students!$A$5:$A$304,0)),"ID not found"))</f>
        <v/>
      </c>
      <c r="C235" s="85" t="str">
        <f aca="false">IF(A235="","",IFERROR(INDEX(Students!$E$5:$E$304,MATCH(A235,Students!$A$5:$A$304,0)),""))</f>
        <v/>
      </c>
      <c r="D235" s="85" t="str">
        <f aca="false">IF(A235="","",IFERROR(INDEX(Students!$F$5:$F$304,MATCH(A235,Students!$A$5:$A$304,0)),""))</f>
        <v/>
      </c>
      <c r="E235" s="52"/>
      <c r="F235" s="97"/>
      <c r="G235" s="97"/>
      <c r="H235" s="91"/>
      <c r="I235" s="98" t="str">
        <f aca="false">IF(A235="","",F235-G235)</f>
        <v/>
      </c>
      <c r="J235" s="85" t="str">
        <f aca="false">IF(A235="","",IF(I235&lt;=0,"Paid",IF(G235&gt;0,"Partial","Unpaid")))</f>
        <v/>
      </c>
      <c r="K235" s="99"/>
    </row>
    <row r="236" customFormat="false" ht="19.5" hidden="false" customHeight="true" outlineLevel="0" collapsed="false">
      <c r="A236" s="52"/>
      <c r="B236" s="89" t="str">
        <f aca="false">IF(A236="","",IFERROR(INDEX(Students!$B$5:$B$304,MATCH(A236,Students!$A$5:$A$304,0)),"ID not found"))</f>
        <v/>
      </c>
      <c r="C236" s="85" t="str">
        <f aca="false">IF(A236="","",IFERROR(INDEX(Students!$E$5:$E$304,MATCH(A236,Students!$A$5:$A$304,0)),""))</f>
        <v/>
      </c>
      <c r="D236" s="85" t="str">
        <f aca="false">IF(A236="","",IFERROR(INDEX(Students!$F$5:$F$304,MATCH(A236,Students!$A$5:$A$304,0)),""))</f>
        <v/>
      </c>
      <c r="E236" s="52"/>
      <c r="F236" s="97"/>
      <c r="G236" s="97"/>
      <c r="H236" s="91"/>
      <c r="I236" s="98" t="str">
        <f aca="false">IF(A236="","",F236-G236)</f>
        <v/>
      </c>
      <c r="J236" s="85" t="str">
        <f aca="false">IF(A236="","",IF(I236&lt;=0,"Paid",IF(G236&gt;0,"Partial","Unpaid")))</f>
        <v/>
      </c>
      <c r="K236" s="99"/>
    </row>
    <row r="237" customFormat="false" ht="19.5" hidden="false" customHeight="true" outlineLevel="0" collapsed="false">
      <c r="A237" s="52"/>
      <c r="B237" s="89" t="str">
        <f aca="false">IF(A237="","",IFERROR(INDEX(Students!$B$5:$B$304,MATCH(A237,Students!$A$5:$A$304,0)),"ID not found"))</f>
        <v/>
      </c>
      <c r="C237" s="85" t="str">
        <f aca="false">IF(A237="","",IFERROR(INDEX(Students!$E$5:$E$304,MATCH(A237,Students!$A$5:$A$304,0)),""))</f>
        <v/>
      </c>
      <c r="D237" s="85" t="str">
        <f aca="false">IF(A237="","",IFERROR(INDEX(Students!$F$5:$F$304,MATCH(A237,Students!$A$5:$A$304,0)),""))</f>
        <v/>
      </c>
      <c r="E237" s="52"/>
      <c r="F237" s="97"/>
      <c r="G237" s="97"/>
      <c r="H237" s="91"/>
      <c r="I237" s="98" t="str">
        <f aca="false">IF(A237="","",F237-G237)</f>
        <v/>
      </c>
      <c r="J237" s="85" t="str">
        <f aca="false">IF(A237="","",IF(I237&lt;=0,"Paid",IF(G237&gt;0,"Partial","Unpaid")))</f>
        <v/>
      </c>
      <c r="K237" s="99"/>
    </row>
    <row r="238" customFormat="false" ht="19.5" hidden="false" customHeight="true" outlineLevel="0" collapsed="false">
      <c r="A238" s="52"/>
      <c r="B238" s="89" t="str">
        <f aca="false">IF(A238="","",IFERROR(INDEX(Students!$B$5:$B$304,MATCH(A238,Students!$A$5:$A$304,0)),"ID not found"))</f>
        <v/>
      </c>
      <c r="C238" s="85" t="str">
        <f aca="false">IF(A238="","",IFERROR(INDEX(Students!$E$5:$E$304,MATCH(A238,Students!$A$5:$A$304,0)),""))</f>
        <v/>
      </c>
      <c r="D238" s="85" t="str">
        <f aca="false">IF(A238="","",IFERROR(INDEX(Students!$F$5:$F$304,MATCH(A238,Students!$A$5:$A$304,0)),""))</f>
        <v/>
      </c>
      <c r="E238" s="52"/>
      <c r="F238" s="97"/>
      <c r="G238" s="97"/>
      <c r="H238" s="91"/>
      <c r="I238" s="98" t="str">
        <f aca="false">IF(A238="","",F238-G238)</f>
        <v/>
      </c>
      <c r="J238" s="85" t="str">
        <f aca="false">IF(A238="","",IF(I238&lt;=0,"Paid",IF(G238&gt;0,"Partial","Unpaid")))</f>
        <v/>
      </c>
      <c r="K238" s="99"/>
    </row>
    <row r="239" customFormat="false" ht="19.5" hidden="false" customHeight="true" outlineLevel="0" collapsed="false">
      <c r="A239" s="52"/>
      <c r="B239" s="89" t="str">
        <f aca="false">IF(A239="","",IFERROR(INDEX(Students!$B$5:$B$304,MATCH(A239,Students!$A$5:$A$304,0)),"ID not found"))</f>
        <v/>
      </c>
      <c r="C239" s="85" t="str">
        <f aca="false">IF(A239="","",IFERROR(INDEX(Students!$E$5:$E$304,MATCH(A239,Students!$A$5:$A$304,0)),""))</f>
        <v/>
      </c>
      <c r="D239" s="85" t="str">
        <f aca="false">IF(A239="","",IFERROR(INDEX(Students!$F$5:$F$304,MATCH(A239,Students!$A$5:$A$304,0)),""))</f>
        <v/>
      </c>
      <c r="E239" s="52"/>
      <c r="F239" s="97"/>
      <c r="G239" s="97"/>
      <c r="H239" s="91"/>
      <c r="I239" s="98" t="str">
        <f aca="false">IF(A239="","",F239-G239)</f>
        <v/>
      </c>
      <c r="J239" s="85" t="str">
        <f aca="false">IF(A239="","",IF(I239&lt;=0,"Paid",IF(G239&gt;0,"Partial","Unpaid")))</f>
        <v/>
      </c>
      <c r="K239" s="99"/>
    </row>
    <row r="240" customFormat="false" ht="19.5" hidden="false" customHeight="true" outlineLevel="0" collapsed="false">
      <c r="A240" s="52"/>
      <c r="B240" s="89" t="str">
        <f aca="false">IF(A240="","",IFERROR(INDEX(Students!$B$5:$B$304,MATCH(A240,Students!$A$5:$A$304,0)),"ID not found"))</f>
        <v/>
      </c>
      <c r="C240" s="85" t="str">
        <f aca="false">IF(A240="","",IFERROR(INDEX(Students!$E$5:$E$304,MATCH(A240,Students!$A$5:$A$304,0)),""))</f>
        <v/>
      </c>
      <c r="D240" s="85" t="str">
        <f aca="false">IF(A240="","",IFERROR(INDEX(Students!$F$5:$F$304,MATCH(A240,Students!$A$5:$A$304,0)),""))</f>
        <v/>
      </c>
      <c r="E240" s="52"/>
      <c r="F240" s="97"/>
      <c r="G240" s="97"/>
      <c r="H240" s="91"/>
      <c r="I240" s="98" t="str">
        <f aca="false">IF(A240="","",F240-G240)</f>
        <v/>
      </c>
      <c r="J240" s="85" t="str">
        <f aca="false">IF(A240="","",IF(I240&lt;=0,"Paid",IF(G240&gt;0,"Partial","Unpaid")))</f>
        <v/>
      </c>
      <c r="K240" s="99"/>
    </row>
    <row r="241" customFormat="false" ht="19.5" hidden="false" customHeight="true" outlineLevel="0" collapsed="false">
      <c r="A241" s="52"/>
      <c r="B241" s="89" t="str">
        <f aca="false">IF(A241="","",IFERROR(INDEX(Students!$B$5:$B$304,MATCH(A241,Students!$A$5:$A$304,0)),"ID not found"))</f>
        <v/>
      </c>
      <c r="C241" s="85" t="str">
        <f aca="false">IF(A241="","",IFERROR(INDEX(Students!$E$5:$E$304,MATCH(A241,Students!$A$5:$A$304,0)),""))</f>
        <v/>
      </c>
      <c r="D241" s="85" t="str">
        <f aca="false">IF(A241="","",IFERROR(INDEX(Students!$F$5:$F$304,MATCH(A241,Students!$A$5:$A$304,0)),""))</f>
        <v/>
      </c>
      <c r="E241" s="52"/>
      <c r="F241" s="97"/>
      <c r="G241" s="97"/>
      <c r="H241" s="91"/>
      <c r="I241" s="98" t="str">
        <f aca="false">IF(A241="","",F241-G241)</f>
        <v/>
      </c>
      <c r="J241" s="85" t="str">
        <f aca="false">IF(A241="","",IF(I241&lt;=0,"Paid",IF(G241&gt;0,"Partial","Unpaid")))</f>
        <v/>
      </c>
      <c r="K241" s="99"/>
    </row>
    <row r="242" customFormat="false" ht="19.5" hidden="false" customHeight="true" outlineLevel="0" collapsed="false">
      <c r="A242" s="52"/>
      <c r="B242" s="89" t="str">
        <f aca="false">IF(A242="","",IFERROR(INDEX(Students!$B$5:$B$304,MATCH(A242,Students!$A$5:$A$304,0)),"ID not found"))</f>
        <v/>
      </c>
      <c r="C242" s="85" t="str">
        <f aca="false">IF(A242="","",IFERROR(INDEX(Students!$E$5:$E$304,MATCH(A242,Students!$A$5:$A$304,0)),""))</f>
        <v/>
      </c>
      <c r="D242" s="85" t="str">
        <f aca="false">IF(A242="","",IFERROR(INDEX(Students!$F$5:$F$304,MATCH(A242,Students!$A$5:$A$304,0)),""))</f>
        <v/>
      </c>
      <c r="E242" s="52"/>
      <c r="F242" s="97"/>
      <c r="G242" s="97"/>
      <c r="H242" s="91"/>
      <c r="I242" s="98" t="str">
        <f aca="false">IF(A242="","",F242-G242)</f>
        <v/>
      </c>
      <c r="J242" s="85" t="str">
        <f aca="false">IF(A242="","",IF(I242&lt;=0,"Paid",IF(G242&gt;0,"Partial","Unpaid")))</f>
        <v/>
      </c>
      <c r="K242" s="99"/>
    </row>
    <row r="243" customFormat="false" ht="19.5" hidden="false" customHeight="true" outlineLevel="0" collapsed="false">
      <c r="A243" s="52"/>
      <c r="B243" s="89" t="str">
        <f aca="false">IF(A243="","",IFERROR(INDEX(Students!$B$5:$B$304,MATCH(A243,Students!$A$5:$A$304,0)),"ID not found"))</f>
        <v/>
      </c>
      <c r="C243" s="85" t="str">
        <f aca="false">IF(A243="","",IFERROR(INDEX(Students!$E$5:$E$304,MATCH(A243,Students!$A$5:$A$304,0)),""))</f>
        <v/>
      </c>
      <c r="D243" s="85" t="str">
        <f aca="false">IF(A243="","",IFERROR(INDEX(Students!$F$5:$F$304,MATCH(A243,Students!$A$5:$A$304,0)),""))</f>
        <v/>
      </c>
      <c r="E243" s="52"/>
      <c r="F243" s="97"/>
      <c r="G243" s="97"/>
      <c r="H243" s="91"/>
      <c r="I243" s="98" t="str">
        <f aca="false">IF(A243="","",F243-G243)</f>
        <v/>
      </c>
      <c r="J243" s="85" t="str">
        <f aca="false">IF(A243="","",IF(I243&lt;=0,"Paid",IF(G243&gt;0,"Partial","Unpaid")))</f>
        <v/>
      </c>
      <c r="K243" s="99"/>
    </row>
    <row r="244" customFormat="false" ht="19.5" hidden="false" customHeight="true" outlineLevel="0" collapsed="false">
      <c r="A244" s="52"/>
      <c r="B244" s="89" t="str">
        <f aca="false">IF(A244="","",IFERROR(INDEX(Students!$B$5:$B$304,MATCH(A244,Students!$A$5:$A$304,0)),"ID not found"))</f>
        <v/>
      </c>
      <c r="C244" s="85" t="str">
        <f aca="false">IF(A244="","",IFERROR(INDEX(Students!$E$5:$E$304,MATCH(A244,Students!$A$5:$A$304,0)),""))</f>
        <v/>
      </c>
      <c r="D244" s="85" t="str">
        <f aca="false">IF(A244="","",IFERROR(INDEX(Students!$F$5:$F$304,MATCH(A244,Students!$A$5:$A$304,0)),""))</f>
        <v/>
      </c>
      <c r="E244" s="52"/>
      <c r="F244" s="97"/>
      <c r="G244" s="97"/>
      <c r="H244" s="91"/>
      <c r="I244" s="98" t="str">
        <f aca="false">IF(A244="","",F244-G244)</f>
        <v/>
      </c>
      <c r="J244" s="85" t="str">
        <f aca="false">IF(A244="","",IF(I244&lt;=0,"Paid",IF(G244&gt;0,"Partial","Unpaid")))</f>
        <v/>
      </c>
      <c r="K244" s="99"/>
    </row>
    <row r="245" customFormat="false" ht="19.5" hidden="false" customHeight="true" outlineLevel="0" collapsed="false">
      <c r="A245" s="52"/>
      <c r="B245" s="89" t="str">
        <f aca="false">IF(A245="","",IFERROR(INDEX(Students!$B$5:$B$304,MATCH(A245,Students!$A$5:$A$304,0)),"ID not found"))</f>
        <v/>
      </c>
      <c r="C245" s="85" t="str">
        <f aca="false">IF(A245="","",IFERROR(INDEX(Students!$E$5:$E$304,MATCH(A245,Students!$A$5:$A$304,0)),""))</f>
        <v/>
      </c>
      <c r="D245" s="85" t="str">
        <f aca="false">IF(A245="","",IFERROR(INDEX(Students!$F$5:$F$304,MATCH(A245,Students!$A$5:$A$304,0)),""))</f>
        <v/>
      </c>
      <c r="E245" s="52"/>
      <c r="F245" s="97"/>
      <c r="G245" s="97"/>
      <c r="H245" s="91"/>
      <c r="I245" s="98" t="str">
        <f aca="false">IF(A245="","",F245-G245)</f>
        <v/>
      </c>
      <c r="J245" s="85" t="str">
        <f aca="false">IF(A245="","",IF(I245&lt;=0,"Paid",IF(G245&gt;0,"Partial","Unpaid")))</f>
        <v/>
      </c>
      <c r="K245" s="99"/>
    </row>
    <row r="246" customFormat="false" ht="19.5" hidden="false" customHeight="true" outlineLevel="0" collapsed="false">
      <c r="A246" s="52"/>
      <c r="B246" s="89" t="str">
        <f aca="false">IF(A246="","",IFERROR(INDEX(Students!$B$5:$B$304,MATCH(A246,Students!$A$5:$A$304,0)),"ID not found"))</f>
        <v/>
      </c>
      <c r="C246" s="85" t="str">
        <f aca="false">IF(A246="","",IFERROR(INDEX(Students!$E$5:$E$304,MATCH(A246,Students!$A$5:$A$304,0)),""))</f>
        <v/>
      </c>
      <c r="D246" s="85" t="str">
        <f aca="false">IF(A246="","",IFERROR(INDEX(Students!$F$5:$F$304,MATCH(A246,Students!$A$5:$A$304,0)),""))</f>
        <v/>
      </c>
      <c r="E246" s="52"/>
      <c r="F246" s="97"/>
      <c r="G246" s="97"/>
      <c r="H246" s="91"/>
      <c r="I246" s="98" t="str">
        <f aca="false">IF(A246="","",F246-G246)</f>
        <v/>
      </c>
      <c r="J246" s="85" t="str">
        <f aca="false">IF(A246="","",IF(I246&lt;=0,"Paid",IF(G246&gt;0,"Partial","Unpaid")))</f>
        <v/>
      </c>
      <c r="K246" s="99"/>
    </row>
    <row r="247" customFormat="false" ht="19.5" hidden="false" customHeight="true" outlineLevel="0" collapsed="false">
      <c r="A247" s="52"/>
      <c r="B247" s="89" t="str">
        <f aca="false">IF(A247="","",IFERROR(INDEX(Students!$B$5:$B$304,MATCH(A247,Students!$A$5:$A$304,0)),"ID not found"))</f>
        <v/>
      </c>
      <c r="C247" s="85" t="str">
        <f aca="false">IF(A247="","",IFERROR(INDEX(Students!$E$5:$E$304,MATCH(A247,Students!$A$5:$A$304,0)),""))</f>
        <v/>
      </c>
      <c r="D247" s="85" t="str">
        <f aca="false">IF(A247="","",IFERROR(INDEX(Students!$F$5:$F$304,MATCH(A247,Students!$A$5:$A$304,0)),""))</f>
        <v/>
      </c>
      <c r="E247" s="52"/>
      <c r="F247" s="97"/>
      <c r="G247" s="97"/>
      <c r="H247" s="91"/>
      <c r="I247" s="98" t="str">
        <f aca="false">IF(A247="","",F247-G247)</f>
        <v/>
      </c>
      <c r="J247" s="85" t="str">
        <f aca="false">IF(A247="","",IF(I247&lt;=0,"Paid",IF(G247&gt;0,"Partial","Unpaid")))</f>
        <v/>
      </c>
      <c r="K247" s="99"/>
    </row>
    <row r="248" customFormat="false" ht="19.5" hidden="false" customHeight="true" outlineLevel="0" collapsed="false">
      <c r="A248" s="52"/>
      <c r="B248" s="89" t="str">
        <f aca="false">IF(A248="","",IFERROR(INDEX(Students!$B$5:$B$304,MATCH(A248,Students!$A$5:$A$304,0)),"ID not found"))</f>
        <v/>
      </c>
      <c r="C248" s="85" t="str">
        <f aca="false">IF(A248="","",IFERROR(INDEX(Students!$E$5:$E$304,MATCH(A248,Students!$A$5:$A$304,0)),""))</f>
        <v/>
      </c>
      <c r="D248" s="85" t="str">
        <f aca="false">IF(A248="","",IFERROR(INDEX(Students!$F$5:$F$304,MATCH(A248,Students!$A$5:$A$304,0)),""))</f>
        <v/>
      </c>
      <c r="E248" s="52"/>
      <c r="F248" s="97"/>
      <c r="G248" s="97"/>
      <c r="H248" s="91"/>
      <c r="I248" s="98" t="str">
        <f aca="false">IF(A248="","",F248-G248)</f>
        <v/>
      </c>
      <c r="J248" s="85" t="str">
        <f aca="false">IF(A248="","",IF(I248&lt;=0,"Paid",IF(G248&gt;0,"Partial","Unpaid")))</f>
        <v/>
      </c>
      <c r="K248" s="99"/>
    </row>
    <row r="249" customFormat="false" ht="19.5" hidden="false" customHeight="true" outlineLevel="0" collapsed="false">
      <c r="A249" s="52"/>
      <c r="B249" s="89" t="str">
        <f aca="false">IF(A249="","",IFERROR(INDEX(Students!$B$5:$B$304,MATCH(A249,Students!$A$5:$A$304,0)),"ID not found"))</f>
        <v/>
      </c>
      <c r="C249" s="85" t="str">
        <f aca="false">IF(A249="","",IFERROR(INDEX(Students!$E$5:$E$304,MATCH(A249,Students!$A$5:$A$304,0)),""))</f>
        <v/>
      </c>
      <c r="D249" s="85" t="str">
        <f aca="false">IF(A249="","",IFERROR(INDEX(Students!$F$5:$F$304,MATCH(A249,Students!$A$5:$A$304,0)),""))</f>
        <v/>
      </c>
      <c r="E249" s="52"/>
      <c r="F249" s="97"/>
      <c r="G249" s="97"/>
      <c r="H249" s="91"/>
      <c r="I249" s="98" t="str">
        <f aca="false">IF(A249="","",F249-G249)</f>
        <v/>
      </c>
      <c r="J249" s="85" t="str">
        <f aca="false">IF(A249="","",IF(I249&lt;=0,"Paid",IF(G249&gt;0,"Partial","Unpaid")))</f>
        <v/>
      </c>
      <c r="K249" s="99"/>
    </row>
    <row r="250" customFormat="false" ht="19.5" hidden="false" customHeight="true" outlineLevel="0" collapsed="false">
      <c r="A250" s="52"/>
      <c r="B250" s="89" t="str">
        <f aca="false">IF(A250="","",IFERROR(INDEX(Students!$B$5:$B$304,MATCH(A250,Students!$A$5:$A$304,0)),"ID not found"))</f>
        <v/>
      </c>
      <c r="C250" s="85" t="str">
        <f aca="false">IF(A250="","",IFERROR(INDEX(Students!$E$5:$E$304,MATCH(A250,Students!$A$5:$A$304,0)),""))</f>
        <v/>
      </c>
      <c r="D250" s="85" t="str">
        <f aca="false">IF(A250="","",IFERROR(INDEX(Students!$F$5:$F$304,MATCH(A250,Students!$A$5:$A$304,0)),""))</f>
        <v/>
      </c>
      <c r="E250" s="52"/>
      <c r="F250" s="97"/>
      <c r="G250" s="97"/>
      <c r="H250" s="91"/>
      <c r="I250" s="98" t="str">
        <f aca="false">IF(A250="","",F250-G250)</f>
        <v/>
      </c>
      <c r="J250" s="85" t="str">
        <f aca="false">IF(A250="","",IF(I250&lt;=0,"Paid",IF(G250&gt;0,"Partial","Unpaid")))</f>
        <v/>
      </c>
      <c r="K250" s="99"/>
    </row>
    <row r="251" customFormat="false" ht="19.5" hidden="false" customHeight="true" outlineLevel="0" collapsed="false">
      <c r="A251" s="52"/>
      <c r="B251" s="89" t="str">
        <f aca="false">IF(A251="","",IFERROR(INDEX(Students!$B$5:$B$304,MATCH(A251,Students!$A$5:$A$304,0)),"ID not found"))</f>
        <v/>
      </c>
      <c r="C251" s="85" t="str">
        <f aca="false">IF(A251="","",IFERROR(INDEX(Students!$E$5:$E$304,MATCH(A251,Students!$A$5:$A$304,0)),""))</f>
        <v/>
      </c>
      <c r="D251" s="85" t="str">
        <f aca="false">IF(A251="","",IFERROR(INDEX(Students!$F$5:$F$304,MATCH(A251,Students!$A$5:$A$304,0)),""))</f>
        <v/>
      </c>
      <c r="E251" s="52"/>
      <c r="F251" s="97"/>
      <c r="G251" s="97"/>
      <c r="H251" s="91"/>
      <c r="I251" s="98" t="str">
        <f aca="false">IF(A251="","",F251-G251)</f>
        <v/>
      </c>
      <c r="J251" s="85" t="str">
        <f aca="false">IF(A251="","",IF(I251&lt;=0,"Paid",IF(G251&gt;0,"Partial","Unpaid")))</f>
        <v/>
      </c>
      <c r="K251" s="99"/>
    </row>
    <row r="252" customFormat="false" ht="19.5" hidden="false" customHeight="true" outlineLevel="0" collapsed="false">
      <c r="A252" s="52"/>
      <c r="B252" s="89" t="str">
        <f aca="false">IF(A252="","",IFERROR(INDEX(Students!$B$5:$B$304,MATCH(A252,Students!$A$5:$A$304,0)),"ID not found"))</f>
        <v/>
      </c>
      <c r="C252" s="85" t="str">
        <f aca="false">IF(A252="","",IFERROR(INDEX(Students!$E$5:$E$304,MATCH(A252,Students!$A$5:$A$304,0)),""))</f>
        <v/>
      </c>
      <c r="D252" s="85" t="str">
        <f aca="false">IF(A252="","",IFERROR(INDEX(Students!$F$5:$F$304,MATCH(A252,Students!$A$5:$A$304,0)),""))</f>
        <v/>
      </c>
      <c r="E252" s="52"/>
      <c r="F252" s="97"/>
      <c r="G252" s="97"/>
      <c r="H252" s="91"/>
      <c r="I252" s="98" t="str">
        <f aca="false">IF(A252="","",F252-G252)</f>
        <v/>
      </c>
      <c r="J252" s="85" t="str">
        <f aca="false">IF(A252="","",IF(I252&lt;=0,"Paid",IF(G252&gt;0,"Partial","Unpaid")))</f>
        <v/>
      </c>
      <c r="K252" s="99"/>
    </row>
    <row r="253" customFormat="false" ht="19.5" hidden="false" customHeight="true" outlineLevel="0" collapsed="false">
      <c r="A253" s="52"/>
      <c r="B253" s="89" t="str">
        <f aca="false">IF(A253="","",IFERROR(INDEX(Students!$B$5:$B$304,MATCH(A253,Students!$A$5:$A$304,0)),"ID not found"))</f>
        <v/>
      </c>
      <c r="C253" s="85" t="str">
        <f aca="false">IF(A253="","",IFERROR(INDEX(Students!$E$5:$E$304,MATCH(A253,Students!$A$5:$A$304,0)),""))</f>
        <v/>
      </c>
      <c r="D253" s="85" t="str">
        <f aca="false">IF(A253="","",IFERROR(INDEX(Students!$F$5:$F$304,MATCH(A253,Students!$A$5:$A$304,0)),""))</f>
        <v/>
      </c>
      <c r="E253" s="52"/>
      <c r="F253" s="97"/>
      <c r="G253" s="97"/>
      <c r="H253" s="91"/>
      <c r="I253" s="98" t="str">
        <f aca="false">IF(A253="","",F253-G253)</f>
        <v/>
      </c>
      <c r="J253" s="85" t="str">
        <f aca="false">IF(A253="","",IF(I253&lt;=0,"Paid",IF(G253&gt;0,"Partial","Unpaid")))</f>
        <v/>
      </c>
      <c r="K253" s="99"/>
    </row>
    <row r="254" customFormat="false" ht="19.5" hidden="false" customHeight="true" outlineLevel="0" collapsed="false">
      <c r="A254" s="52"/>
      <c r="B254" s="89" t="str">
        <f aca="false">IF(A254="","",IFERROR(INDEX(Students!$B$5:$B$304,MATCH(A254,Students!$A$5:$A$304,0)),"ID not found"))</f>
        <v/>
      </c>
      <c r="C254" s="85" t="str">
        <f aca="false">IF(A254="","",IFERROR(INDEX(Students!$E$5:$E$304,MATCH(A254,Students!$A$5:$A$304,0)),""))</f>
        <v/>
      </c>
      <c r="D254" s="85" t="str">
        <f aca="false">IF(A254="","",IFERROR(INDEX(Students!$F$5:$F$304,MATCH(A254,Students!$A$5:$A$304,0)),""))</f>
        <v/>
      </c>
      <c r="E254" s="52"/>
      <c r="F254" s="97"/>
      <c r="G254" s="97"/>
      <c r="H254" s="91"/>
      <c r="I254" s="98" t="str">
        <f aca="false">IF(A254="","",F254-G254)</f>
        <v/>
      </c>
      <c r="J254" s="85" t="str">
        <f aca="false">IF(A254="","",IF(I254&lt;=0,"Paid",IF(G254&gt;0,"Partial","Unpaid")))</f>
        <v/>
      </c>
      <c r="K254" s="99"/>
    </row>
    <row r="255" customFormat="false" ht="19.5" hidden="false" customHeight="true" outlineLevel="0" collapsed="false">
      <c r="A255" s="52"/>
      <c r="B255" s="89" t="str">
        <f aca="false">IF(A255="","",IFERROR(INDEX(Students!$B$5:$B$304,MATCH(A255,Students!$A$5:$A$304,0)),"ID not found"))</f>
        <v/>
      </c>
      <c r="C255" s="85" t="str">
        <f aca="false">IF(A255="","",IFERROR(INDEX(Students!$E$5:$E$304,MATCH(A255,Students!$A$5:$A$304,0)),""))</f>
        <v/>
      </c>
      <c r="D255" s="85" t="str">
        <f aca="false">IF(A255="","",IFERROR(INDEX(Students!$F$5:$F$304,MATCH(A255,Students!$A$5:$A$304,0)),""))</f>
        <v/>
      </c>
      <c r="E255" s="52"/>
      <c r="F255" s="97"/>
      <c r="G255" s="97"/>
      <c r="H255" s="91"/>
      <c r="I255" s="98" t="str">
        <f aca="false">IF(A255="","",F255-G255)</f>
        <v/>
      </c>
      <c r="J255" s="85" t="str">
        <f aca="false">IF(A255="","",IF(I255&lt;=0,"Paid",IF(G255&gt;0,"Partial","Unpaid")))</f>
        <v/>
      </c>
      <c r="K255" s="99"/>
    </row>
    <row r="256" customFormat="false" ht="19.5" hidden="false" customHeight="true" outlineLevel="0" collapsed="false">
      <c r="A256" s="52"/>
      <c r="B256" s="89" t="str">
        <f aca="false">IF(A256="","",IFERROR(INDEX(Students!$B$5:$B$304,MATCH(A256,Students!$A$5:$A$304,0)),"ID not found"))</f>
        <v/>
      </c>
      <c r="C256" s="85" t="str">
        <f aca="false">IF(A256="","",IFERROR(INDEX(Students!$E$5:$E$304,MATCH(A256,Students!$A$5:$A$304,0)),""))</f>
        <v/>
      </c>
      <c r="D256" s="85" t="str">
        <f aca="false">IF(A256="","",IFERROR(INDEX(Students!$F$5:$F$304,MATCH(A256,Students!$A$5:$A$304,0)),""))</f>
        <v/>
      </c>
      <c r="E256" s="52"/>
      <c r="F256" s="97"/>
      <c r="G256" s="97"/>
      <c r="H256" s="91"/>
      <c r="I256" s="98" t="str">
        <f aca="false">IF(A256="","",F256-G256)</f>
        <v/>
      </c>
      <c r="J256" s="85" t="str">
        <f aca="false">IF(A256="","",IF(I256&lt;=0,"Paid",IF(G256&gt;0,"Partial","Unpaid")))</f>
        <v/>
      </c>
      <c r="K256" s="99"/>
    </row>
    <row r="257" customFormat="false" ht="19.5" hidden="false" customHeight="true" outlineLevel="0" collapsed="false">
      <c r="A257" s="52"/>
      <c r="B257" s="89" t="str">
        <f aca="false">IF(A257="","",IFERROR(INDEX(Students!$B$5:$B$304,MATCH(A257,Students!$A$5:$A$304,0)),"ID not found"))</f>
        <v/>
      </c>
      <c r="C257" s="85" t="str">
        <f aca="false">IF(A257="","",IFERROR(INDEX(Students!$E$5:$E$304,MATCH(A257,Students!$A$5:$A$304,0)),""))</f>
        <v/>
      </c>
      <c r="D257" s="85" t="str">
        <f aca="false">IF(A257="","",IFERROR(INDEX(Students!$F$5:$F$304,MATCH(A257,Students!$A$5:$A$304,0)),""))</f>
        <v/>
      </c>
      <c r="E257" s="52"/>
      <c r="F257" s="97"/>
      <c r="G257" s="97"/>
      <c r="H257" s="91"/>
      <c r="I257" s="98" t="str">
        <f aca="false">IF(A257="","",F257-G257)</f>
        <v/>
      </c>
      <c r="J257" s="85" t="str">
        <f aca="false">IF(A257="","",IF(I257&lt;=0,"Paid",IF(G257&gt;0,"Partial","Unpaid")))</f>
        <v/>
      </c>
      <c r="K257" s="99"/>
    </row>
    <row r="258" customFormat="false" ht="19.5" hidden="false" customHeight="true" outlineLevel="0" collapsed="false">
      <c r="A258" s="52"/>
      <c r="B258" s="89" t="str">
        <f aca="false">IF(A258="","",IFERROR(INDEX(Students!$B$5:$B$304,MATCH(A258,Students!$A$5:$A$304,0)),"ID not found"))</f>
        <v/>
      </c>
      <c r="C258" s="85" t="str">
        <f aca="false">IF(A258="","",IFERROR(INDEX(Students!$E$5:$E$304,MATCH(A258,Students!$A$5:$A$304,0)),""))</f>
        <v/>
      </c>
      <c r="D258" s="85" t="str">
        <f aca="false">IF(A258="","",IFERROR(INDEX(Students!$F$5:$F$304,MATCH(A258,Students!$A$5:$A$304,0)),""))</f>
        <v/>
      </c>
      <c r="E258" s="52"/>
      <c r="F258" s="97"/>
      <c r="G258" s="97"/>
      <c r="H258" s="91"/>
      <c r="I258" s="98" t="str">
        <f aca="false">IF(A258="","",F258-G258)</f>
        <v/>
      </c>
      <c r="J258" s="85" t="str">
        <f aca="false">IF(A258="","",IF(I258&lt;=0,"Paid",IF(G258&gt;0,"Partial","Unpaid")))</f>
        <v/>
      </c>
      <c r="K258" s="99"/>
    </row>
    <row r="259" customFormat="false" ht="19.5" hidden="false" customHeight="true" outlineLevel="0" collapsed="false">
      <c r="A259" s="52"/>
      <c r="B259" s="89" t="str">
        <f aca="false">IF(A259="","",IFERROR(INDEX(Students!$B$5:$B$304,MATCH(A259,Students!$A$5:$A$304,0)),"ID not found"))</f>
        <v/>
      </c>
      <c r="C259" s="85" t="str">
        <f aca="false">IF(A259="","",IFERROR(INDEX(Students!$E$5:$E$304,MATCH(A259,Students!$A$5:$A$304,0)),""))</f>
        <v/>
      </c>
      <c r="D259" s="85" t="str">
        <f aca="false">IF(A259="","",IFERROR(INDEX(Students!$F$5:$F$304,MATCH(A259,Students!$A$5:$A$304,0)),""))</f>
        <v/>
      </c>
      <c r="E259" s="52"/>
      <c r="F259" s="97"/>
      <c r="G259" s="97"/>
      <c r="H259" s="91"/>
      <c r="I259" s="98" t="str">
        <f aca="false">IF(A259="","",F259-G259)</f>
        <v/>
      </c>
      <c r="J259" s="85" t="str">
        <f aca="false">IF(A259="","",IF(I259&lt;=0,"Paid",IF(G259&gt;0,"Partial","Unpaid")))</f>
        <v/>
      </c>
      <c r="K259" s="99"/>
    </row>
    <row r="260" customFormat="false" ht="19.5" hidden="false" customHeight="true" outlineLevel="0" collapsed="false">
      <c r="A260" s="52"/>
      <c r="B260" s="89" t="str">
        <f aca="false">IF(A260="","",IFERROR(INDEX(Students!$B$5:$B$304,MATCH(A260,Students!$A$5:$A$304,0)),"ID not found"))</f>
        <v/>
      </c>
      <c r="C260" s="85" t="str">
        <f aca="false">IF(A260="","",IFERROR(INDEX(Students!$E$5:$E$304,MATCH(A260,Students!$A$5:$A$304,0)),""))</f>
        <v/>
      </c>
      <c r="D260" s="85" t="str">
        <f aca="false">IF(A260="","",IFERROR(INDEX(Students!$F$5:$F$304,MATCH(A260,Students!$A$5:$A$304,0)),""))</f>
        <v/>
      </c>
      <c r="E260" s="52"/>
      <c r="F260" s="97"/>
      <c r="G260" s="97"/>
      <c r="H260" s="91"/>
      <c r="I260" s="98" t="str">
        <f aca="false">IF(A260="","",F260-G260)</f>
        <v/>
      </c>
      <c r="J260" s="85" t="str">
        <f aca="false">IF(A260="","",IF(I260&lt;=0,"Paid",IF(G260&gt;0,"Partial","Unpaid")))</f>
        <v/>
      </c>
      <c r="K260" s="99"/>
    </row>
    <row r="261" customFormat="false" ht="19.5" hidden="false" customHeight="true" outlineLevel="0" collapsed="false">
      <c r="A261" s="52"/>
      <c r="B261" s="89" t="str">
        <f aca="false">IF(A261="","",IFERROR(INDEX(Students!$B$5:$B$304,MATCH(A261,Students!$A$5:$A$304,0)),"ID not found"))</f>
        <v/>
      </c>
      <c r="C261" s="85" t="str">
        <f aca="false">IF(A261="","",IFERROR(INDEX(Students!$E$5:$E$304,MATCH(A261,Students!$A$5:$A$304,0)),""))</f>
        <v/>
      </c>
      <c r="D261" s="85" t="str">
        <f aca="false">IF(A261="","",IFERROR(INDEX(Students!$F$5:$F$304,MATCH(A261,Students!$A$5:$A$304,0)),""))</f>
        <v/>
      </c>
      <c r="E261" s="52"/>
      <c r="F261" s="97"/>
      <c r="G261" s="97"/>
      <c r="H261" s="91"/>
      <c r="I261" s="98" t="str">
        <f aca="false">IF(A261="","",F261-G261)</f>
        <v/>
      </c>
      <c r="J261" s="85" t="str">
        <f aca="false">IF(A261="","",IF(I261&lt;=0,"Paid",IF(G261&gt;0,"Partial","Unpaid")))</f>
        <v/>
      </c>
      <c r="K261" s="99"/>
    </row>
    <row r="262" customFormat="false" ht="19.5" hidden="false" customHeight="true" outlineLevel="0" collapsed="false">
      <c r="A262" s="52"/>
      <c r="B262" s="89" t="str">
        <f aca="false">IF(A262="","",IFERROR(INDEX(Students!$B$5:$B$304,MATCH(A262,Students!$A$5:$A$304,0)),"ID not found"))</f>
        <v/>
      </c>
      <c r="C262" s="85" t="str">
        <f aca="false">IF(A262="","",IFERROR(INDEX(Students!$E$5:$E$304,MATCH(A262,Students!$A$5:$A$304,0)),""))</f>
        <v/>
      </c>
      <c r="D262" s="85" t="str">
        <f aca="false">IF(A262="","",IFERROR(INDEX(Students!$F$5:$F$304,MATCH(A262,Students!$A$5:$A$304,0)),""))</f>
        <v/>
      </c>
      <c r="E262" s="52"/>
      <c r="F262" s="97"/>
      <c r="G262" s="97"/>
      <c r="H262" s="91"/>
      <c r="I262" s="98" t="str">
        <f aca="false">IF(A262="","",F262-G262)</f>
        <v/>
      </c>
      <c r="J262" s="85" t="str">
        <f aca="false">IF(A262="","",IF(I262&lt;=0,"Paid",IF(G262&gt;0,"Partial","Unpaid")))</f>
        <v/>
      </c>
      <c r="K262" s="99"/>
    </row>
    <row r="263" customFormat="false" ht="19.5" hidden="false" customHeight="true" outlineLevel="0" collapsed="false">
      <c r="A263" s="52"/>
      <c r="B263" s="89" t="str">
        <f aca="false">IF(A263="","",IFERROR(INDEX(Students!$B$5:$B$304,MATCH(A263,Students!$A$5:$A$304,0)),"ID not found"))</f>
        <v/>
      </c>
      <c r="C263" s="85" t="str">
        <f aca="false">IF(A263="","",IFERROR(INDEX(Students!$E$5:$E$304,MATCH(A263,Students!$A$5:$A$304,0)),""))</f>
        <v/>
      </c>
      <c r="D263" s="85" t="str">
        <f aca="false">IF(A263="","",IFERROR(INDEX(Students!$F$5:$F$304,MATCH(A263,Students!$A$5:$A$304,0)),""))</f>
        <v/>
      </c>
      <c r="E263" s="52"/>
      <c r="F263" s="97"/>
      <c r="G263" s="97"/>
      <c r="H263" s="91"/>
      <c r="I263" s="98" t="str">
        <f aca="false">IF(A263="","",F263-G263)</f>
        <v/>
      </c>
      <c r="J263" s="85" t="str">
        <f aca="false">IF(A263="","",IF(I263&lt;=0,"Paid",IF(G263&gt;0,"Partial","Unpaid")))</f>
        <v/>
      </c>
      <c r="K263" s="99"/>
    </row>
    <row r="264" customFormat="false" ht="19.5" hidden="false" customHeight="true" outlineLevel="0" collapsed="false">
      <c r="A264" s="52"/>
      <c r="B264" s="89" t="str">
        <f aca="false">IF(A264="","",IFERROR(INDEX(Students!$B$5:$B$304,MATCH(A264,Students!$A$5:$A$304,0)),"ID not found"))</f>
        <v/>
      </c>
      <c r="C264" s="85" t="str">
        <f aca="false">IF(A264="","",IFERROR(INDEX(Students!$E$5:$E$304,MATCH(A264,Students!$A$5:$A$304,0)),""))</f>
        <v/>
      </c>
      <c r="D264" s="85" t="str">
        <f aca="false">IF(A264="","",IFERROR(INDEX(Students!$F$5:$F$304,MATCH(A264,Students!$A$5:$A$304,0)),""))</f>
        <v/>
      </c>
      <c r="E264" s="52"/>
      <c r="F264" s="97"/>
      <c r="G264" s="97"/>
      <c r="H264" s="91"/>
      <c r="I264" s="98" t="str">
        <f aca="false">IF(A264="","",F264-G264)</f>
        <v/>
      </c>
      <c r="J264" s="85" t="str">
        <f aca="false">IF(A264="","",IF(I264&lt;=0,"Paid",IF(G264&gt;0,"Partial","Unpaid")))</f>
        <v/>
      </c>
      <c r="K264" s="99"/>
    </row>
    <row r="265" customFormat="false" ht="19.5" hidden="false" customHeight="true" outlineLevel="0" collapsed="false">
      <c r="A265" s="52"/>
      <c r="B265" s="89" t="str">
        <f aca="false">IF(A265="","",IFERROR(INDEX(Students!$B$5:$B$304,MATCH(A265,Students!$A$5:$A$304,0)),"ID not found"))</f>
        <v/>
      </c>
      <c r="C265" s="85" t="str">
        <f aca="false">IF(A265="","",IFERROR(INDEX(Students!$E$5:$E$304,MATCH(A265,Students!$A$5:$A$304,0)),""))</f>
        <v/>
      </c>
      <c r="D265" s="85" t="str">
        <f aca="false">IF(A265="","",IFERROR(INDEX(Students!$F$5:$F$304,MATCH(A265,Students!$A$5:$A$304,0)),""))</f>
        <v/>
      </c>
      <c r="E265" s="52"/>
      <c r="F265" s="97"/>
      <c r="G265" s="97"/>
      <c r="H265" s="91"/>
      <c r="I265" s="98" t="str">
        <f aca="false">IF(A265="","",F265-G265)</f>
        <v/>
      </c>
      <c r="J265" s="85" t="str">
        <f aca="false">IF(A265="","",IF(I265&lt;=0,"Paid",IF(G265&gt;0,"Partial","Unpaid")))</f>
        <v/>
      </c>
      <c r="K265" s="99"/>
    </row>
    <row r="266" customFormat="false" ht="19.5" hidden="false" customHeight="true" outlineLevel="0" collapsed="false">
      <c r="A266" s="52"/>
      <c r="B266" s="89" t="str">
        <f aca="false">IF(A266="","",IFERROR(INDEX(Students!$B$5:$B$304,MATCH(A266,Students!$A$5:$A$304,0)),"ID not found"))</f>
        <v/>
      </c>
      <c r="C266" s="85" t="str">
        <f aca="false">IF(A266="","",IFERROR(INDEX(Students!$E$5:$E$304,MATCH(A266,Students!$A$5:$A$304,0)),""))</f>
        <v/>
      </c>
      <c r="D266" s="85" t="str">
        <f aca="false">IF(A266="","",IFERROR(INDEX(Students!$F$5:$F$304,MATCH(A266,Students!$A$5:$A$304,0)),""))</f>
        <v/>
      </c>
      <c r="E266" s="52"/>
      <c r="F266" s="97"/>
      <c r="G266" s="97"/>
      <c r="H266" s="91"/>
      <c r="I266" s="98" t="str">
        <f aca="false">IF(A266="","",F266-G266)</f>
        <v/>
      </c>
      <c r="J266" s="85" t="str">
        <f aca="false">IF(A266="","",IF(I266&lt;=0,"Paid",IF(G266&gt;0,"Partial","Unpaid")))</f>
        <v/>
      </c>
      <c r="K266" s="99"/>
    </row>
    <row r="267" customFormat="false" ht="19.5" hidden="false" customHeight="true" outlineLevel="0" collapsed="false">
      <c r="A267" s="52"/>
      <c r="B267" s="89" t="str">
        <f aca="false">IF(A267="","",IFERROR(INDEX(Students!$B$5:$B$304,MATCH(A267,Students!$A$5:$A$304,0)),"ID not found"))</f>
        <v/>
      </c>
      <c r="C267" s="85" t="str">
        <f aca="false">IF(A267="","",IFERROR(INDEX(Students!$E$5:$E$304,MATCH(A267,Students!$A$5:$A$304,0)),""))</f>
        <v/>
      </c>
      <c r="D267" s="85" t="str">
        <f aca="false">IF(A267="","",IFERROR(INDEX(Students!$F$5:$F$304,MATCH(A267,Students!$A$5:$A$304,0)),""))</f>
        <v/>
      </c>
      <c r="E267" s="52"/>
      <c r="F267" s="97"/>
      <c r="G267" s="97"/>
      <c r="H267" s="91"/>
      <c r="I267" s="98" t="str">
        <f aca="false">IF(A267="","",F267-G267)</f>
        <v/>
      </c>
      <c r="J267" s="85" t="str">
        <f aca="false">IF(A267="","",IF(I267&lt;=0,"Paid",IF(G267&gt;0,"Partial","Unpaid")))</f>
        <v/>
      </c>
      <c r="K267" s="99"/>
    </row>
    <row r="268" customFormat="false" ht="19.5" hidden="false" customHeight="true" outlineLevel="0" collapsed="false">
      <c r="A268" s="52"/>
      <c r="B268" s="89" t="str">
        <f aca="false">IF(A268="","",IFERROR(INDEX(Students!$B$5:$B$304,MATCH(A268,Students!$A$5:$A$304,0)),"ID not found"))</f>
        <v/>
      </c>
      <c r="C268" s="85" t="str">
        <f aca="false">IF(A268="","",IFERROR(INDEX(Students!$E$5:$E$304,MATCH(A268,Students!$A$5:$A$304,0)),""))</f>
        <v/>
      </c>
      <c r="D268" s="85" t="str">
        <f aca="false">IF(A268="","",IFERROR(INDEX(Students!$F$5:$F$304,MATCH(A268,Students!$A$5:$A$304,0)),""))</f>
        <v/>
      </c>
      <c r="E268" s="52"/>
      <c r="F268" s="97"/>
      <c r="G268" s="97"/>
      <c r="H268" s="91"/>
      <c r="I268" s="98" t="str">
        <f aca="false">IF(A268="","",F268-G268)</f>
        <v/>
      </c>
      <c r="J268" s="85" t="str">
        <f aca="false">IF(A268="","",IF(I268&lt;=0,"Paid",IF(G268&gt;0,"Partial","Unpaid")))</f>
        <v/>
      </c>
      <c r="K268" s="99"/>
    </row>
    <row r="269" customFormat="false" ht="19.5" hidden="false" customHeight="true" outlineLevel="0" collapsed="false">
      <c r="A269" s="52"/>
      <c r="B269" s="89" t="str">
        <f aca="false">IF(A269="","",IFERROR(INDEX(Students!$B$5:$B$304,MATCH(A269,Students!$A$5:$A$304,0)),"ID not found"))</f>
        <v/>
      </c>
      <c r="C269" s="85" t="str">
        <f aca="false">IF(A269="","",IFERROR(INDEX(Students!$E$5:$E$304,MATCH(A269,Students!$A$5:$A$304,0)),""))</f>
        <v/>
      </c>
      <c r="D269" s="85" t="str">
        <f aca="false">IF(A269="","",IFERROR(INDEX(Students!$F$5:$F$304,MATCH(A269,Students!$A$5:$A$304,0)),""))</f>
        <v/>
      </c>
      <c r="E269" s="52"/>
      <c r="F269" s="97"/>
      <c r="G269" s="97"/>
      <c r="H269" s="91"/>
      <c r="I269" s="98" t="str">
        <f aca="false">IF(A269="","",F269-G269)</f>
        <v/>
      </c>
      <c r="J269" s="85" t="str">
        <f aca="false">IF(A269="","",IF(I269&lt;=0,"Paid",IF(G269&gt;0,"Partial","Unpaid")))</f>
        <v/>
      </c>
      <c r="K269" s="99"/>
    </row>
    <row r="270" customFormat="false" ht="19.5" hidden="false" customHeight="true" outlineLevel="0" collapsed="false">
      <c r="A270" s="52"/>
      <c r="B270" s="89" t="str">
        <f aca="false">IF(A270="","",IFERROR(INDEX(Students!$B$5:$B$304,MATCH(A270,Students!$A$5:$A$304,0)),"ID not found"))</f>
        <v/>
      </c>
      <c r="C270" s="85" t="str">
        <f aca="false">IF(A270="","",IFERROR(INDEX(Students!$E$5:$E$304,MATCH(A270,Students!$A$5:$A$304,0)),""))</f>
        <v/>
      </c>
      <c r="D270" s="85" t="str">
        <f aca="false">IF(A270="","",IFERROR(INDEX(Students!$F$5:$F$304,MATCH(A270,Students!$A$5:$A$304,0)),""))</f>
        <v/>
      </c>
      <c r="E270" s="52"/>
      <c r="F270" s="97"/>
      <c r="G270" s="97"/>
      <c r="H270" s="91"/>
      <c r="I270" s="98" t="str">
        <f aca="false">IF(A270="","",F270-G270)</f>
        <v/>
      </c>
      <c r="J270" s="85" t="str">
        <f aca="false">IF(A270="","",IF(I270&lt;=0,"Paid",IF(G270&gt;0,"Partial","Unpaid")))</f>
        <v/>
      </c>
      <c r="K270" s="99"/>
    </row>
    <row r="271" customFormat="false" ht="19.5" hidden="false" customHeight="true" outlineLevel="0" collapsed="false">
      <c r="A271" s="52"/>
      <c r="B271" s="89" t="str">
        <f aca="false">IF(A271="","",IFERROR(INDEX(Students!$B$5:$B$304,MATCH(A271,Students!$A$5:$A$304,0)),"ID not found"))</f>
        <v/>
      </c>
      <c r="C271" s="85" t="str">
        <f aca="false">IF(A271="","",IFERROR(INDEX(Students!$E$5:$E$304,MATCH(A271,Students!$A$5:$A$304,0)),""))</f>
        <v/>
      </c>
      <c r="D271" s="85" t="str">
        <f aca="false">IF(A271="","",IFERROR(INDEX(Students!$F$5:$F$304,MATCH(A271,Students!$A$5:$A$304,0)),""))</f>
        <v/>
      </c>
      <c r="E271" s="52"/>
      <c r="F271" s="97"/>
      <c r="G271" s="97"/>
      <c r="H271" s="91"/>
      <c r="I271" s="98" t="str">
        <f aca="false">IF(A271="","",F271-G271)</f>
        <v/>
      </c>
      <c r="J271" s="85" t="str">
        <f aca="false">IF(A271="","",IF(I271&lt;=0,"Paid",IF(G271&gt;0,"Partial","Unpaid")))</f>
        <v/>
      </c>
      <c r="K271" s="99"/>
    </row>
    <row r="272" customFormat="false" ht="19.5" hidden="false" customHeight="true" outlineLevel="0" collapsed="false">
      <c r="A272" s="52"/>
      <c r="B272" s="89" t="str">
        <f aca="false">IF(A272="","",IFERROR(INDEX(Students!$B$5:$B$304,MATCH(A272,Students!$A$5:$A$304,0)),"ID not found"))</f>
        <v/>
      </c>
      <c r="C272" s="85" t="str">
        <f aca="false">IF(A272="","",IFERROR(INDEX(Students!$E$5:$E$304,MATCH(A272,Students!$A$5:$A$304,0)),""))</f>
        <v/>
      </c>
      <c r="D272" s="85" t="str">
        <f aca="false">IF(A272="","",IFERROR(INDEX(Students!$F$5:$F$304,MATCH(A272,Students!$A$5:$A$304,0)),""))</f>
        <v/>
      </c>
      <c r="E272" s="52"/>
      <c r="F272" s="97"/>
      <c r="G272" s="97"/>
      <c r="H272" s="91"/>
      <c r="I272" s="98" t="str">
        <f aca="false">IF(A272="","",F272-G272)</f>
        <v/>
      </c>
      <c r="J272" s="85" t="str">
        <f aca="false">IF(A272="","",IF(I272&lt;=0,"Paid",IF(G272&gt;0,"Partial","Unpaid")))</f>
        <v/>
      </c>
      <c r="K272" s="99"/>
    </row>
    <row r="273" customFormat="false" ht="19.5" hidden="false" customHeight="true" outlineLevel="0" collapsed="false">
      <c r="A273" s="52"/>
      <c r="B273" s="89" t="str">
        <f aca="false">IF(A273="","",IFERROR(INDEX(Students!$B$5:$B$304,MATCH(A273,Students!$A$5:$A$304,0)),"ID not found"))</f>
        <v/>
      </c>
      <c r="C273" s="85" t="str">
        <f aca="false">IF(A273="","",IFERROR(INDEX(Students!$E$5:$E$304,MATCH(A273,Students!$A$5:$A$304,0)),""))</f>
        <v/>
      </c>
      <c r="D273" s="85" t="str">
        <f aca="false">IF(A273="","",IFERROR(INDEX(Students!$F$5:$F$304,MATCH(A273,Students!$A$5:$A$304,0)),""))</f>
        <v/>
      </c>
      <c r="E273" s="52"/>
      <c r="F273" s="97"/>
      <c r="G273" s="97"/>
      <c r="H273" s="91"/>
      <c r="I273" s="98" t="str">
        <f aca="false">IF(A273="","",F273-G273)</f>
        <v/>
      </c>
      <c r="J273" s="85" t="str">
        <f aca="false">IF(A273="","",IF(I273&lt;=0,"Paid",IF(G273&gt;0,"Partial","Unpaid")))</f>
        <v/>
      </c>
      <c r="K273" s="99"/>
    </row>
    <row r="274" customFormat="false" ht="19.5" hidden="false" customHeight="true" outlineLevel="0" collapsed="false">
      <c r="A274" s="52"/>
      <c r="B274" s="89" t="str">
        <f aca="false">IF(A274="","",IFERROR(INDEX(Students!$B$5:$B$304,MATCH(A274,Students!$A$5:$A$304,0)),"ID not found"))</f>
        <v/>
      </c>
      <c r="C274" s="85" t="str">
        <f aca="false">IF(A274="","",IFERROR(INDEX(Students!$E$5:$E$304,MATCH(A274,Students!$A$5:$A$304,0)),""))</f>
        <v/>
      </c>
      <c r="D274" s="85" t="str">
        <f aca="false">IF(A274="","",IFERROR(INDEX(Students!$F$5:$F$304,MATCH(A274,Students!$A$5:$A$304,0)),""))</f>
        <v/>
      </c>
      <c r="E274" s="52"/>
      <c r="F274" s="97"/>
      <c r="G274" s="97"/>
      <c r="H274" s="91"/>
      <c r="I274" s="98" t="str">
        <f aca="false">IF(A274="","",F274-G274)</f>
        <v/>
      </c>
      <c r="J274" s="85" t="str">
        <f aca="false">IF(A274="","",IF(I274&lt;=0,"Paid",IF(G274&gt;0,"Partial","Unpaid")))</f>
        <v/>
      </c>
      <c r="K274" s="99"/>
    </row>
    <row r="275" customFormat="false" ht="19.5" hidden="false" customHeight="true" outlineLevel="0" collapsed="false">
      <c r="A275" s="52"/>
      <c r="B275" s="89" t="str">
        <f aca="false">IF(A275="","",IFERROR(INDEX(Students!$B$5:$B$304,MATCH(A275,Students!$A$5:$A$304,0)),"ID not found"))</f>
        <v/>
      </c>
      <c r="C275" s="85" t="str">
        <f aca="false">IF(A275="","",IFERROR(INDEX(Students!$E$5:$E$304,MATCH(A275,Students!$A$5:$A$304,0)),""))</f>
        <v/>
      </c>
      <c r="D275" s="85" t="str">
        <f aca="false">IF(A275="","",IFERROR(INDEX(Students!$F$5:$F$304,MATCH(A275,Students!$A$5:$A$304,0)),""))</f>
        <v/>
      </c>
      <c r="E275" s="52"/>
      <c r="F275" s="97"/>
      <c r="G275" s="97"/>
      <c r="H275" s="91"/>
      <c r="I275" s="98" t="str">
        <f aca="false">IF(A275="","",F275-G275)</f>
        <v/>
      </c>
      <c r="J275" s="85" t="str">
        <f aca="false">IF(A275="","",IF(I275&lt;=0,"Paid",IF(G275&gt;0,"Partial","Unpaid")))</f>
        <v/>
      </c>
      <c r="K275" s="99"/>
    </row>
    <row r="276" customFormat="false" ht="19.5" hidden="false" customHeight="true" outlineLevel="0" collapsed="false">
      <c r="A276" s="52"/>
      <c r="B276" s="89" t="str">
        <f aca="false">IF(A276="","",IFERROR(INDEX(Students!$B$5:$B$304,MATCH(A276,Students!$A$5:$A$304,0)),"ID not found"))</f>
        <v/>
      </c>
      <c r="C276" s="85" t="str">
        <f aca="false">IF(A276="","",IFERROR(INDEX(Students!$E$5:$E$304,MATCH(A276,Students!$A$5:$A$304,0)),""))</f>
        <v/>
      </c>
      <c r="D276" s="85" t="str">
        <f aca="false">IF(A276="","",IFERROR(INDEX(Students!$F$5:$F$304,MATCH(A276,Students!$A$5:$A$304,0)),""))</f>
        <v/>
      </c>
      <c r="E276" s="52"/>
      <c r="F276" s="97"/>
      <c r="G276" s="97"/>
      <c r="H276" s="91"/>
      <c r="I276" s="98" t="str">
        <f aca="false">IF(A276="","",F276-G276)</f>
        <v/>
      </c>
      <c r="J276" s="85" t="str">
        <f aca="false">IF(A276="","",IF(I276&lt;=0,"Paid",IF(G276&gt;0,"Partial","Unpaid")))</f>
        <v/>
      </c>
      <c r="K276" s="99"/>
    </row>
    <row r="277" customFormat="false" ht="19.5" hidden="false" customHeight="true" outlineLevel="0" collapsed="false">
      <c r="A277" s="52"/>
      <c r="B277" s="89" t="str">
        <f aca="false">IF(A277="","",IFERROR(INDEX(Students!$B$5:$B$304,MATCH(A277,Students!$A$5:$A$304,0)),"ID not found"))</f>
        <v/>
      </c>
      <c r="C277" s="85" t="str">
        <f aca="false">IF(A277="","",IFERROR(INDEX(Students!$E$5:$E$304,MATCH(A277,Students!$A$5:$A$304,0)),""))</f>
        <v/>
      </c>
      <c r="D277" s="85" t="str">
        <f aca="false">IF(A277="","",IFERROR(INDEX(Students!$F$5:$F$304,MATCH(A277,Students!$A$5:$A$304,0)),""))</f>
        <v/>
      </c>
      <c r="E277" s="52"/>
      <c r="F277" s="97"/>
      <c r="G277" s="97"/>
      <c r="H277" s="91"/>
      <c r="I277" s="98" t="str">
        <f aca="false">IF(A277="","",F277-G277)</f>
        <v/>
      </c>
      <c r="J277" s="85" t="str">
        <f aca="false">IF(A277="","",IF(I277&lt;=0,"Paid",IF(G277&gt;0,"Partial","Unpaid")))</f>
        <v/>
      </c>
      <c r="K277" s="99"/>
    </row>
    <row r="278" customFormat="false" ht="19.5" hidden="false" customHeight="true" outlineLevel="0" collapsed="false">
      <c r="A278" s="52"/>
      <c r="B278" s="89" t="str">
        <f aca="false">IF(A278="","",IFERROR(INDEX(Students!$B$5:$B$304,MATCH(A278,Students!$A$5:$A$304,0)),"ID not found"))</f>
        <v/>
      </c>
      <c r="C278" s="85" t="str">
        <f aca="false">IF(A278="","",IFERROR(INDEX(Students!$E$5:$E$304,MATCH(A278,Students!$A$5:$A$304,0)),""))</f>
        <v/>
      </c>
      <c r="D278" s="85" t="str">
        <f aca="false">IF(A278="","",IFERROR(INDEX(Students!$F$5:$F$304,MATCH(A278,Students!$A$5:$A$304,0)),""))</f>
        <v/>
      </c>
      <c r="E278" s="52"/>
      <c r="F278" s="97"/>
      <c r="G278" s="97"/>
      <c r="H278" s="91"/>
      <c r="I278" s="98" t="str">
        <f aca="false">IF(A278="","",F278-G278)</f>
        <v/>
      </c>
      <c r="J278" s="85" t="str">
        <f aca="false">IF(A278="","",IF(I278&lt;=0,"Paid",IF(G278&gt;0,"Partial","Unpaid")))</f>
        <v/>
      </c>
      <c r="K278" s="99"/>
    </row>
    <row r="279" customFormat="false" ht="19.5" hidden="false" customHeight="true" outlineLevel="0" collapsed="false">
      <c r="A279" s="52"/>
      <c r="B279" s="89" t="str">
        <f aca="false">IF(A279="","",IFERROR(INDEX(Students!$B$5:$B$304,MATCH(A279,Students!$A$5:$A$304,0)),"ID not found"))</f>
        <v/>
      </c>
      <c r="C279" s="85" t="str">
        <f aca="false">IF(A279="","",IFERROR(INDEX(Students!$E$5:$E$304,MATCH(A279,Students!$A$5:$A$304,0)),""))</f>
        <v/>
      </c>
      <c r="D279" s="85" t="str">
        <f aca="false">IF(A279="","",IFERROR(INDEX(Students!$F$5:$F$304,MATCH(A279,Students!$A$5:$A$304,0)),""))</f>
        <v/>
      </c>
      <c r="E279" s="52"/>
      <c r="F279" s="97"/>
      <c r="G279" s="97"/>
      <c r="H279" s="91"/>
      <c r="I279" s="98" t="str">
        <f aca="false">IF(A279="","",F279-G279)</f>
        <v/>
      </c>
      <c r="J279" s="85" t="str">
        <f aca="false">IF(A279="","",IF(I279&lt;=0,"Paid",IF(G279&gt;0,"Partial","Unpaid")))</f>
        <v/>
      </c>
      <c r="K279" s="99"/>
    </row>
    <row r="280" customFormat="false" ht="19.5" hidden="false" customHeight="true" outlineLevel="0" collapsed="false">
      <c r="A280" s="52"/>
      <c r="B280" s="89" t="str">
        <f aca="false">IF(A280="","",IFERROR(INDEX(Students!$B$5:$B$304,MATCH(A280,Students!$A$5:$A$304,0)),"ID not found"))</f>
        <v/>
      </c>
      <c r="C280" s="85" t="str">
        <f aca="false">IF(A280="","",IFERROR(INDEX(Students!$E$5:$E$304,MATCH(A280,Students!$A$5:$A$304,0)),""))</f>
        <v/>
      </c>
      <c r="D280" s="85" t="str">
        <f aca="false">IF(A280="","",IFERROR(INDEX(Students!$F$5:$F$304,MATCH(A280,Students!$A$5:$A$304,0)),""))</f>
        <v/>
      </c>
      <c r="E280" s="52"/>
      <c r="F280" s="97"/>
      <c r="G280" s="97"/>
      <c r="H280" s="91"/>
      <c r="I280" s="98" t="str">
        <f aca="false">IF(A280="","",F280-G280)</f>
        <v/>
      </c>
      <c r="J280" s="85" t="str">
        <f aca="false">IF(A280="","",IF(I280&lt;=0,"Paid",IF(G280&gt;0,"Partial","Unpaid")))</f>
        <v/>
      </c>
      <c r="K280" s="99"/>
    </row>
    <row r="281" customFormat="false" ht="19.5" hidden="false" customHeight="true" outlineLevel="0" collapsed="false">
      <c r="A281" s="52"/>
      <c r="B281" s="89" t="str">
        <f aca="false">IF(A281="","",IFERROR(INDEX(Students!$B$5:$B$304,MATCH(A281,Students!$A$5:$A$304,0)),"ID not found"))</f>
        <v/>
      </c>
      <c r="C281" s="85" t="str">
        <f aca="false">IF(A281="","",IFERROR(INDEX(Students!$E$5:$E$304,MATCH(A281,Students!$A$5:$A$304,0)),""))</f>
        <v/>
      </c>
      <c r="D281" s="85" t="str">
        <f aca="false">IF(A281="","",IFERROR(INDEX(Students!$F$5:$F$304,MATCH(A281,Students!$A$5:$A$304,0)),""))</f>
        <v/>
      </c>
      <c r="E281" s="52"/>
      <c r="F281" s="97"/>
      <c r="G281" s="97"/>
      <c r="H281" s="91"/>
      <c r="I281" s="98" t="str">
        <f aca="false">IF(A281="","",F281-G281)</f>
        <v/>
      </c>
      <c r="J281" s="85" t="str">
        <f aca="false">IF(A281="","",IF(I281&lt;=0,"Paid",IF(G281&gt;0,"Partial","Unpaid")))</f>
        <v/>
      </c>
      <c r="K281" s="99"/>
    </row>
    <row r="282" customFormat="false" ht="19.5" hidden="false" customHeight="true" outlineLevel="0" collapsed="false">
      <c r="A282" s="52"/>
      <c r="B282" s="89" t="str">
        <f aca="false">IF(A282="","",IFERROR(INDEX(Students!$B$5:$B$304,MATCH(A282,Students!$A$5:$A$304,0)),"ID not found"))</f>
        <v/>
      </c>
      <c r="C282" s="85" t="str">
        <f aca="false">IF(A282="","",IFERROR(INDEX(Students!$E$5:$E$304,MATCH(A282,Students!$A$5:$A$304,0)),""))</f>
        <v/>
      </c>
      <c r="D282" s="85" t="str">
        <f aca="false">IF(A282="","",IFERROR(INDEX(Students!$F$5:$F$304,MATCH(A282,Students!$A$5:$A$304,0)),""))</f>
        <v/>
      </c>
      <c r="E282" s="52"/>
      <c r="F282" s="97"/>
      <c r="G282" s="97"/>
      <c r="H282" s="91"/>
      <c r="I282" s="98" t="str">
        <f aca="false">IF(A282="","",F282-G282)</f>
        <v/>
      </c>
      <c r="J282" s="85" t="str">
        <f aca="false">IF(A282="","",IF(I282&lt;=0,"Paid",IF(G282&gt;0,"Partial","Unpaid")))</f>
        <v/>
      </c>
      <c r="K282" s="99"/>
    </row>
    <row r="283" customFormat="false" ht="19.5" hidden="false" customHeight="true" outlineLevel="0" collapsed="false">
      <c r="A283" s="52"/>
      <c r="B283" s="89" t="str">
        <f aca="false">IF(A283="","",IFERROR(INDEX(Students!$B$5:$B$304,MATCH(A283,Students!$A$5:$A$304,0)),"ID not found"))</f>
        <v/>
      </c>
      <c r="C283" s="85" t="str">
        <f aca="false">IF(A283="","",IFERROR(INDEX(Students!$E$5:$E$304,MATCH(A283,Students!$A$5:$A$304,0)),""))</f>
        <v/>
      </c>
      <c r="D283" s="85" t="str">
        <f aca="false">IF(A283="","",IFERROR(INDEX(Students!$F$5:$F$304,MATCH(A283,Students!$A$5:$A$304,0)),""))</f>
        <v/>
      </c>
      <c r="E283" s="52"/>
      <c r="F283" s="97"/>
      <c r="G283" s="97"/>
      <c r="H283" s="91"/>
      <c r="I283" s="98" t="str">
        <f aca="false">IF(A283="","",F283-G283)</f>
        <v/>
      </c>
      <c r="J283" s="85" t="str">
        <f aca="false">IF(A283="","",IF(I283&lt;=0,"Paid",IF(G283&gt;0,"Partial","Unpaid")))</f>
        <v/>
      </c>
      <c r="K283" s="99"/>
    </row>
    <row r="284" customFormat="false" ht="19.5" hidden="false" customHeight="true" outlineLevel="0" collapsed="false">
      <c r="A284" s="52"/>
      <c r="B284" s="89" t="str">
        <f aca="false">IF(A284="","",IFERROR(INDEX(Students!$B$5:$B$304,MATCH(A284,Students!$A$5:$A$304,0)),"ID not found"))</f>
        <v/>
      </c>
      <c r="C284" s="85" t="str">
        <f aca="false">IF(A284="","",IFERROR(INDEX(Students!$E$5:$E$304,MATCH(A284,Students!$A$5:$A$304,0)),""))</f>
        <v/>
      </c>
      <c r="D284" s="85" t="str">
        <f aca="false">IF(A284="","",IFERROR(INDEX(Students!$F$5:$F$304,MATCH(A284,Students!$A$5:$A$304,0)),""))</f>
        <v/>
      </c>
      <c r="E284" s="52"/>
      <c r="F284" s="97"/>
      <c r="G284" s="97"/>
      <c r="H284" s="91"/>
      <c r="I284" s="98" t="str">
        <f aca="false">IF(A284="","",F284-G284)</f>
        <v/>
      </c>
      <c r="J284" s="85" t="str">
        <f aca="false">IF(A284="","",IF(I284&lt;=0,"Paid",IF(G284&gt;0,"Partial","Unpaid")))</f>
        <v/>
      </c>
      <c r="K284" s="99"/>
    </row>
    <row r="285" customFormat="false" ht="19.5" hidden="false" customHeight="true" outlineLevel="0" collapsed="false">
      <c r="A285" s="52"/>
      <c r="B285" s="89" t="str">
        <f aca="false">IF(A285="","",IFERROR(INDEX(Students!$B$5:$B$304,MATCH(A285,Students!$A$5:$A$304,0)),"ID not found"))</f>
        <v/>
      </c>
      <c r="C285" s="85" t="str">
        <f aca="false">IF(A285="","",IFERROR(INDEX(Students!$E$5:$E$304,MATCH(A285,Students!$A$5:$A$304,0)),""))</f>
        <v/>
      </c>
      <c r="D285" s="85" t="str">
        <f aca="false">IF(A285="","",IFERROR(INDEX(Students!$F$5:$F$304,MATCH(A285,Students!$A$5:$A$304,0)),""))</f>
        <v/>
      </c>
      <c r="E285" s="52"/>
      <c r="F285" s="97"/>
      <c r="G285" s="97"/>
      <c r="H285" s="91"/>
      <c r="I285" s="98" t="str">
        <f aca="false">IF(A285="","",F285-G285)</f>
        <v/>
      </c>
      <c r="J285" s="85" t="str">
        <f aca="false">IF(A285="","",IF(I285&lt;=0,"Paid",IF(G285&gt;0,"Partial","Unpaid")))</f>
        <v/>
      </c>
      <c r="K285" s="99"/>
    </row>
    <row r="286" customFormat="false" ht="19.5" hidden="false" customHeight="true" outlineLevel="0" collapsed="false">
      <c r="A286" s="52"/>
      <c r="B286" s="89" t="str">
        <f aca="false">IF(A286="","",IFERROR(INDEX(Students!$B$5:$B$304,MATCH(A286,Students!$A$5:$A$304,0)),"ID not found"))</f>
        <v/>
      </c>
      <c r="C286" s="85" t="str">
        <f aca="false">IF(A286="","",IFERROR(INDEX(Students!$E$5:$E$304,MATCH(A286,Students!$A$5:$A$304,0)),""))</f>
        <v/>
      </c>
      <c r="D286" s="85" t="str">
        <f aca="false">IF(A286="","",IFERROR(INDEX(Students!$F$5:$F$304,MATCH(A286,Students!$A$5:$A$304,0)),""))</f>
        <v/>
      </c>
      <c r="E286" s="52"/>
      <c r="F286" s="97"/>
      <c r="G286" s="97"/>
      <c r="H286" s="91"/>
      <c r="I286" s="98" t="str">
        <f aca="false">IF(A286="","",F286-G286)</f>
        <v/>
      </c>
      <c r="J286" s="85" t="str">
        <f aca="false">IF(A286="","",IF(I286&lt;=0,"Paid",IF(G286&gt;0,"Partial","Unpaid")))</f>
        <v/>
      </c>
      <c r="K286" s="99"/>
    </row>
    <row r="287" customFormat="false" ht="19.5" hidden="false" customHeight="true" outlineLevel="0" collapsed="false">
      <c r="A287" s="52"/>
      <c r="B287" s="89" t="str">
        <f aca="false">IF(A287="","",IFERROR(INDEX(Students!$B$5:$B$304,MATCH(A287,Students!$A$5:$A$304,0)),"ID not found"))</f>
        <v/>
      </c>
      <c r="C287" s="85" t="str">
        <f aca="false">IF(A287="","",IFERROR(INDEX(Students!$E$5:$E$304,MATCH(A287,Students!$A$5:$A$304,0)),""))</f>
        <v/>
      </c>
      <c r="D287" s="85" t="str">
        <f aca="false">IF(A287="","",IFERROR(INDEX(Students!$F$5:$F$304,MATCH(A287,Students!$A$5:$A$304,0)),""))</f>
        <v/>
      </c>
      <c r="E287" s="52"/>
      <c r="F287" s="97"/>
      <c r="G287" s="97"/>
      <c r="H287" s="91"/>
      <c r="I287" s="98" t="str">
        <f aca="false">IF(A287="","",F287-G287)</f>
        <v/>
      </c>
      <c r="J287" s="85" t="str">
        <f aca="false">IF(A287="","",IF(I287&lt;=0,"Paid",IF(G287&gt;0,"Partial","Unpaid")))</f>
        <v/>
      </c>
      <c r="K287" s="99"/>
    </row>
    <row r="288" customFormat="false" ht="19.5" hidden="false" customHeight="true" outlineLevel="0" collapsed="false">
      <c r="A288" s="52"/>
      <c r="B288" s="89" t="str">
        <f aca="false">IF(A288="","",IFERROR(INDEX(Students!$B$5:$B$304,MATCH(A288,Students!$A$5:$A$304,0)),"ID not found"))</f>
        <v/>
      </c>
      <c r="C288" s="85" t="str">
        <f aca="false">IF(A288="","",IFERROR(INDEX(Students!$E$5:$E$304,MATCH(A288,Students!$A$5:$A$304,0)),""))</f>
        <v/>
      </c>
      <c r="D288" s="85" t="str">
        <f aca="false">IF(A288="","",IFERROR(INDEX(Students!$F$5:$F$304,MATCH(A288,Students!$A$5:$A$304,0)),""))</f>
        <v/>
      </c>
      <c r="E288" s="52"/>
      <c r="F288" s="97"/>
      <c r="G288" s="97"/>
      <c r="H288" s="91"/>
      <c r="I288" s="98" t="str">
        <f aca="false">IF(A288="","",F288-G288)</f>
        <v/>
      </c>
      <c r="J288" s="85" t="str">
        <f aca="false">IF(A288="","",IF(I288&lt;=0,"Paid",IF(G288&gt;0,"Partial","Unpaid")))</f>
        <v/>
      </c>
      <c r="K288" s="99"/>
    </row>
    <row r="289" customFormat="false" ht="19.5" hidden="false" customHeight="true" outlineLevel="0" collapsed="false">
      <c r="A289" s="52"/>
      <c r="B289" s="89" t="str">
        <f aca="false">IF(A289="","",IFERROR(INDEX(Students!$B$5:$B$304,MATCH(A289,Students!$A$5:$A$304,0)),"ID not found"))</f>
        <v/>
      </c>
      <c r="C289" s="85" t="str">
        <f aca="false">IF(A289="","",IFERROR(INDEX(Students!$E$5:$E$304,MATCH(A289,Students!$A$5:$A$304,0)),""))</f>
        <v/>
      </c>
      <c r="D289" s="85" t="str">
        <f aca="false">IF(A289="","",IFERROR(INDEX(Students!$F$5:$F$304,MATCH(A289,Students!$A$5:$A$304,0)),""))</f>
        <v/>
      </c>
      <c r="E289" s="52"/>
      <c r="F289" s="97"/>
      <c r="G289" s="97"/>
      <c r="H289" s="91"/>
      <c r="I289" s="98" t="str">
        <f aca="false">IF(A289="","",F289-G289)</f>
        <v/>
      </c>
      <c r="J289" s="85" t="str">
        <f aca="false">IF(A289="","",IF(I289&lt;=0,"Paid",IF(G289&gt;0,"Partial","Unpaid")))</f>
        <v/>
      </c>
      <c r="K289" s="99"/>
    </row>
    <row r="290" customFormat="false" ht="19.5" hidden="false" customHeight="true" outlineLevel="0" collapsed="false">
      <c r="A290" s="52"/>
      <c r="B290" s="89" t="str">
        <f aca="false">IF(A290="","",IFERROR(INDEX(Students!$B$5:$B$304,MATCH(A290,Students!$A$5:$A$304,0)),"ID not found"))</f>
        <v/>
      </c>
      <c r="C290" s="85" t="str">
        <f aca="false">IF(A290="","",IFERROR(INDEX(Students!$E$5:$E$304,MATCH(A290,Students!$A$5:$A$304,0)),""))</f>
        <v/>
      </c>
      <c r="D290" s="85" t="str">
        <f aca="false">IF(A290="","",IFERROR(INDEX(Students!$F$5:$F$304,MATCH(A290,Students!$A$5:$A$304,0)),""))</f>
        <v/>
      </c>
      <c r="E290" s="52"/>
      <c r="F290" s="97"/>
      <c r="G290" s="97"/>
      <c r="H290" s="91"/>
      <c r="I290" s="98" t="str">
        <f aca="false">IF(A290="","",F290-G290)</f>
        <v/>
      </c>
      <c r="J290" s="85" t="str">
        <f aca="false">IF(A290="","",IF(I290&lt;=0,"Paid",IF(G290&gt;0,"Partial","Unpaid")))</f>
        <v/>
      </c>
      <c r="K290" s="99"/>
    </row>
    <row r="291" customFormat="false" ht="19.5" hidden="false" customHeight="true" outlineLevel="0" collapsed="false">
      <c r="A291" s="52"/>
      <c r="B291" s="89" t="str">
        <f aca="false">IF(A291="","",IFERROR(INDEX(Students!$B$5:$B$304,MATCH(A291,Students!$A$5:$A$304,0)),"ID not found"))</f>
        <v/>
      </c>
      <c r="C291" s="85" t="str">
        <f aca="false">IF(A291="","",IFERROR(INDEX(Students!$E$5:$E$304,MATCH(A291,Students!$A$5:$A$304,0)),""))</f>
        <v/>
      </c>
      <c r="D291" s="85" t="str">
        <f aca="false">IF(A291="","",IFERROR(INDEX(Students!$F$5:$F$304,MATCH(A291,Students!$A$5:$A$304,0)),""))</f>
        <v/>
      </c>
      <c r="E291" s="52"/>
      <c r="F291" s="97"/>
      <c r="G291" s="97"/>
      <c r="H291" s="91"/>
      <c r="I291" s="98" t="str">
        <f aca="false">IF(A291="","",F291-G291)</f>
        <v/>
      </c>
      <c r="J291" s="85" t="str">
        <f aca="false">IF(A291="","",IF(I291&lt;=0,"Paid",IF(G291&gt;0,"Partial","Unpaid")))</f>
        <v/>
      </c>
      <c r="K291" s="99"/>
    </row>
    <row r="292" customFormat="false" ht="19.5" hidden="false" customHeight="true" outlineLevel="0" collapsed="false">
      <c r="A292" s="52"/>
      <c r="B292" s="89" t="str">
        <f aca="false">IF(A292="","",IFERROR(INDEX(Students!$B$5:$B$304,MATCH(A292,Students!$A$5:$A$304,0)),"ID not found"))</f>
        <v/>
      </c>
      <c r="C292" s="85" t="str">
        <f aca="false">IF(A292="","",IFERROR(INDEX(Students!$E$5:$E$304,MATCH(A292,Students!$A$5:$A$304,0)),""))</f>
        <v/>
      </c>
      <c r="D292" s="85" t="str">
        <f aca="false">IF(A292="","",IFERROR(INDEX(Students!$F$5:$F$304,MATCH(A292,Students!$A$5:$A$304,0)),""))</f>
        <v/>
      </c>
      <c r="E292" s="52"/>
      <c r="F292" s="97"/>
      <c r="G292" s="97"/>
      <c r="H292" s="91"/>
      <c r="I292" s="98" t="str">
        <f aca="false">IF(A292="","",F292-G292)</f>
        <v/>
      </c>
      <c r="J292" s="85" t="str">
        <f aca="false">IF(A292="","",IF(I292&lt;=0,"Paid",IF(G292&gt;0,"Partial","Unpaid")))</f>
        <v/>
      </c>
      <c r="K292" s="99"/>
    </row>
    <row r="293" customFormat="false" ht="19.5" hidden="false" customHeight="true" outlineLevel="0" collapsed="false">
      <c r="A293" s="52"/>
      <c r="B293" s="89" t="str">
        <f aca="false">IF(A293="","",IFERROR(INDEX(Students!$B$5:$B$304,MATCH(A293,Students!$A$5:$A$304,0)),"ID not found"))</f>
        <v/>
      </c>
      <c r="C293" s="85" t="str">
        <f aca="false">IF(A293="","",IFERROR(INDEX(Students!$E$5:$E$304,MATCH(A293,Students!$A$5:$A$304,0)),""))</f>
        <v/>
      </c>
      <c r="D293" s="85" t="str">
        <f aca="false">IF(A293="","",IFERROR(INDEX(Students!$F$5:$F$304,MATCH(A293,Students!$A$5:$A$304,0)),""))</f>
        <v/>
      </c>
      <c r="E293" s="52"/>
      <c r="F293" s="97"/>
      <c r="G293" s="97"/>
      <c r="H293" s="91"/>
      <c r="I293" s="98" t="str">
        <f aca="false">IF(A293="","",F293-G293)</f>
        <v/>
      </c>
      <c r="J293" s="85" t="str">
        <f aca="false">IF(A293="","",IF(I293&lt;=0,"Paid",IF(G293&gt;0,"Partial","Unpaid")))</f>
        <v/>
      </c>
      <c r="K293" s="99"/>
    </row>
    <row r="294" customFormat="false" ht="19.5" hidden="false" customHeight="true" outlineLevel="0" collapsed="false">
      <c r="A294" s="52"/>
      <c r="B294" s="89" t="str">
        <f aca="false">IF(A294="","",IFERROR(INDEX(Students!$B$5:$B$304,MATCH(A294,Students!$A$5:$A$304,0)),"ID not found"))</f>
        <v/>
      </c>
      <c r="C294" s="85" t="str">
        <f aca="false">IF(A294="","",IFERROR(INDEX(Students!$E$5:$E$304,MATCH(A294,Students!$A$5:$A$304,0)),""))</f>
        <v/>
      </c>
      <c r="D294" s="85" t="str">
        <f aca="false">IF(A294="","",IFERROR(INDEX(Students!$F$5:$F$304,MATCH(A294,Students!$A$5:$A$304,0)),""))</f>
        <v/>
      </c>
      <c r="E294" s="52"/>
      <c r="F294" s="97"/>
      <c r="G294" s="97"/>
      <c r="H294" s="91"/>
      <c r="I294" s="98" t="str">
        <f aca="false">IF(A294="","",F294-G294)</f>
        <v/>
      </c>
      <c r="J294" s="85" t="str">
        <f aca="false">IF(A294="","",IF(I294&lt;=0,"Paid",IF(G294&gt;0,"Partial","Unpaid")))</f>
        <v/>
      </c>
      <c r="K294" s="99"/>
    </row>
    <row r="295" customFormat="false" ht="19.5" hidden="false" customHeight="true" outlineLevel="0" collapsed="false">
      <c r="A295" s="52"/>
      <c r="B295" s="89" t="str">
        <f aca="false">IF(A295="","",IFERROR(INDEX(Students!$B$5:$B$304,MATCH(A295,Students!$A$5:$A$304,0)),"ID not found"))</f>
        <v/>
      </c>
      <c r="C295" s="85" t="str">
        <f aca="false">IF(A295="","",IFERROR(INDEX(Students!$E$5:$E$304,MATCH(A295,Students!$A$5:$A$304,0)),""))</f>
        <v/>
      </c>
      <c r="D295" s="85" t="str">
        <f aca="false">IF(A295="","",IFERROR(INDEX(Students!$F$5:$F$304,MATCH(A295,Students!$A$5:$A$304,0)),""))</f>
        <v/>
      </c>
      <c r="E295" s="52"/>
      <c r="F295" s="97"/>
      <c r="G295" s="97"/>
      <c r="H295" s="91"/>
      <c r="I295" s="98" t="str">
        <f aca="false">IF(A295="","",F295-G295)</f>
        <v/>
      </c>
      <c r="J295" s="85" t="str">
        <f aca="false">IF(A295="","",IF(I295&lt;=0,"Paid",IF(G295&gt;0,"Partial","Unpaid")))</f>
        <v/>
      </c>
      <c r="K295" s="99"/>
    </row>
    <row r="296" customFormat="false" ht="19.5" hidden="false" customHeight="true" outlineLevel="0" collapsed="false">
      <c r="A296" s="52"/>
      <c r="B296" s="89" t="str">
        <f aca="false">IF(A296="","",IFERROR(INDEX(Students!$B$5:$B$304,MATCH(A296,Students!$A$5:$A$304,0)),"ID not found"))</f>
        <v/>
      </c>
      <c r="C296" s="85" t="str">
        <f aca="false">IF(A296="","",IFERROR(INDEX(Students!$E$5:$E$304,MATCH(A296,Students!$A$5:$A$304,0)),""))</f>
        <v/>
      </c>
      <c r="D296" s="85" t="str">
        <f aca="false">IF(A296="","",IFERROR(INDEX(Students!$F$5:$F$304,MATCH(A296,Students!$A$5:$A$304,0)),""))</f>
        <v/>
      </c>
      <c r="E296" s="52"/>
      <c r="F296" s="97"/>
      <c r="G296" s="97"/>
      <c r="H296" s="91"/>
      <c r="I296" s="98" t="str">
        <f aca="false">IF(A296="","",F296-G296)</f>
        <v/>
      </c>
      <c r="J296" s="85" t="str">
        <f aca="false">IF(A296="","",IF(I296&lt;=0,"Paid",IF(G296&gt;0,"Partial","Unpaid")))</f>
        <v/>
      </c>
      <c r="K296" s="99"/>
    </row>
    <row r="297" customFormat="false" ht="19.5" hidden="false" customHeight="true" outlineLevel="0" collapsed="false">
      <c r="A297" s="52"/>
      <c r="B297" s="89" t="str">
        <f aca="false">IF(A297="","",IFERROR(INDEX(Students!$B$5:$B$304,MATCH(A297,Students!$A$5:$A$304,0)),"ID not found"))</f>
        <v/>
      </c>
      <c r="C297" s="85" t="str">
        <f aca="false">IF(A297="","",IFERROR(INDEX(Students!$E$5:$E$304,MATCH(A297,Students!$A$5:$A$304,0)),""))</f>
        <v/>
      </c>
      <c r="D297" s="85" t="str">
        <f aca="false">IF(A297="","",IFERROR(INDEX(Students!$F$5:$F$304,MATCH(A297,Students!$A$5:$A$304,0)),""))</f>
        <v/>
      </c>
      <c r="E297" s="52"/>
      <c r="F297" s="97"/>
      <c r="G297" s="97"/>
      <c r="H297" s="91"/>
      <c r="I297" s="98" t="str">
        <f aca="false">IF(A297="","",F297-G297)</f>
        <v/>
      </c>
      <c r="J297" s="85" t="str">
        <f aca="false">IF(A297="","",IF(I297&lt;=0,"Paid",IF(G297&gt;0,"Partial","Unpaid")))</f>
        <v/>
      </c>
      <c r="K297" s="99"/>
    </row>
    <row r="298" customFormat="false" ht="19.5" hidden="false" customHeight="true" outlineLevel="0" collapsed="false">
      <c r="A298" s="52"/>
      <c r="B298" s="89" t="str">
        <f aca="false">IF(A298="","",IFERROR(INDEX(Students!$B$5:$B$304,MATCH(A298,Students!$A$5:$A$304,0)),"ID not found"))</f>
        <v/>
      </c>
      <c r="C298" s="85" t="str">
        <f aca="false">IF(A298="","",IFERROR(INDEX(Students!$E$5:$E$304,MATCH(A298,Students!$A$5:$A$304,0)),""))</f>
        <v/>
      </c>
      <c r="D298" s="85" t="str">
        <f aca="false">IF(A298="","",IFERROR(INDEX(Students!$F$5:$F$304,MATCH(A298,Students!$A$5:$A$304,0)),""))</f>
        <v/>
      </c>
      <c r="E298" s="52"/>
      <c r="F298" s="97"/>
      <c r="G298" s="97"/>
      <c r="H298" s="91"/>
      <c r="I298" s="98" t="str">
        <f aca="false">IF(A298="","",F298-G298)</f>
        <v/>
      </c>
      <c r="J298" s="85" t="str">
        <f aca="false">IF(A298="","",IF(I298&lt;=0,"Paid",IF(G298&gt;0,"Partial","Unpaid")))</f>
        <v/>
      </c>
      <c r="K298" s="99"/>
    </row>
    <row r="299" customFormat="false" ht="19.5" hidden="false" customHeight="true" outlineLevel="0" collapsed="false">
      <c r="A299" s="52"/>
      <c r="B299" s="89" t="str">
        <f aca="false">IF(A299="","",IFERROR(INDEX(Students!$B$5:$B$304,MATCH(A299,Students!$A$5:$A$304,0)),"ID not found"))</f>
        <v/>
      </c>
      <c r="C299" s="85" t="str">
        <f aca="false">IF(A299="","",IFERROR(INDEX(Students!$E$5:$E$304,MATCH(A299,Students!$A$5:$A$304,0)),""))</f>
        <v/>
      </c>
      <c r="D299" s="85" t="str">
        <f aca="false">IF(A299="","",IFERROR(INDEX(Students!$F$5:$F$304,MATCH(A299,Students!$A$5:$A$304,0)),""))</f>
        <v/>
      </c>
      <c r="E299" s="52"/>
      <c r="F299" s="97"/>
      <c r="G299" s="97"/>
      <c r="H299" s="91"/>
      <c r="I299" s="98" t="str">
        <f aca="false">IF(A299="","",F299-G299)</f>
        <v/>
      </c>
      <c r="J299" s="85" t="str">
        <f aca="false">IF(A299="","",IF(I299&lt;=0,"Paid",IF(G299&gt;0,"Partial","Unpaid")))</f>
        <v/>
      </c>
      <c r="K299" s="99"/>
    </row>
    <row r="300" customFormat="false" ht="19.5" hidden="false" customHeight="true" outlineLevel="0" collapsed="false">
      <c r="A300" s="52"/>
      <c r="B300" s="89" t="str">
        <f aca="false">IF(A300="","",IFERROR(INDEX(Students!$B$5:$B$304,MATCH(A300,Students!$A$5:$A$304,0)),"ID not found"))</f>
        <v/>
      </c>
      <c r="C300" s="85" t="str">
        <f aca="false">IF(A300="","",IFERROR(INDEX(Students!$E$5:$E$304,MATCH(A300,Students!$A$5:$A$304,0)),""))</f>
        <v/>
      </c>
      <c r="D300" s="85" t="str">
        <f aca="false">IF(A300="","",IFERROR(INDEX(Students!$F$5:$F$304,MATCH(A300,Students!$A$5:$A$304,0)),""))</f>
        <v/>
      </c>
      <c r="E300" s="52"/>
      <c r="F300" s="97"/>
      <c r="G300" s="97"/>
      <c r="H300" s="91"/>
      <c r="I300" s="98" t="str">
        <f aca="false">IF(A300="","",F300-G300)</f>
        <v/>
      </c>
      <c r="J300" s="85" t="str">
        <f aca="false">IF(A300="","",IF(I300&lt;=0,"Paid",IF(G300&gt;0,"Partial","Unpaid")))</f>
        <v/>
      </c>
      <c r="K300" s="99"/>
    </row>
    <row r="301" customFormat="false" ht="19.5" hidden="false" customHeight="true" outlineLevel="0" collapsed="false">
      <c r="A301" s="52"/>
      <c r="B301" s="89" t="str">
        <f aca="false">IF(A301="","",IFERROR(INDEX(Students!$B$5:$B$304,MATCH(A301,Students!$A$5:$A$304,0)),"ID not found"))</f>
        <v/>
      </c>
      <c r="C301" s="85" t="str">
        <f aca="false">IF(A301="","",IFERROR(INDEX(Students!$E$5:$E$304,MATCH(A301,Students!$A$5:$A$304,0)),""))</f>
        <v/>
      </c>
      <c r="D301" s="85" t="str">
        <f aca="false">IF(A301="","",IFERROR(INDEX(Students!$F$5:$F$304,MATCH(A301,Students!$A$5:$A$304,0)),""))</f>
        <v/>
      </c>
      <c r="E301" s="52"/>
      <c r="F301" s="97"/>
      <c r="G301" s="97"/>
      <c r="H301" s="91"/>
      <c r="I301" s="98" t="str">
        <f aca="false">IF(A301="","",F301-G301)</f>
        <v/>
      </c>
      <c r="J301" s="85" t="str">
        <f aca="false">IF(A301="","",IF(I301&lt;=0,"Paid",IF(G301&gt;0,"Partial","Unpaid")))</f>
        <v/>
      </c>
      <c r="K301" s="99"/>
    </row>
    <row r="302" customFormat="false" ht="19.5" hidden="false" customHeight="true" outlineLevel="0" collapsed="false">
      <c r="A302" s="52"/>
      <c r="B302" s="89" t="str">
        <f aca="false">IF(A302="","",IFERROR(INDEX(Students!$B$5:$B$304,MATCH(A302,Students!$A$5:$A$304,0)),"ID not found"))</f>
        <v/>
      </c>
      <c r="C302" s="85" t="str">
        <f aca="false">IF(A302="","",IFERROR(INDEX(Students!$E$5:$E$304,MATCH(A302,Students!$A$5:$A$304,0)),""))</f>
        <v/>
      </c>
      <c r="D302" s="85" t="str">
        <f aca="false">IF(A302="","",IFERROR(INDEX(Students!$F$5:$F$304,MATCH(A302,Students!$A$5:$A$304,0)),""))</f>
        <v/>
      </c>
      <c r="E302" s="52"/>
      <c r="F302" s="97"/>
      <c r="G302" s="97"/>
      <c r="H302" s="91"/>
      <c r="I302" s="98" t="str">
        <f aca="false">IF(A302="","",F302-G302)</f>
        <v/>
      </c>
      <c r="J302" s="85" t="str">
        <f aca="false">IF(A302="","",IF(I302&lt;=0,"Paid",IF(G302&gt;0,"Partial","Unpaid")))</f>
        <v/>
      </c>
      <c r="K302" s="99"/>
    </row>
    <row r="303" customFormat="false" ht="19.5" hidden="false" customHeight="true" outlineLevel="0" collapsed="false">
      <c r="A303" s="52"/>
      <c r="B303" s="89" t="str">
        <f aca="false">IF(A303="","",IFERROR(INDEX(Students!$B$5:$B$304,MATCH(A303,Students!$A$5:$A$304,0)),"ID not found"))</f>
        <v/>
      </c>
      <c r="C303" s="85" t="str">
        <f aca="false">IF(A303="","",IFERROR(INDEX(Students!$E$5:$E$304,MATCH(A303,Students!$A$5:$A$304,0)),""))</f>
        <v/>
      </c>
      <c r="D303" s="85" t="str">
        <f aca="false">IF(A303="","",IFERROR(INDEX(Students!$F$5:$F$304,MATCH(A303,Students!$A$5:$A$304,0)),""))</f>
        <v/>
      </c>
      <c r="E303" s="52"/>
      <c r="F303" s="97"/>
      <c r="G303" s="97"/>
      <c r="H303" s="91"/>
      <c r="I303" s="98" t="str">
        <f aca="false">IF(A303="","",F303-G303)</f>
        <v/>
      </c>
      <c r="J303" s="85" t="str">
        <f aca="false">IF(A303="","",IF(I303&lt;=0,"Paid",IF(G303&gt;0,"Partial","Unpaid")))</f>
        <v/>
      </c>
      <c r="K303" s="99"/>
    </row>
    <row r="304" customFormat="false" ht="19.5" hidden="false" customHeight="true" outlineLevel="0" collapsed="false">
      <c r="A304" s="52"/>
      <c r="B304" s="89" t="str">
        <f aca="false">IF(A304="","",IFERROR(INDEX(Students!$B$5:$B$304,MATCH(A304,Students!$A$5:$A$304,0)),"ID not found"))</f>
        <v/>
      </c>
      <c r="C304" s="85" t="str">
        <f aca="false">IF(A304="","",IFERROR(INDEX(Students!$E$5:$E$304,MATCH(A304,Students!$A$5:$A$304,0)),""))</f>
        <v/>
      </c>
      <c r="D304" s="85" t="str">
        <f aca="false">IF(A304="","",IFERROR(INDEX(Students!$F$5:$F$304,MATCH(A304,Students!$A$5:$A$304,0)),""))</f>
        <v/>
      </c>
      <c r="E304" s="52"/>
      <c r="F304" s="97"/>
      <c r="G304" s="97"/>
      <c r="H304" s="91"/>
      <c r="I304" s="98" t="str">
        <f aca="false">IF(A304="","",F304-G304)</f>
        <v/>
      </c>
      <c r="J304" s="85" t="str">
        <f aca="false">IF(A304="","",IF(I304&lt;=0,"Paid",IF(G304&gt;0,"Partial","Unpaid")))</f>
        <v/>
      </c>
      <c r="K304" s="99"/>
    </row>
  </sheetData>
  <mergeCells count="3">
    <mergeCell ref="A1:K1"/>
    <mergeCell ref="A2:K2"/>
    <mergeCell ref="A3:K3"/>
  </mergeCells>
  <conditionalFormatting sqref="A5:K304">
    <cfRule type="expression" priority="2" aboveAverage="0" equalAverage="0" bottom="0" percent="0" rank="0" text="" dxfId="0">
      <formula>AND(MOD(ROW(),2)=0,$A5&lt;&gt;"")</formula>
    </cfRule>
  </conditionalFormatting>
  <conditionalFormatting sqref="J5:J304">
    <cfRule type="expression" priority="3" aboveAverage="0" equalAverage="0" bottom="0" percent="0" rank="0" text="" dxfId="6">
      <formula>$J5="Paid"</formula>
    </cfRule>
    <cfRule type="expression" priority="4" aboveAverage="0" equalAverage="0" bottom="0" percent="0" rank="0" text="" dxfId="5">
      <formula>$J5="Partial"</formula>
    </cfRule>
    <cfRule type="expression" priority="5" aboveAverage="0" equalAverage="0" bottom="0" percent="0" rank="0" text="" dxfId="7">
      <formula>$J5="Unpaid"</formula>
    </cfRule>
  </conditionalFormatting>
  <conditionalFormatting sqref="I5:I304">
    <cfRule type="cellIs" priority="6" operator="greaterThan" aboveAverage="0" equalAverage="0" bottom="0" percent="0" rank="0" text="" dxfId="1">
      <formula>0</formula>
    </cfRule>
  </conditionalFormatting>
  <dataValidations count="2">
    <dataValidation allowBlank="true" error="Pick a Student ID from the Students tab." errorStyle="stop" errorTitle="Invalid entry" operator="between" showDropDown="false" showErrorMessage="true" showInputMessage="false" sqref="A5:A304" type="list">
      <formula1>Students!$A$5:$A$304</formula1>
      <formula2>0</formula2>
    </dataValidation>
    <dataValidation allowBlank="true" error="Choose from the list." errorStyle="stop" errorTitle="Invalid entry" operator="between" showDropDown="false" showErrorMessage="true" showInputMessage="false" sqref="E5:E304" type="list">
      <formula1>Settings!$A$11:$A$14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355B"/>
    <pageSetUpPr fitToPage="true"/>
  </sheetPr>
  <dimension ref="A1:J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4" min="3" style="1" width="8"/>
    <col collapsed="false" customWidth="true" hidden="false" outlineLevel="0" max="5" min="5" style="1" width="26"/>
    <col collapsed="false" customWidth="true" hidden="false" outlineLevel="0" max="6" min="6" style="1" width="12"/>
    <col collapsed="false" customWidth="true" hidden="false" outlineLevel="0" max="7" min="7" style="1" width="24"/>
    <col collapsed="false" customWidth="true" hidden="false" outlineLevel="0" max="8" min="8" style="1" width="12"/>
    <col collapsed="false" customWidth="true" hidden="true" outlineLevel="0" max="9" min="9" style="1" width="24"/>
    <col collapsed="false" customWidth="true" hidden="false" outlineLevel="0" max="10" min="10" style="1" width="16"/>
  </cols>
  <sheetData>
    <row r="1" customFormat="false" ht="42" hidden="false" customHeight="true" outlineLevel="0" collapsed="false">
      <c r="A1" s="2" t="s">
        <v>368</v>
      </c>
      <c r="B1" s="2"/>
      <c r="C1" s="2"/>
      <c r="D1" s="2"/>
      <c r="E1" s="2"/>
      <c r="F1" s="2"/>
      <c r="G1" s="2"/>
      <c r="H1" s="2"/>
      <c r="I1" s="2"/>
      <c r="J1" s="2"/>
    </row>
    <row r="2" customFormat="false" ht="19.5" hidden="false" customHeight="true" outlineLevel="0" collapsed="false">
      <c r="A2" s="3" t="s">
        <v>369</v>
      </c>
      <c r="B2" s="3"/>
      <c r="C2" s="3"/>
      <c r="D2" s="3"/>
      <c r="E2" s="3"/>
      <c r="F2" s="3"/>
      <c r="G2" s="3"/>
      <c r="H2" s="3"/>
      <c r="I2" s="3"/>
      <c r="J2" s="3"/>
    </row>
    <row r="3" customFormat="false" ht="3.75" hidden="false" customHeight="true" outlineLevel="0" collapsed="false">
      <c r="A3" s="4"/>
      <c r="B3" s="4"/>
      <c r="C3" s="4"/>
      <c r="D3" s="4"/>
      <c r="E3" s="4"/>
      <c r="F3" s="4"/>
      <c r="G3" s="4"/>
      <c r="H3" s="4"/>
      <c r="I3" s="4"/>
      <c r="J3" s="4"/>
    </row>
    <row r="4" customFormat="false" ht="33.75" hidden="false" customHeight="true" outlineLevel="0" collapsed="false">
      <c r="A4" s="15" t="s">
        <v>99</v>
      </c>
      <c r="B4" s="15" t="s">
        <v>340</v>
      </c>
      <c r="C4" s="15" t="s">
        <v>370</v>
      </c>
      <c r="D4" s="15" t="s">
        <v>191</v>
      </c>
      <c r="E4" s="15" t="s">
        <v>132</v>
      </c>
      <c r="F4" s="15" t="s">
        <v>371</v>
      </c>
      <c r="G4" s="15" t="s">
        <v>372</v>
      </c>
      <c r="H4" s="15" t="s">
        <v>321</v>
      </c>
      <c r="I4" s="15" t="s">
        <v>373</v>
      </c>
      <c r="J4" s="15" t="s">
        <v>374</v>
      </c>
    </row>
    <row r="5" customFormat="false" ht="19.5" hidden="false" customHeight="true" outlineLevel="0" collapsed="false">
      <c r="A5" s="87" t="s">
        <v>143</v>
      </c>
      <c r="B5" s="87" t="s">
        <v>145</v>
      </c>
      <c r="C5" s="87" t="s">
        <v>193</v>
      </c>
      <c r="D5" s="87" t="n">
        <v>1</v>
      </c>
      <c r="E5" s="84" t="s">
        <v>181</v>
      </c>
      <c r="F5" s="87" t="s">
        <v>324</v>
      </c>
      <c r="G5" s="88" t="str">
        <f aca="false">IF(F5="","",IFERROR(INDEX(Teachers!$B$5:$B$304,MATCH(F5,Teachers!$A$5:$A$304,0)),""))</f>
        <v>John Sesay</v>
      </c>
      <c r="H5" s="87" t="s">
        <v>325</v>
      </c>
      <c r="I5" s="88" t="str">
        <f aca="false">IF(A5="","",A5&amp;"|"&amp;B5&amp;"|"&amp;C5&amp;"|"&amp;D5)</f>
        <v>SCH01|Class 4|Mon|1</v>
      </c>
      <c r="J5" s="83" t="str">
        <f aca="false">IF(A5="","",IF(AND(F5&lt;&gt;"",COUNTIFS(Timetable!$F$5:$F$304,F5,Timetable!$C$5:$C$304,C5,Timetable!$D$5:$D$304,D5)&gt;1),"Teacher clash",IF(COUNTIF(Timetable!$I$5:$I$304,I5)&gt;1,"Class clash","OK")))</f>
        <v>OK</v>
      </c>
    </row>
    <row r="6" customFormat="false" ht="19.5" hidden="false" customHeight="true" outlineLevel="0" collapsed="false">
      <c r="A6" s="52"/>
      <c r="B6" s="52"/>
      <c r="C6" s="52"/>
      <c r="D6" s="52"/>
      <c r="E6" s="86"/>
      <c r="F6" s="52"/>
      <c r="G6" s="89" t="str">
        <f aca="false">IF(F6="","",IFERROR(INDEX(Teachers!$B$5:$B$304,MATCH(F6,Teachers!$A$5:$A$304,0)),""))</f>
        <v/>
      </c>
      <c r="H6" s="52"/>
      <c r="I6" s="89" t="str">
        <f aca="false">IF(A6="","",A6&amp;"|"&amp;B6&amp;"|"&amp;C6&amp;"|"&amp;D6)</f>
        <v/>
      </c>
      <c r="J6" s="85" t="str">
        <f aca="false">IF(A6="","",IF(AND(F6&lt;&gt;"",COUNTIFS(Timetable!$F$5:$F$304,F6,Timetable!$C$5:$C$304,C6,Timetable!$D$5:$D$304,D6)&gt;1),"Teacher clash",IF(COUNTIF(Timetable!$I$5:$I$304,I6)&gt;1,"Class clash","OK")))</f>
        <v/>
      </c>
    </row>
    <row r="7" customFormat="false" ht="19.5" hidden="false" customHeight="true" outlineLevel="0" collapsed="false">
      <c r="A7" s="52"/>
      <c r="B7" s="52"/>
      <c r="C7" s="52"/>
      <c r="D7" s="52"/>
      <c r="E7" s="86"/>
      <c r="F7" s="52"/>
      <c r="G7" s="89" t="str">
        <f aca="false">IF(F7="","",IFERROR(INDEX(Teachers!$B$5:$B$304,MATCH(F7,Teachers!$A$5:$A$304,0)),""))</f>
        <v/>
      </c>
      <c r="H7" s="52"/>
      <c r="I7" s="89" t="str">
        <f aca="false">IF(A7="","",A7&amp;"|"&amp;B7&amp;"|"&amp;C7&amp;"|"&amp;D7)</f>
        <v/>
      </c>
      <c r="J7" s="85" t="str">
        <f aca="false">IF(A7="","",IF(AND(F7&lt;&gt;"",COUNTIFS(Timetable!$F$5:$F$304,F7,Timetable!$C$5:$C$304,C7,Timetable!$D$5:$D$304,D7)&gt;1),"Teacher clash",IF(COUNTIF(Timetable!$I$5:$I$304,I7)&gt;1,"Class clash","OK")))</f>
        <v/>
      </c>
    </row>
    <row r="8" customFormat="false" ht="19.5" hidden="false" customHeight="true" outlineLevel="0" collapsed="false">
      <c r="A8" s="52"/>
      <c r="B8" s="52"/>
      <c r="C8" s="52"/>
      <c r="D8" s="52"/>
      <c r="E8" s="86"/>
      <c r="F8" s="52"/>
      <c r="G8" s="89" t="str">
        <f aca="false">IF(F8="","",IFERROR(INDEX(Teachers!$B$5:$B$304,MATCH(F8,Teachers!$A$5:$A$304,0)),""))</f>
        <v/>
      </c>
      <c r="H8" s="52"/>
      <c r="I8" s="89" t="str">
        <f aca="false">IF(A8="","",A8&amp;"|"&amp;B8&amp;"|"&amp;C8&amp;"|"&amp;D8)</f>
        <v/>
      </c>
      <c r="J8" s="85" t="str">
        <f aca="false">IF(A8="","",IF(AND(F8&lt;&gt;"",COUNTIFS(Timetable!$F$5:$F$304,F8,Timetable!$C$5:$C$304,C8,Timetable!$D$5:$D$304,D8)&gt;1),"Teacher clash",IF(COUNTIF(Timetable!$I$5:$I$304,I8)&gt;1,"Class clash","OK")))</f>
        <v/>
      </c>
    </row>
    <row r="9" customFormat="false" ht="19.5" hidden="false" customHeight="true" outlineLevel="0" collapsed="false">
      <c r="A9" s="52"/>
      <c r="B9" s="52"/>
      <c r="C9" s="52"/>
      <c r="D9" s="52"/>
      <c r="E9" s="86"/>
      <c r="F9" s="52"/>
      <c r="G9" s="89" t="str">
        <f aca="false">IF(F9="","",IFERROR(INDEX(Teachers!$B$5:$B$304,MATCH(F9,Teachers!$A$5:$A$304,0)),""))</f>
        <v/>
      </c>
      <c r="H9" s="52"/>
      <c r="I9" s="89" t="str">
        <f aca="false">IF(A9="","",A9&amp;"|"&amp;B9&amp;"|"&amp;C9&amp;"|"&amp;D9)</f>
        <v/>
      </c>
      <c r="J9" s="85" t="str">
        <f aca="false">IF(A9="","",IF(AND(F9&lt;&gt;"",COUNTIFS(Timetable!$F$5:$F$304,F9,Timetable!$C$5:$C$304,C9,Timetable!$D$5:$D$304,D9)&gt;1),"Teacher clash",IF(COUNTIF(Timetable!$I$5:$I$304,I9)&gt;1,"Class clash","OK")))</f>
        <v/>
      </c>
    </row>
    <row r="10" customFormat="false" ht="19.5" hidden="false" customHeight="true" outlineLevel="0" collapsed="false">
      <c r="A10" s="52"/>
      <c r="B10" s="52"/>
      <c r="C10" s="52"/>
      <c r="D10" s="52"/>
      <c r="E10" s="86"/>
      <c r="F10" s="52"/>
      <c r="G10" s="89" t="str">
        <f aca="false">IF(F10="","",IFERROR(INDEX(Teachers!$B$5:$B$304,MATCH(F10,Teachers!$A$5:$A$304,0)),""))</f>
        <v/>
      </c>
      <c r="H10" s="52"/>
      <c r="I10" s="89" t="str">
        <f aca="false">IF(A10="","",A10&amp;"|"&amp;B10&amp;"|"&amp;C10&amp;"|"&amp;D10)</f>
        <v/>
      </c>
      <c r="J10" s="85" t="str">
        <f aca="false">IF(A10="","",IF(AND(F10&lt;&gt;"",COUNTIFS(Timetable!$F$5:$F$304,F10,Timetable!$C$5:$C$304,C10,Timetable!$D$5:$D$304,D10)&gt;1),"Teacher clash",IF(COUNTIF(Timetable!$I$5:$I$304,I10)&gt;1,"Class clash","OK")))</f>
        <v/>
      </c>
    </row>
    <row r="11" customFormat="false" ht="19.5" hidden="false" customHeight="true" outlineLevel="0" collapsed="false">
      <c r="A11" s="52"/>
      <c r="B11" s="52"/>
      <c r="C11" s="52"/>
      <c r="D11" s="52"/>
      <c r="E11" s="86"/>
      <c r="F11" s="52"/>
      <c r="G11" s="89" t="str">
        <f aca="false">IF(F11="","",IFERROR(INDEX(Teachers!$B$5:$B$304,MATCH(F11,Teachers!$A$5:$A$304,0)),""))</f>
        <v/>
      </c>
      <c r="H11" s="52"/>
      <c r="I11" s="89" t="str">
        <f aca="false">IF(A11="","",A11&amp;"|"&amp;B11&amp;"|"&amp;C11&amp;"|"&amp;D11)</f>
        <v/>
      </c>
      <c r="J11" s="85" t="str">
        <f aca="false">IF(A11="","",IF(AND(F11&lt;&gt;"",COUNTIFS(Timetable!$F$5:$F$304,F11,Timetable!$C$5:$C$304,C11,Timetable!$D$5:$D$304,D11)&gt;1),"Teacher clash",IF(COUNTIF(Timetable!$I$5:$I$304,I11)&gt;1,"Class clash","OK")))</f>
        <v/>
      </c>
    </row>
    <row r="12" customFormat="false" ht="19.5" hidden="false" customHeight="true" outlineLevel="0" collapsed="false">
      <c r="A12" s="52"/>
      <c r="B12" s="52"/>
      <c r="C12" s="52"/>
      <c r="D12" s="52"/>
      <c r="E12" s="86"/>
      <c r="F12" s="52"/>
      <c r="G12" s="89" t="str">
        <f aca="false">IF(F12="","",IFERROR(INDEX(Teachers!$B$5:$B$304,MATCH(F12,Teachers!$A$5:$A$304,0)),""))</f>
        <v/>
      </c>
      <c r="H12" s="52"/>
      <c r="I12" s="89" t="str">
        <f aca="false">IF(A12="","",A12&amp;"|"&amp;B12&amp;"|"&amp;C12&amp;"|"&amp;D12)</f>
        <v/>
      </c>
      <c r="J12" s="85" t="str">
        <f aca="false">IF(A12="","",IF(AND(F12&lt;&gt;"",COUNTIFS(Timetable!$F$5:$F$304,F12,Timetable!$C$5:$C$304,C12,Timetable!$D$5:$D$304,D12)&gt;1),"Teacher clash",IF(COUNTIF(Timetable!$I$5:$I$304,I12)&gt;1,"Class clash","OK")))</f>
        <v/>
      </c>
    </row>
    <row r="13" customFormat="false" ht="19.5" hidden="false" customHeight="true" outlineLevel="0" collapsed="false">
      <c r="A13" s="52"/>
      <c r="B13" s="52"/>
      <c r="C13" s="52"/>
      <c r="D13" s="52"/>
      <c r="E13" s="86"/>
      <c r="F13" s="52"/>
      <c r="G13" s="89" t="str">
        <f aca="false">IF(F13="","",IFERROR(INDEX(Teachers!$B$5:$B$304,MATCH(F13,Teachers!$A$5:$A$304,0)),""))</f>
        <v/>
      </c>
      <c r="H13" s="52"/>
      <c r="I13" s="89" t="str">
        <f aca="false">IF(A13="","",A13&amp;"|"&amp;B13&amp;"|"&amp;C13&amp;"|"&amp;D13)</f>
        <v/>
      </c>
      <c r="J13" s="85" t="str">
        <f aca="false">IF(A13="","",IF(AND(F13&lt;&gt;"",COUNTIFS(Timetable!$F$5:$F$304,F13,Timetable!$C$5:$C$304,C13,Timetable!$D$5:$D$304,D13)&gt;1),"Teacher clash",IF(COUNTIF(Timetable!$I$5:$I$304,I13)&gt;1,"Class clash","OK")))</f>
        <v/>
      </c>
    </row>
    <row r="14" customFormat="false" ht="19.5" hidden="false" customHeight="true" outlineLevel="0" collapsed="false">
      <c r="A14" s="52"/>
      <c r="B14" s="52"/>
      <c r="C14" s="52"/>
      <c r="D14" s="52"/>
      <c r="E14" s="86"/>
      <c r="F14" s="52"/>
      <c r="G14" s="89" t="str">
        <f aca="false">IF(F14="","",IFERROR(INDEX(Teachers!$B$5:$B$304,MATCH(F14,Teachers!$A$5:$A$304,0)),""))</f>
        <v/>
      </c>
      <c r="H14" s="52"/>
      <c r="I14" s="89" t="str">
        <f aca="false">IF(A14="","",A14&amp;"|"&amp;B14&amp;"|"&amp;C14&amp;"|"&amp;D14)</f>
        <v/>
      </c>
      <c r="J14" s="85" t="str">
        <f aca="false">IF(A14="","",IF(AND(F14&lt;&gt;"",COUNTIFS(Timetable!$F$5:$F$304,F14,Timetable!$C$5:$C$304,C14,Timetable!$D$5:$D$304,D14)&gt;1),"Teacher clash",IF(COUNTIF(Timetable!$I$5:$I$304,I14)&gt;1,"Class clash","OK")))</f>
        <v/>
      </c>
    </row>
    <row r="15" customFormat="false" ht="19.5" hidden="false" customHeight="true" outlineLevel="0" collapsed="false">
      <c r="A15" s="52"/>
      <c r="B15" s="52"/>
      <c r="C15" s="52"/>
      <c r="D15" s="52"/>
      <c r="E15" s="86"/>
      <c r="F15" s="52"/>
      <c r="G15" s="89" t="str">
        <f aca="false">IF(F15="","",IFERROR(INDEX(Teachers!$B$5:$B$304,MATCH(F15,Teachers!$A$5:$A$304,0)),""))</f>
        <v/>
      </c>
      <c r="H15" s="52"/>
      <c r="I15" s="89" t="str">
        <f aca="false">IF(A15="","",A15&amp;"|"&amp;B15&amp;"|"&amp;C15&amp;"|"&amp;D15)</f>
        <v/>
      </c>
      <c r="J15" s="85" t="str">
        <f aca="false">IF(A15="","",IF(AND(F15&lt;&gt;"",COUNTIFS(Timetable!$F$5:$F$304,F15,Timetable!$C$5:$C$304,C15,Timetable!$D$5:$D$304,D15)&gt;1),"Teacher clash",IF(COUNTIF(Timetable!$I$5:$I$304,I15)&gt;1,"Class clash","OK")))</f>
        <v/>
      </c>
    </row>
    <row r="16" customFormat="false" ht="19.5" hidden="false" customHeight="true" outlineLevel="0" collapsed="false">
      <c r="A16" s="52"/>
      <c r="B16" s="52"/>
      <c r="C16" s="52"/>
      <c r="D16" s="52"/>
      <c r="E16" s="86"/>
      <c r="F16" s="52"/>
      <c r="G16" s="89" t="str">
        <f aca="false">IF(F16="","",IFERROR(INDEX(Teachers!$B$5:$B$304,MATCH(F16,Teachers!$A$5:$A$304,0)),""))</f>
        <v/>
      </c>
      <c r="H16" s="52"/>
      <c r="I16" s="89" t="str">
        <f aca="false">IF(A16="","",A16&amp;"|"&amp;B16&amp;"|"&amp;C16&amp;"|"&amp;D16)</f>
        <v/>
      </c>
      <c r="J16" s="85" t="str">
        <f aca="false">IF(A16="","",IF(AND(F16&lt;&gt;"",COUNTIFS(Timetable!$F$5:$F$304,F16,Timetable!$C$5:$C$304,C16,Timetable!$D$5:$D$304,D16)&gt;1),"Teacher clash",IF(COUNTIF(Timetable!$I$5:$I$304,I16)&gt;1,"Class clash","OK")))</f>
        <v/>
      </c>
    </row>
    <row r="17" customFormat="false" ht="19.5" hidden="false" customHeight="true" outlineLevel="0" collapsed="false">
      <c r="A17" s="52"/>
      <c r="B17" s="52"/>
      <c r="C17" s="52"/>
      <c r="D17" s="52"/>
      <c r="E17" s="86"/>
      <c r="F17" s="52"/>
      <c r="G17" s="89" t="str">
        <f aca="false">IF(F17="","",IFERROR(INDEX(Teachers!$B$5:$B$304,MATCH(F17,Teachers!$A$5:$A$304,0)),""))</f>
        <v/>
      </c>
      <c r="H17" s="52"/>
      <c r="I17" s="89" t="str">
        <f aca="false">IF(A17="","",A17&amp;"|"&amp;B17&amp;"|"&amp;C17&amp;"|"&amp;D17)</f>
        <v/>
      </c>
      <c r="J17" s="85" t="str">
        <f aca="false">IF(A17="","",IF(AND(F17&lt;&gt;"",COUNTIFS(Timetable!$F$5:$F$304,F17,Timetable!$C$5:$C$304,C17,Timetable!$D$5:$D$304,D17)&gt;1),"Teacher clash",IF(COUNTIF(Timetable!$I$5:$I$304,I17)&gt;1,"Class clash","OK")))</f>
        <v/>
      </c>
    </row>
    <row r="18" customFormat="false" ht="19.5" hidden="false" customHeight="true" outlineLevel="0" collapsed="false">
      <c r="A18" s="52"/>
      <c r="B18" s="52"/>
      <c r="C18" s="52"/>
      <c r="D18" s="52"/>
      <c r="E18" s="86"/>
      <c r="F18" s="52"/>
      <c r="G18" s="89" t="str">
        <f aca="false">IF(F18="","",IFERROR(INDEX(Teachers!$B$5:$B$304,MATCH(F18,Teachers!$A$5:$A$304,0)),""))</f>
        <v/>
      </c>
      <c r="H18" s="52"/>
      <c r="I18" s="89" t="str">
        <f aca="false">IF(A18="","",A18&amp;"|"&amp;B18&amp;"|"&amp;C18&amp;"|"&amp;D18)</f>
        <v/>
      </c>
      <c r="J18" s="85" t="str">
        <f aca="false">IF(A18="","",IF(AND(F18&lt;&gt;"",COUNTIFS(Timetable!$F$5:$F$304,F18,Timetable!$C$5:$C$304,C18,Timetable!$D$5:$D$304,D18)&gt;1),"Teacher clash",IF(COUNTIF(Timetable!$I$5:$I$304,I18)&gt;1,"Class clash","OK")))</f>
        <v/>
      </c>
    </row>
    <row r="19" customFormat="false" ht="19.5" hidden="false" customHeight="true" outlineLevel="0" collapsed="false">
      <c r="A19" s="52"/>
      <c r="B19" s="52"/>
      <c r="C19" s="52"/>
      <c r="D19" s="52"/>
      <c r="E19" s="86"/>
      <c r="F19" s="52"/>
      <c r="G19" s="89" t="str">
        <f aca="false">IF(F19="","",IFERROR(INDEX(Teachers!$B$5:$B$304,MATCH(F19,Teachers!$A$5:$A$304,0)),""))</f>
        <v/>
      </c>
      <c r="H19" s="52"/>
      <c r="I19" s="89" t="str">
        <f aca="false">IF(A19="","",A19&amp;"|"&amp;B19&amp;"|"&amp;C19&amp;"|"&amp;D19)</f>
        <v/>
      </c>
      <c r="J19" s="85" t="str">
        <f aca="false">IF(A19="","",IF(AND(F19&lt;&gt;"",COUNTIFS(Timetable!$F$5:$F$304,F19,Timetable!$C$5:$C$304,C19,Timetable!$D$5:$D$304,D19)&gt;1),"Teacher clash",IF(COUNTIF(Timetable!$I$5:$I$304,I19)&gt;1,"Class clash","OK")))</f>
        <v/>
      </c>
    </row>
    <row r="20" customFormat="false" ht="19.5" hidden="false" customHeight="true" outlineLevel="0" collapsed="false">
      <c r="A20" s="52"/>
      <c r="B20" s="52"/>
      <c r="C20" s="52"/>
      <c r="D20" s="52"/>
      <c r="E20" s="86"/>
      <c r="F20" s="52"/>
      <c r="G20" s="89" t="str">
        <f aca="false">IF(F20="","",IFERROR(INDEX(Teachers!$B$5:$B$304,MATCH(F20,Teachers!$A$5:$A$304,0)),""))</f>
        <v/>
      </c>
      <c r="H20" s="52"/>
      <c r="I20" s="89" t="str">
        <f aca="false">IF(A20="","",A20&amp;"|"&amp;B20&amp;"|"&amp;C20&amp;"|"&amp;D20)</f>
        <v/>
      </c>
      <c r="J20" s="85" t="str">
        <f aca="false">IF(A20="","",IF(AND(F20&lt;&gt;"",COUNTIFS(Timetable!$F$5:$F$304,F20,Timetable!$C$5:$C$304,C20,Timetable!$D$5:$D$304,D20)&gt;1),"Teacher clash",IF(COUNTIF(Timetable!$I$5:$I$304,I20)&gt;1,"Class clash","OK")))</f>
        <v/>
      </c>
    </row>
    <row r="21" customFormat="false" ht="19.5" hidden="false" customHeight="true" outlineLevel="0" collapsed="false">
      <c r="A21" s="52"/>
      <c r="B21" s="52"/>
      <c r="C21" s="52"/>
      <c r="D21" s="52"/>
      <c r="E21" s="86"/>
      <c r="F21" s="52"/>
      <c r="G21" s="89" t="str">
        <f aca="false">IF(F21="","",IFERROR(INDEX(Teachers!$B$5:$B$304,MATCH(F21,Teachers!$A$5:$A$304,0)),""))</f>
        <v/>
      </c>
      <c r="H21" s="52"/>
      <c r="I21" s="89" t="str">
        <f aca="false">IF(A21="","",A21&amp;"|"&amp;B21&amp;"|"&amp;C21&amp;"|"&amp;D21)</f>
        <v/>
      </c>
      <c r="J21" s="85" t="str">
        <f aca="false">IF(A21="","",IF(AND(F21&lt;&gt;"",COUNTIFS(Timetable!$F$5:$F$304,F21,Timetable!$C$5:$C$304,C21,Timetable!$D$5:$D$304,D21)&gt;1),"Teacher clash",IF(COUNTIF(Timetable!$I$5:$I$304,I21)&gt;1,"Class clash","OK")))</f>
        <v/>
      </c>
    </row>
    <row r="22" customFormat="false" ht="19.5" hidden="false" customHeight="true" outlineLevel="0" collapsed="false">
      <c r="A22" s="52"/>
      <c r="B22" s="52"/>
      <c r="C22" s="52"/>
      <c r="D22" s="52"/>
      <c r="E22" s="86"/>
      <c r="F22" s="52"/>
      <c r="G22" s="89" t="str">
        <f aca="false">IF(F22="","",IFERROR(INDEX(Teachers!$B$5:$B$304,MATCH(F22,Teachers!$A$5:$A$304,0)),""))</f>
        <v/>
      </c>
      <c r="H22" s="52"/>
      <c r="I22" s="89" t="str">
        <f aca="false">IF(A22="","",A22&amp;"|"&amp;B22&amp;"|"&amp;C22&amp;"|"&amp;D22)</f>
        <v/>
      </c>
      <c r="J22" s="85" t="str">
        <f aca="false">IF(A22="","",IF(AND(F22&lt;&gt;"",COUNTIFS(Timetable!$F$5:$F$304,F22,Timetable!$C$5:$C$304,C22,Timetable!$D$5:$D$304,D22)&gt;1),"Teacher clash",IF(COUNTIF(Timetable!$I$5:$I$304,I22)&gt;1,"Class clash","OK")))</f>
        <v/>
      </c>
    </row>
    <row r="23" customFormat="false" ht="19.5" hidden="false" customHeight="true" outlineLevel="0" collapsed="false">
      <c r="A23" s="52"/>
      <c r="B23" s="52"/>
      <c r="C23" s="52"/>
      <c r="D23" s="52"/>
      <c r="E23" s="86"/>
      <c r="F23" s="52"/>
      <c r="G23" s="89" t="str">
        <f aca="false">IF(F23="","",IFERROR(INDEX(Teachers!$B$5:$B$304,MATCH(F23,Teachers!$A$5:$A$304,0)),""))</f>
        <v/>
      </c>
      <c r="H23" s="52"/>
      <c r="I23" s="89" t="str">
        <f aca="false">IF(A23="","",A23&amp;"|"&amp;B23&amp;"|"&amp;C23&amp;"|"&amp;D23)</f>
        <v/>
      </c>
      <c r="J23" s="85" t="str">
        <f aca="false">IF(A23="","",IF(AND(F23&lt;&gt;"",COUNTIFS(Timetable!$F$5:$F$304,F23,Timetable!$C$5:$C$304,C23,Timetable!$D$5:$D$304,D23)&gt;1),"Teacher clash",IF(COUNTIF(Timetable!$I$5:$I$304,I23)&gt;1,"Class clash","OK")))</f>
        <v/>
      </c>
    </row>
    <row r="24" customFormat="false" ht="19.5" hidden="false" customHeight="true" outlineLevel="0" collapsed="false">
      <c r="A24" s="52"/>
      <c r="B24" s="52"/>
      <c r="C24" s="52"/>
      <c r="D24" s="52"/>
      <c r="E24" s="86"/>
      <c r="F24" s="52"/>
      <c r="G24" s="89" t="str">
        <f aca="false">IF(F24="","",IFERROR(INDEX(Teachers!$B$5:$B$304,MATCH(F24,Teachers!$A$5:$A$304,0)),""))</f>
        <v/>
      </c>
      <c r="H24" s="52"/>
      <c r="I24" s="89" t="str">
        <f aca="false">IF(A24="","",A24&amp;"|"&amp;B24&amp;"|"&amp;C24&amp;"|"&amp;D24)</f>
        <v/>
      </c>
      <c r="J24" s="85" t="str">
        <f aca="false">IF(A24="","",IF(AND(F24&lt;&gt;"",COUNTIFS(Timetable!$F$5:$F$304,F24,Timetable!$C$5:$C$304,C24,Timetable!$D$5:$D$304,D24)&gt;1),"Teacher clash",IF(COUNTIF(Timetable!$I$5:$I$304,I24)&gt;1,"Class clash","OK")))</f>
        <v/>
      </c>
    </row>
    <row r="25" customFormat="false" ht="19.5" hidden="false" customHeight="true" outlineLevel="0" collapsed="false">
      <c r="A25" s="52"/>
      <c r="B25" s="52"/>
      <c r="C25" s="52"/>
      <c r="D25" s="52"/>
      <c r="E25" s="86"/>
      <c r="F25" s="52"/>
      <c r="G25" s="89" t="str">
        <f aca="false">IF(F25="","",IFERROR(INDEX(Teachers!$B$5:$B$304,MATCH(F25,Teachers!$A$5:$A$304,0)),""))</f>
        <v/>
      </c>
      <c r="H25" s="52"/>
      <c r="I25" s="89" t="str">
        <f aca="false">IF(A25="","",A25&amp;"|"&amp;B25&amp;"|"&amp;C25&amp;"|"&amp;D25)</f>
        <v/>
      </c>
      <c r="J25" s="85" t="str">
        <f aca="false">IF(A25="","",IF(AND(F25&lt;&gt;"",COUNTIFS(Timetable!$F$5:$F$304,F25,Timetable!$C$5:$C$304,C25,Timetable!$D$5:$D$304,D25)&gt;1),"Teacher clash",IF(COUNTIF(Timetable!$I$5:$I$304,I25)&gt;1,"Class clash","OK")))</f>
        <v/>
      </c>
    </row>
    <row r="26" customFormat="false" ht="19.5" hidden="false" customHeight="true" outlineLevel="0" collapsed="false">
      <c r="A26" s="52"/>
      <c r="B26" s="52"/>
      <c r="C26" s="52"/>
      <c r="D26" s="52"/>
      <c r="E26" s="86"/>
      <c r="F26" s="52"/>
      <c r="G26" s="89" t="str">
        <f aca="false">IF(F26="","",IFERROR(INDEX(Teachers!$B$5:$B$304,MATCH(F26,Teachers!$A$5:$A$304,0)),""))</f>
        <v/>
      </c>
      <c r="H26" s="52"/>
      <c r="I26" s="89" t="str">
        <f aca="false">IF(A26="","",A26&amp;"|"&amp;B26&amp;"|"&amp;C26&amp;"|"&amp;D26)</f>
        <v/>
      </c>
      <c r="J26" s="85" t="str">
        <f aca="false">IF(A26="","",IF(AND(F26&lt;&gt;"",COUNTIFS(Timetable!$F$5:$F$304,F26,Timetable!$C$5:$C$304,C26,Timetable!$D$5:$D$304,D26)&gt;1),"Teacher clash",IF(COUNTIF(Timetable!$I$5:$I$304,I26)&gt;1,"Class clash","OK")))</f>
        <v/>
      </c>
    </row>
    <row r="27" customFormat="false" ht="19.5" hidden="false" customHeight="true" outlineLevel="0" collapsed="false">
      <c r="A27" s="52"/>
      <c r="B27" s="52"/>
      <c r="C27" s="52"/>
      <c r="D27" s="52"/>
      <c r="E27" s="86"/>
      <c r="F27" s="52"/>
      <c r="G27" s="89" t="str">
        <f aca="false">IF(F27="","",IFERROR(INDEX(Teachers!$B$5:$B$304,MATCH(F27,Teachers!$A$5:$A$304,0)),""))</f>
        <v/>
      </c>
      <c r="H27" s="52"/>
      <c r="I27" s="89" t="str">
        <f aca="false">IF(A27="","",A27&amp;"|"&amp;B27&amp;"|"&amp;C27&amp;"|"&amp;D27)</f>
        <v/>
      </c>
      <c r="J27" s="85" t="str">
        <f aca="false">IF(A27="","",IF(AND(F27&lt;&gt;"",COUNTIFS(Timetable!$F$5:$F$304,F27,Timetable!$C$5:$C$304,C27,Timetable!$D$5:$D$304,D27)&gt;1),"Teacher clash",IF(COUNTIF(Timetable!$I$5:$I$304,I27)&gt;1,"Class clash","OK")))</f>
        <v/>
      </c>
    </row>
    <row r="28" customFormat="false" ht="19.5" hidden="false" customHeight="true" outlineLevel="0" collapsed="false">
      <c r="A28" s="52"/>
      <c r="B28" s="52"/>
      <c r="C28" s="52"/>
      <c r="D28" s="52"/>
      <c r="E28" s="86"/>
      <c r="F28" s="52"/>
      <c r="G28" s="89" t="str">
        <f aca="false">IF(F28="","",IFERROR(INDEX(Teachers!$B$5:$B$304,MATCH(F28,Teachers!$A$5:$A$304,0)),""))</f>
        <v/>
      </c>
      <c r="H28" s="52"/>
      <c r="I28" s="89" t="str">
        <f aca="false">IF(A28="","",A28&amp;"|"&amp;B28&amp;"|"&amp;C28&amp;"|"&amp;D28)</f>
        <v/>
      </c>
      <c r="J28" s="85" t="str">
        <f aca="false">IF(A28="","",IF(AND(F28&lt;&gt;"",COUNTIFS(Timetable!$F$5:$F$304,F28,Timetable!$C$5:$C$304,C28,Timetable!$D$5:$D$304,D28)&gt;1),"Teacher clash",IF(COUNTIF(Timetable!$I$5:$I$304,I28)&gt;1,"Class clash","OK")))</f>
        <v/>
      </c>
    </row>
    <row r="29" customFormat="false" ht="19.5" hidden="false" customHeight="true" outlineLevel="0" collapsed="false">
      <c r="A29" s="52"/>
      <c r="B29" s="52"/>
      <c r="C29" s="52"/>
      <c r="D29" s="52"/>
      <c r="E29" s="86"/>
      <c r="F29" s="52"/>
      <c r="G29" s="89" t="str">
        <f aca="false">IF(F29="","",IFERROR(INDEX(Teachers!$B$5:$B$304,MATCH(F29,Teachers!$A$5:$A$304,0)),""))</f>
        <v/>
      </c>
      <c r="H29" s="52"/>
      <c r="I29" s="89" t="str">
        <f aca="false">IF(A29="","",A29&amp;"|"&amp;B29&amp;"|"&amp;C29&amp;"|"&amp;D29)</f>
        <v/>
      </c>
      <c r="J29" s="85" t="str">
        <f aca="false">IF(A29="","",IF(AND(F29&lt;&gt;"",COUNTIFS(Timetable!$F$5:$F$304,F29,Timetable!$C$5:$C$304,C29,Timetable!$D$5:$D$304,D29)&gt;1),"Teacher clash",IF(COUNTIF(Timetable!$I$5:$I$304,I29)&gt;1,"Class clash","OK")))</f>
        <v/>
      </c>
    </row>
    <row r="30" customFormat="false" ht="19.5" hidden="false" customHeight="true" outlineLevel="0" collapsed="false">
      <c r="A30" s="52"/>
      <c r="B30" s="52"/>
      <c r="C30" s="52"/>
      <c r="D30" s="52"/>
      <c r="E30" s="86"/>
      <c r="F30" s="52"/>
      <c r="G30" s="89" t="str">
        <f aca="false">IF(F30="","",IFERROR(INDEX(Teachers!$B$5:$B$304,MATCH(F30,Teachers!$A$5:$A$304,0)),""))</f>
        <v/>
      </c>
      <c r="H30" s="52"/>
      <c r="I30" s="89" t="str">
        <f aca="false">IF(A30="","",A30&amp;"|"&amp;B30&amp;"|"&amp;C30&amp;"|"&amp;D30)</f>
        <v/>
      </c>
      <c r="J30" s="85" t="str">
        <f aca="false">IF(A30="","",IF(AND(F30&lt;&gt;"",COUNTIFS(Timetable!$F$5:$F$304,F30,Timetable!$C$5:$C$304,C30,Timetable!$D$5:$D$304,D30)&gt;1),"Teacher clash",IF(COUNTIF(Timetable!$I$5:$I$304,I30)&gt;1,"Class clash","OK")))</f>
        <v/>
      </c>
    </row>
    <row r="31" customFormat="false" ht="19.5" hidden="false" customHeight="true" outlineLevel="0" collapsed="false">
      <c r="A31" s="52"/>
      <c r="B31" s="52"/>
      <c r="C31" s="52"/>
      <c r="D31" s="52"/>
      <c r="E31" s="86"/>
      <c r="F31" s="52"/>
      <c r="G31" s="89" t="str">
        <f aca="false">IF(F31="","",IFERROR(INDEX(Teachers!$B$5:$B$304,MATCH(F31,Teachers!$A$5:$A$304,0)),""))</f>
        <v/>
      </c>
      <c r="H31" s="52"/>
      <c r="I31" s="89" t="str">
        <f aca="false">IF(A31="","",A31&amp;"|"&amp;B31&amp;"|"&amp;C31&amp;"|"&amp;D31)</f>
        <v/>
      </c>
      <c r="J31" s="85" t="str">
        <f aca="false">IF(A31="","",IF(AND(F31&lt;&gt;"",COUNTIFS(Timetable!$F$5:$F$304,F31,Timetable!$C$5:$C$304,C31,Timetable!$D$5:$D$304,D31)&gt;1),"Teacher clash",IF(COUNTIF(Timetable!$I$5:$I$304,I31)&gt;1,"Class clash","OK")))</f>
        <v/>
      </c>
    </row>
    <row r="32" customFormat="false" ht="19.5" hidden="false" customHeight="true" outlineLevel="0" collapsed="false">
      <c r="A32" s="52"/>
      <c r="B32" s="52"/>
      <c r="C32" s="52"/>
      <c r="D32" s="52"/>
      <c r="E32" s="86"/>
      <c r="F32" s="52"/>
      <c r="G32" s="89" t="str">
        <f aca="false">IF(F32="","",IFERROR(INDEX(Teachers!$B$5:$B$304,MATCH(F32,Teachers!$A$5:$A$304,0)),""))</f>
        <v/>
      </c>
      <c r="H32" s="52"/>
      <c r="I32" s="89" t="str">
        <f aca="false">IF(A32="","",A32&amp;"|"&amp;B32&amp;"|"&amp;C32&amp;"|"&amp;D32)</f>
        <v/>
      </c>
      <c r="J32" s="85" t="str">
        <f aca="false">IF(A32="","",IF(AND(F32&lt;&gt;"",COUNTIFS(Timetable!$F$5:$F$304,F32,Timetable!$C$5:$C$304,C32,Timetable!$D$5:$D$304,D32)&gt;1),"Teacher clash",IF(COUNTIF(Timetable!$I$5:$I$304,I32)&gt;1,"Class clash","OK")))</f>
        <v/>
      </c>
    </row>
    <row r="33" customFormat="false" ht="19.5" hidden="false" customHeight="true" outlineLevel="0" collapsed="false">
      <c r="A33" s="52"/>
      <c r="B33" s="52"/>
      <c r="C33" s="52"/>
      <c r="D33" s="52"/>
      <c r="E33" s="86"/>
      <c r="F33" s="52"/>
      <c r="G33" s="89" t="str">
        <f aca="false">IF(F33="","",IFERROR(INDEX(Teachers!$B$5:$B$304,MATCH(F33,Teachers!$A$5:$A$304,0)),""))</f>
        <v/>
      </c>
      <c r="H33" s="52"/>
      <c r="I33" s="89" t="str">
        <f aca="false">IF(A33="","",A33&amp;"|"&amp;B33&amp;"|"&amp;C33&amp;"|"&amp;D33)</f>
        <v/>
      </c>
      <c r="J33" s="85" t="str">
        <f aca="false">IF(A33="","",IF(AND(F33&lt;&gt;"",COUNTIFS(Timetable!$F$5:$F$304,F33,Timetable!$C$5:$C$304,C33,Timetable!$D$5:$D$304,D33)&gt;1),"Teacher clash",IF(COUNTIF(Timetable!$I$5:$I$304,I33)&gt;1,"Class clash","OK")))</f>
        <v/>
      </c>
    </row>
    <row r="34" customFormat="false" ht="19.5" hidden="false" customHeight="true" outlineLevel="0" collapsed="false">
      <c r="A34" s="52"/>
      <c r="B34" s="52"/>
      <c r="C34" s="52"/>
      <c r="D34" s="52"/>
      <c r="E34" s="86"/>
      <c r="F34" s="52"/>
      <c r="G34" s="89" t="str">
        <f aca="false">IF(F34="","",IFERROR(INDEX(Teachers!$B$5:$B$304,MATCH(F34,Teachers!$A$5:$A$304,0)),""))</f>
        <v/>
      </c>
      <c r="H34" s="52"/>
      <c r="I34" s="89" t="str">
        <f aca="false">IF(A34="","",A34&amp;"|"&amp;B34&amp;"|"&amp;C34&amp;"|"&amp;D34)</f>
        <v/>
      </c>
      <c r="J34" s="85" t="str">
        <f aca="false">IF(A34="","",IF(AND(F34&lt;&gt;"",COUNTIFS(Timetable!$F$5:$F$304,F34,Timetable!$C$5:$C$304,C34,Timetable!$D$5:$D$304,D34)&gt;1),"Teacher clash",IF(COUNTIF(Timetable!$I$5:$I$304,I34)&gt;1,"Class clash","OK")))</f>
        <v/>
      </c>
    </row>
    <row r="35" customFormat="false" ht="19.5" hidden="false" customHeight="true" outlineLevel="0" collapsed="false">
      <c r="A35" s="52"/>
      <c r="B35" s="52"/>
      <c r="C35" s="52"/>
      <c r="D35" s="52"/>
      <c r="E35" s="86"/>
      <c r="F35" s="52"/>
      <c r="G35" s="89" t="str">
        <f aca="false">IF(F35="","",IFERROR(INDEX(Teachers!$B$5:$B$304,MATCH(F35,Teachers!$A$5:$A$304,0)),""))</f>
        <v/>
      </c>
      <c r="H35" s="52"/>
      <c r="I35" s="89" t="str">
        <f aca="false">IF(A35="","",A35&amp;"|"&amp;B35&amp;"|"&amp;C35&amp;"|"&amp;D35)</f>
        <v/>
      </c>
      <c r="J35" s="85" t="str">
        <f aca="false">IF(A35="","",IF(AND(F35&lt;&gt;"",COUNTIFS(Timetable!$F$5:$F$304,F35,Timetable!$C$5:$C$304,C35,Timetable!$D$5:$D$304,D35)&gt;1),"Teacher clash",IF(COUNTIF(Timetable!$I$5:$I$304,I35)&gt;1,"Class clash","OK")))</f>
        <v/>
      </c>
    </row>
    <row r="36" customFormat="false" ht="19.5" hidden="false" customHeight="true" outlineLevel="0" collapsed="false">
      <c r="A36" s="52"/>
      <c r="B36" s="52"/>
      <c r="C36" s="52"/>
      <c r="D36" s="52"/>
      <c r="E36" s="86"/>
      <c r="F36" s="52"/>
      <c r="G36" s="89" t="str">
        <f aca="false">IF(F36="","",IFERROR(INDEX(Teachers!$B$5:$B$304,MATCH(F36,Teachers!$A$5:$A$304,0)),""))</f>
        <v/>
      </c>
      <c r="H36" s="52"/>
      <c r="I36" s="89" t="str">
        <f aca="false">IF(A36="","",A36&amp;"|"&amp;B36&amp;"|"&amp;C36&amp;"|"&amp;D36)</f>
        <v/>
      </c>
      <c r="J36" s="85" t="str">
        <f aca="false">IF(A36="","",IF(AND(F36&lt;&gt;"",COUNTIFS(Timetable!$F$5:$F$304,F36,Timetable!$C$5:$C$304,C36,Timetable!$D$5:$D$304,D36)&gt;1),"Teacher clash",IF(COUNTIF(Timetable!$I$5:$I$304,I36)&gt;1,"Class clash","OK")))</f>
        <v/>
      </c>
    </row>
    <row r="37" customFormat="false" ht="19.5" hidden="false" customHeight="true" outlineLevel="0" collapsed="false">
      <c r="A37" s="52"/>
      <c r="B37" s="52"/>
      <c r="C37" s="52"/>
      <c r="D37" s="52"/>
      <c r="E37" s="86"/>
      <c r="F37" s="52"/>
      <c r="G37" s="89" t="str">
        <f aca="false">IF(F37="","",IFERROR(INDEX(Teachers!$B$5:$B$304,MATCH(F37,Teachers!$A$5:$A$304,0)),""))</f>
        <v/>
      </c>
      <c r="H37" s="52"/>
      <c r="I37" s="89" t="str">
        <f aca="false">IF(A37="","",A37&amp;"|"&amp;B37&amp;"|"&amp;C37&amp;"|"&amp;D37)</f>
        <v/>
      </c>
      <c r="J37" s="85" t="str">
        <f aca="false">IF(A37="","",IF(AND(F37&lt;&gt;"",COUNTIFS(Timetable!$F$5:$F$304,F37,Timetable!$C$5:$C$304,C37,Timetable!$D$5:$D$304,D37)&gt;1),"Teacher clash",IF(COUNTIF(Timetable!$I$5:$I$304,I37)&gt;1,"Class clash","OK")))</f>
        <v/>
      </c>
    </row>
    <row r="38" customFormat="false" ht="19.5" hidden="false" customHeight="true" outlineLevel="0" collapsed="false">
      <c r="A38" s="52"/>
      <c r="B38" s="52"/>
      <c r="C38" s="52"/>
      <c r="D38" s="52"/>
      <c r="E38" s="86"/>
      <c r="F38" s="52"/>
      <c r="G38" s="89" t="str">
        <f aca="false">IF(F38="","",IFERROR(INDEX(Teachers!$B$5:$B$304,MATCH(F38,Teachers!$A$5:$A$304,0)),""))</f>
        <v/>
      </c>
      <c r="H38" s="52"/>
      <c r="I38" s="89" t="str">
        <f aca="false">IF(A38="","",A38&amp;"|"&amp;B38&amp;"|"&amp;C38&amp;"|"&amp;D38)</f>
        <v/>
      </c>
      <c r="J38" s="85" t="str">
        <f aca="false">IF(A38="","",IF(AND(F38&lt;&gt;"",COUNTIFS(Timetable!$F$5:$F$304,F38,Timetable!$C$5:$C$304,C38,Timetable!$D$5:$D$304,D38)&gt;1),"Teacher clash",IF(COUNTIF(Timetable!$I$5:$I$304,I38)&gt;1,"Class clash","OK")))</f>
        <v/>
      </c>
    </row>
    <row r="39" customFormat="false" ht="19.5" hidden="false" customHeight="true" outlineLevel="0" collapsed="false">
      <c r="A39" s="52"/>
      <c r="B39" s="52"/>
      <c r="C39" s="52"/>
      <c r="D39" s="52"/>
      <c r="E39" s="86"/>
      <c r="F39" s="52"/>
      <c r="G39" s="89" t="str">
        <f aca="false">IF(F39="","",IFERROR(INDEX(Teachers!$B$5:$B$304,MATCH(F39,Teachers!$A$5:$A$304,0)),""))</f>
        <v/>
      </c>
      <c r="H39" s="52"/>
      <c r="I39" s="89" t="str">
        <f aca="false">IF(A39="","",A39&amp;"|"&amp;B39&amp;"|"&amp;C39&amp;"|"&amp;D39)</f>
        <v/>
      </c>
      <c r="J39" s="85" t="str">
        <f aca="false">IF(A39="","",IF(AND(F39&lt;&gt;"",COUNTIFS(Timetable!$F$5:$F$304,F39,Timetable!$C$5:$C$304,C39,Timetable!$D$5:$D$304,D39)&gt;1),"Teacher clash",IF(COUNTIF(Timetable!$I$5:$I$304,I39)&gt;1,"Class clash","OK")))</f>
        <v/>
      </c>
    </row>
    <row r="40" customFormat="false" ht="19.5" hidden="false" customHeight="true" outlineLevel="0" collapsed="false">
      <c r="A40" s="52"/>
      <c r="B40" s="52"/>
      <c r="C40" s="52"/>
      <c r="D40" s="52"/>
      <c r="E40" s="86"/>
      <c r="F40" s="52"/>
      <c r="G40" s="89" t="str">
        <f aca="false">IF(F40="","",IFERROR(INDEX(Teachers!$B$5:$B$304,MATCH(F40,Teachers!$A$5:$A$304,0)),""))</f>
        <v/>
      </c>
      <c r="H40" s="52"/>
      <c r="I40" s="89" t="str">
        <f aca="false">IF(A40="","",A40&amp;"|"&amp;B40&amp;"|"&amp;C40&amp;"|"&amp;D40)</f>
        <v/>
      </c>
      <c r="J40" s="85" t="str">
        <f aca="false">IF(A40="","",IF(AND(F40&lt;&gt;"",COUNTIFS(Timetable!$F$5:$F$304,F40,Timetable!$C$5:$C$304,C40,Timetable!$D$5:$D$304,D40)&gt;1),"Teacher clash",IF(COUNTIF(Timetable!$I$5:$I$304,I40)&gt;1,"Class clash","OK")))</f>
        <v/>
      </c>
    </row>
    <row r="41" customFormat="false" ht="19.5" hidden="false" customHeight="true" outlineLevel="0" collapsed="false">
      <c r="A41" s="52"/>
      <c r="B41" s="52"/>
      <c r="C41" s="52"/>
      <c r="D41" s="52"/>
      <c r="E41" s="86"/>
      <c r="F41" s="52"/>
      <c r="G41" s="89" t="str">
        <f aca="false">IF(F41="","",IFERROR(INDEX(Teachers!$B$5:$B$304,MATCH(F41,Teachers!$A$5:$A$304,0)),""))</f>
        <v/>
      </c>
      <c r="H41" s="52"/>
      <c r="I41" s="89" t="str">
        <f aca="false">IF(A41="","",A41&amp;"|"&amp;B41&amp;"|"&amp;C41&amp;"|"&amp;D41)</f>
        <v/>
      </c>
      <c r="J41" s="85" t="str">
        <f aca="false">IF(A41="","",IF(AND(F41&lt;&gt;"",COUNTIFS(Timetable!$F$5:$F$304,F41,Timetable!$C$5:$C$304,C41,Timetable!$D$5:$D$304,D41)&gt;1),"Teacher clash",IF(COUNTIF(Timetable!$I$5:$I$304,I41)&gt;1,"Class clash","OK")))</f>
        <v/>
      </c>
    </row>
    <row r="42" customFormat="false" ht="19.5" hidden="false" customHeight="true" outlineLevel="0" collapsed="false">
      <c r="A42" s="52"/>
      <c r="B42" s="52"/>
      <c r="C42" s="52"/>
      <c r="D42" s="52"/>
      <c r="E42" s="86"/>
      <c r="F42" s="52"/>
      <c r="G42" s="89" t="str">
        <f aca="false">IF(F42="","",IFERROR(INDEX(Teachers!$B$5:$B$304,MATCH(F42,Teachers!$A$5:$A$304,0)),""))</f>
        <v/>
      </c>
      <c r="H42" s="52"/>
      <c r="I42" s="89" t="str">
        <f aca="false">IF(A42="","",A42&amp;"|"&amp;B42&amp;"|"&amp;C42&amp;"|"&amp;D42)</f>
        <v/>
      </c>
      <c r="J42" s="85" t="str">
        <f aca="false">IF(A42="","",IF(AND(F42&lt;&gt;"",COUNTIFS(Timetable!$F$5:$F$304,F42,Timetable!$C$5:$C$304,C42,Timetable!$D$5:$D$304,D42)&gt;1),"Teacher clash",IF(COUNTIF(Timetable!$I$5:$I$304,I42)&gt;1,"Class clash","OK")))</f>
        <v/>
      </c>
    </row>
    <row r="43" customFormat="false" ht="19.5" hidden="false" customHeight="true" outlineLevel="0" collapsed="false">
      <c r="A43" s="52"/>
      <c r="B43" s="52"/>
      <c r="C43" s="52"/>
      <c r="D43" s="52"/>
      <c r="E43" s="86"/>
      <c r="F43" s="52"/>
      <c r="G43" s="89" t="str">
        <f aca="false">IF(F43="","",IFERROR(INDEX(Teachers!$B$5:$B$304,MATCH(F43,Teachers!$A$5:$A$304,0)),""))</f>
        <v/>
      </c>
      <c r="H43" s="52"/>
      <c r="I43" s="89" t="str">
        <f aca="false">IF(A43="","",A43&amp;"|"&amp;B43&amp;"|"&amp;C43&amp;"|"&amp;D43)</f>
        <v/>
      </c>
      <c r="J43" s="85" t="str">
        <f aca="false">IF(A43="","",IF(AND(F43&lt;&gt;"",COUNTIFS(Timetable!$F$5:$F$304,F43,Timetable!$C$5:$C$304,C43,Timetable!$D$5:$D$304,D43)&gt;1),"Teacher clash",IF(COUNTIF(Timetable!$I$5:$I$304,I43)&gt;1,"Class clash","OK")))</f>
        <v/>
      </c>
    </row>
    <row r="44" customFormat="false" ht="19.5" hidden="false" customHeight="true" outlineLevel="0" collapsed="false">
      <c r="A44" s="52"/>
      <c r="B44" s="52"/>
      <c r="C44" s="52"/>
      <c r="D44" s="52"/>
      <c r="E44" s="86"/>
      <c r="F44" s="52"/>
      <c r="G44" s="89" t="str">
        <f aca="false">IF(F44="","",IFERROR(INDEX(Teachers!$B$5:$B$304,MATCH(F44,Teachers!$A$5:$A$304,0)),""))</f>
        <v/>
      </c>
      <c r="H44" s="52"/>
      <c r="I44" s="89" t="str">
        <f aca="false">IF(A44="","",A44&amp;"|"&amp;B44&amp;"|"&amp;C44&amp;"|"&amp;D44)</f>
        <v/>
      </c>
      <c r="J44" s="85" t="str">
        <f aca="false">IF(A44="","",IF(AND(F44&lt;&gt;"",COUNTIFS(Timetable!$F$5:$F$304,F44,Timetable!$C$5:$C$304,C44,Timetable!$D$5:$D$304,D44)&gt;1),"Teacher clash",IF(COUNTIF(Timetable!$I$5:$I$304,I44)&gt;1,"Class clash","OK")))</f>
        <v/>
      </c>
    </row>
    <row r="45" customFormat="false" ht="19.5" hidden="false" customHeight="true" outlineLevel="0" collapsed="false">
      <c r="A45" s="52"/>
      <c r="B45" s="52"/>
      <c r="C45" s="52"/>
      <c r="D45" s="52"/>
      <c r="E45" s="86"/>
      <c r="F45" s="52"/>
      <c r="G45" s="89" t="str">
        <f aca="false">IF(F45="","",IFERROR(INDEX(Teachers!$B$5:$B$304,MATCH(F45,Teachers!$A$5:$A$304,0)),""))</f>
        <v/>
      </c>
      <c r="H45" s="52"/>
      <c r="I45" s="89" t="str">
        <f aca="false">IF(A45="","",A45&amp;"|"&amp;B45&amp;"|"&amp;C45&amp;"|"&amp;D45)</f>
        <v/>
      </c>
      <c r="J45" s="85" t="str">
        <f aca="false">IF(A45="","",IF(AND(F45&lt;&gt;"",COUNTIFS(Timetable!$F$5:$F$304,F45,Timetable!$C$5:$C$304,C45,Timetable!$D$5:$D$304,D45)&gt;1),"Teacher clash",IF(COUNTIF(Timetable!$I$5:$I$304,I45)&gt;1,"Class clash","OK")))</f>
        <v/>
      </c>
    </row>
    <row r="46" customFormat="false" ht="19.5" hidden="false" customHeight="true" outlineLevel="0" collapsed="false">
      <c r="A46" s="52"/>
      <c r="B46" s="52"/>
      <c r="C46" s="52"/>
      <c r="D46" s="52"/>
      <c r="E46" s="86"/>
      <c r="F46" s="52"/>
      <c r="G46" s="89" t="str">
        <f aca="false">IF(F46="","",IFERROR(INDEX(Teachers!$B$5:$B$304,MATCH(F46,Teachers!$A$5:$A$304,0)),""))</f>
        <v/>
      </c>
      <c r="H46" s="52"/>
      <c r="I46" s="89" t="str">
        <f aca="false">IF(A46="","",A46&amp;"|"&amp;B46&amp;"|"&amp;C46&amp;"|"&amp;D46)</f>
        <v/>
      </c>
      <c r="J46" s="85" t="str">
        <f aca="false">IF(A46="","",IF(AND(F46&lt;&gt;"",COUNTIFS(Timetable!$F$5:$F$304,F46,Timetable!$C$5:$C$304,C46,Timetable!$D$5:$D$304,D46)&gt;1),"Teacher clash",IF(COUNTIF(Timetable!$I$5:$I$304,I46)&gt;1,"Class clash","OK")))</f>
        <v/>
      </c>
    </row>
    <row r="47" customFormat="false" ht="19.5" hidden="false" customHeight="true" outlineLevel="0" collapsed="false">
      <c r="A47" s="52"/>
      <c r="B47" s="52"/>
      <c r="C47" s="52"/>
      <c r="D47" s="52"/>
      <c r="E47" s="86"/>
      <c r="F47" s="52"/>
      <c r="G47" s="89" t="str">
        <f aca="false">IF(F47="","",IFERROR(INDEX(Teachers!$B$5:$B$304,MATCH(F47,Teachers!$A$5:$A$304,0)),""))</f>
        <v/>
      </c>
      <c r="H47" s="52"/>
      <c r="I47" s="89" t="str">
        <f aca="false">IF(A47="","",A47&amp;"|"&amp;B47&amp;"|"&amp;C47&amp;"|"&amp;D47)</f>
        <v/>
      </c>
      <c r="J47" s="85" t="str">
        <f aca="false">IF(A47="","",IF(AND(F47&lt;&gt;"",COUNTIFS(Timetable!$F$5:$F$304,F47,Timetable!$C$5:$C$304,C47,Timetable!$D$5:$D$304,D47)&gt;1),"Teacher clash",IF(COUNTIF(Timetable!$I$5:$I$304,I47)&gt;1,"Class clash","OK")))</f>
        <v/>
      </c>
    </row>
    <row r="48" customFormat="false" ht="19.5" hidden="false" customHeight="true" outlineLevel="0" collapsed="false">
      <c r="A48" s="52"/>
      <c r="B48" s="52"/>
      <c r="C48" s="52"/>
      <c r="D48" s="52"/>
      <c r="E48" s="86"/>
      <c r="F48" s="52"/>
      <c r="G48" s="89" t="str">
        <f aca="false">IF(F48="","",IFERROR(INDEX(Teachers!$B$5:$B$304,MATCH(F48,Teachers!$A$5:$A$304,0)),""))</f>
        <v/>
      </c>
      <c r="H48" s="52"/>
      <c r="I48" s="89" t="str">
        <f aca="false">IF(A48="","",A48&amp;"|"&amp;B48&amp;"|"&amp;C48&amp;"|"&amp;D48)</f>
        <v/>
      </c>
      <c r="J48" s="85" t="str">
        <f aca="false">IF(A48="","",IF(AND(F48&lt;&gt;"",COUNTIFS(Timetable!$F$5:$F$304,F48,Timetable!$C$5:$C$304,C48,Timetable!$D$5:$D$304,D48)&gt;1),"Teacher clash",IF(COUNTIF(Timetable!$I$5:$I$304,I48)&gt;1,"Class clash","OK")))</f>
        <v/>
      </c>
    </row>
    <row r="49" customFormat="false" ht="19.5" hidden="false" customHeight="true" outlineLevel="0" collapsed="false">
      <c r="A49" s="52"/>
      <c r="B49" s="52"/>
      <c r="C49" s="52"/>
      <c r="D49" s="52"/>
      <c r="E49" s="86"/>
      <c r="F49" s="52"/>
      <c r="G49" s="89" t="str">
        <f aca="false">IF(F49="","",IFERROR(INDEX(Teachers!$B$5:$B$304,MATCH(F49,Teachers!$A$5:$A$304,0)),""))</f>
        <v/>
      </c>
      <c r="H49" s="52"/>
      <c r="I49" s="89" t="str">
        <f aca="false">IF(A49="","",A49&amp;"|"&amp;B49&amp;"|"&amp;C49&amp;"|"&amp;D49)</f>
        <v/>
      </c>
      <c r="J49" s="85" t="str">
        <f aca="false">IF(A49="","",IF(AND(F49&lt;&gt;"",COUNTIFS(Timetable!$F$5:$F$304,F49,Timetable!$C$5:$C$304,C49,Timetable!$D$5:$D$304,D49)&gt;1),"Teacher clash",IF(COUNTIF(Timetable!$I$5:$I$304,I49)&gt;1,"Class clash","OK")))</f>
        <v/>
      </c>
    </row>
    <row r="50" customFormat="false" ht="19.5" hidden="false" customHeight="true" outlineLevel="0" collapsed="false">
      <c r="A50" s="52"/>
      <c r="B50" s="52"/>
      <c r="C50" s="52"/>
      <c r="D50" s="52"/>
      <c r="E50" s="86"/>
      <c r="F50" s="52"/>
      <c r="G50" s="89" t="str">
        <f aca="false">IF(F50="","",IFERROR(INDEX(Teachers!$B$5:$B$304,MATCH(F50,Teachers!$A$5:$A$304,0)),""))</f>
        <v/>
      </c>
      <c r="H50" s="52"/>
      <c r="I50" s="89" t="str">
        <f aca="false">IF(A50="","",A50&amp;"|"&amp;B50&amp;"|"&amp;C50&amp;"|"&amp;D50)</f>
        <v/>
      </c>
      <c r="J50" s="85" t="str">
        <f aca="false">IF(A50="","",IF(AND(F50&lt;&gt;"",COUNTIFS(Timetable!$F$5:$F$304,F50,Timetable!$C$5:$C$304,C50,Timetable!$D$5:$D$304,D50)&gt;1),"Teacher clash",IF(COUNTIF(Timetable!$I$5:$I$304,I50)&gt;1,"Class clash","OK")))</f>
        <v/>
      </c>
    </row>
    <row r="51" customFormat="false" ht="19.5" hidden="false" customHeight="true" outlineLevel="0" collapsed="false">
      <c r="A51" s="52"/>
      <c r="B51" s="52"/>
      <c r="C51" s="52"/>
      <c r="D51" s="52"/>
      <c r="E51" s="86"/>
      <c r="F51" s="52"/>
      <c r="G51" s="89" t="str">
        <f aca="false">IF(F51="","",IFERROR(INDEX(Teachers!$B$5:$B$304,MATCH(F51,Teachers!$A$5:$A$304,0)),""))</f>
        <v/>
      </c>
      <c r="H51" s="52"/>
      <c r="I51" s="89" t="str">
        <f aca="false">IF(A51="","",A51&amp;"|"&amp;B51&amp;"|"&amp;C51&amp;"|"&amp;D51)</f>
        <v/>
      </c>
      <c r="J51" s="85" t="str">
        <f aca="false">IF(A51="","",IF(AND(F51&lt;&gt;"",COUNTIFS(Timetable!$F$5:$F$304,F51,Timetable!$C$5:$C$304,C51,Timetable!$D$5:$D$304,D51)&gt;1),"Teacher clash",IF(COUNTIF(Timetable!$I$5:$I$304,I51)&gt;1,"Class clash","OK")))</f>
        <v/>
      </c>
    </row>
    <row r="52" customFormat="false" ht="19.5" hidden="false" customHeight="true" outlineLevel="0" collapsed="false">
      <c r="A52" s="52"/>
      <c r="B52" s="52"/>
      <c r="C52" s="52"/>
      <c r="D52" s="52"/>
      <c r="E52" s="86"/>
      <c r="F52" s="52"/>
      <c r="G52" s="89" t="str">
        <f aca="false">IF(F52="","",IFERROR(INDEX(Teachers!$B$5:$B$304,MATCH(F52,Teachers!$A$5:$A$304,0)),""))</f>
        <v/>
      </c>
      <c r="H52" s="52"/>
      <c r="I52" s="89" t="str">
        <f aca="false">IF(A52="","",A52&amp;"|"&amp;B52&amp;"|"&amp;C52&amp;"|"&amp;D52)</f>
        <v/>
      </c>
      <c r="J52" s="85" t="str">
        <f aca="false">IF(A52="","",IF(AND(F52&lt;&gt;"",COUNTIFS(Timetable!$F$5:$F$304,F52,Timetable!$C$5:$C$304,C52,Timetable!$D$5:$D$304,D52)&gt;1),"Teacher clash",IF(COUNTIF(Timetable!$I$5:$I$304,I52)&gt;1,"Class clash","OK")))</f>
        <v/>
      </c>
    </row>
    <row r="53" customFormat="false" ht="19.5" hidden="false" customHeight="true" outlineLevel="0" collapsed="false">
      <c r="A53" s="52"/>
      <c r="B53" s="52"/>
      <c r="C53" s="52"/>
      <c r="D53" s="52"/>
      <c r="E53" s="86"/>
      <c r="F53" s="52"/>
      <c r="G53" s="89" t="str">
        <f aca="false">IF(F53="","",IFERROR(INDEX(Teachers!$B$5:$B$304,MATCH(F53,Teachers!$A$5:$A$304,0)),""))</f>
        <v/>
      </c>
      <c r="H53" s="52"/>
      <c r="I53" s="89" t="str">
        <f aca="false">IF(A53="","",A53&amp;"|"&amp;B53&amp;"|"&amp;C53&amp;"|"&amp;D53)</f>
        <v/>
      </c>
      <c r="J53" s="85" t="str">
        <f aca="false">IF(A53="","",IF(AND(F53&lt;&gt;"",COUNTIFS(Timetable!$F$5:$F$304,F53,Timetable!$C$5:$C$304,C53,Timetable!$D$5:$D$304,D53)&gt;1),"Teacher clash",IF(COUNTIF(Timetable!$I$5:$I$304,I53)&gt;1,"Class clash","OK")))</f>
        <v/>
      </c>
    </row>
    <row r="54" customFormat="false" ht="19.5" hidden="false" customHeight="true" outlineLevel="0" collapsed="false">
      <c r="A54" s="52"/>
      <c r="B54" s="52"/>
      <c r="C54" s="52"/>
      <c r="D54" s="52"/>
      <c r="E54" s="86"/>
      <c r="F54" s="52"/>
      <c r="G54" s="89" t="str">
        <f aca="false">IF(F54="","",IFERROR(INDEX(Teachers!$B$5:$B$304,MATCH(F54,Teachers!$A$5:$A$304,0)),""))</f>
        <v/>
      </c>
      <c r="H54" s="52"/>
      <c r="I54" s="89" t="str">
        <f aca="false">IF(A54="","",A54&amp;"|"&amp;B54&amp;"|"&amp;C54&amp;"|"&amp;D54)</f>
        <v/>
      </c>
      <c r="J54" s="85" t="str">
        <f aca="false">IF(A54="","",IF(AND(F54&lt;&gt;"",COUNTIFS(Timetable!$F$5:$F$304,F54,Timetable!$C$5:$C$304,C54,Timetable!$D$5:$D$304,D54)&gt;1),"Teacher clash",IF(COUNTIF(Timetable!$I$5:$I$304,I54)&gt;1,"Class clash","OK")))</f>
        <v/>
      </c>
    </row>
    <row r="55" customFormat="false" ht="19.5" hidden="false" customHeight="true" outlineLevel="0" collapsed="false">
      <c r="A55" s="52"/>
      <c r="B55" s="52"/>
      <c r="C55" s="52"/>
      <c r="D55" s="52"/>
      <c r="E55" s="86"/>
      <c r="F55" s="52"/>
      <c r="G55" s="89" t="str">
        <f aca="false">IF(F55="","",IFERROR(INDEX(Teachers!$B$5:$B$304,MATCH(F55,Teachers!$A$5:$A$304,0)),""))</f>
        <v/>
      </c>
      <c r="H55" s="52"/>
      <c r="I55" s="89" t="str">
        <f aca="false">IF(A55="","",A55&amp;"|"&amp;B55&amp;"|"&amp;C55&amp;"|"&amp;D55)</f>
        <v/>
      </c>
      <c r="J55" s="85" t="str">
        <f aca="false">IF(A55="","",IF(AND(F55&lt;&gt;"",COUNTIFS(Timetable!$F$5:$F$304,F55,Timetable!$C$5:$C$304,C55,Timetable!$D$5:$D$304,D55)&gt;1),"Teacher clash",IF(COUNTIF(Timetable!$I$5:$I$304,I55)&gt;1,"Class clash","OK")))</f>
        <v/>
      </c>
    </row>
    <row r="56" customFormat="false" ht="19.5" hidden="false" customHeight="true" outlineLevel="0" collapsed="false">
      <c r="A56" s="52"/>
      <c r="B56" s="52"/>
      <c r="C56" s="52"/>
      <c r="D56" s="52"/>
      <c r="E56" s="86"/>
      <c r="F56" s="52"/>
      <c r="G56" s="89" t="str">
        <f aca="false">IF(F56="","",IFERROR(INDEX(Teachers!$B$5:$B$304,MATCH(F56,Teachers!$A$5:$A$304,0)),""))</f>
        <v/>
      </c>
      <c r="H56" s="52"/>
      <c r="I56" s="89" t="str">
        <f aca="false">IF(A56="","",A56&amp;"|"&amp;B56&amp;"|"&amp;C56&amp;"|"&amp;D56)</f>
        <v/>
      </c>
      <c r="J56" s="85" t="str">
        <f aca="false">IF(A56="","",IF(AND(F56&lt;&gt;"",COUNTIFS(Timetable!$F$5:$F$304,F56,Timetable!$C$5:$C$304,C56,Timetable!$D$5:$D$304,D56)&gt;1),"Teacher clash",IF(COUNTIF(Timetable!$I$5:$I$304,I56)&gt;1,"Class clash","OK")))</f>
        <v/>
      </c>
    </row>
    <row r="57" customFormat="false" ht="19.5" hidden="false" customHeight="true" outlineLevel="0" collapsed="false">
      <c r="A57" s="52"/>
      <c r="B57" s="52"/>
      <c r="C57" s="52"/>
      <c r="D57" s="52"/>
      <c r="E57" s="86"/>
      <c r="F57" s="52"/>
      <c r="G57" s="89" t="str">
        <f aca="false">IF(F57="","",IFERROR(INDEX(Teachers!$B$5:$B$304,MATCH(F57,Teachers!$A$5:$A$304,0)),""))</f>
        <v/>
      </c>
      <c r="H57" s="52"/>
      <c r="I57" s="89" t="str">
        <f aca="false">IF(A57="","",A57&amp;"|"&amp;B57&amp;"|"&amp;C57&amp;"|"&amp;D57)</f>
        <v/>
      </c>
      <c r="J57" s="85" t="str">
        <f aca="false">IF(A57="","",IF(AND(F57&lt;&gt;"",COUNTIFS(Timetable!$F$5:$F$304,F57,Timetable!$C$5:$C$304,C57,Timetable!$D$5:$D$304,D57)&gt;1),"Teacher clash",IF(COUNTIF(Timetable!$I$5:$I$304,I57)&gt;1,"Class clash","OK")))</f>
        <v/>
      </c>
    </row>
    <row r="58" customFormat="false" ht="19.5" hidden="false" customHeight="true" outlineLevel="0" collapsed="false">
      <c r="A58" s="52"/>
      <c r="B58" s="52"/>
      <c r="C58" s="52"/>
      <c r="D58" s="52"/>
      <c r="E58" s="86"/>
      <c r="F58" s="52"/>
      <c r="G58" s="89" t="str">
        <f aca="false">IF(F58="","",IFERROR(INDEX(Teachers!$B$5:$B$304,MATCH(F58,Teachers!$A$5:$A$304,0)),""))</f>
        <v/>
      </c>
      <c r="H58" s="52"/>
      <c r="I58" s="89" t="str">
        <f aca="false">IF(A58="","",A58&amp;"|"&amp;B58&amp;"|"&amp;C58&amp;"|"&amp;D58)</f>
        <v/>
      </c>
      <c r="J58" s="85" t="str">
        <f aca="false">IF(A58="","",IF(AND(F58&lt;&gt;"",COUNTIFS(Timetable!$F$5:$F$304,F58,Timetable!$C$5:$C$304,C58,Timetable!$D$5:$D$304,D58)&gt;1),"Teacher clash",IF(COUNTIF(Timetable!$I$5:$I$304,I58)&gt;1,"Class clash","OK")))</f>
        <v/>
      </c>
    </row>
    <row r="59" customFormat="false" ht="19.5" hidden="false" customHeight="true" outlineLevel="0" collapsed="false">
      <c r="A59" s="52"/>
      <c r="B59" s="52"/>
      <c r="C59" s="52"/>
      <c r="D59" s="52"/>
      <c r="E59" s="86"/>
      <c r="F59" s="52"/>
      <c r="G59" s="89" t="str">
        <f aca="false">IF(F59="","",IFERROR(INDEX(Teachers!$B$5:$B$304,MATCH(F59,Teachers!$A$5:$A$304,0)),""))</f>
        <v/>
      </c>
      <c r="H59" s="52"/>
      <c r="I59" s="89" t="str">
        <f aca="false">IF(A59="","",A59&amp;"|"&amp;B59&amp;"|"&amp;C59&amp;"|"&amp;D59)</f>
        <v/>
      </c>
      <c r="J59" s="85" t="str">
        <f aca="false">IF(A59="","",IF(AND(F59&lt;&gt;"",COUNTIFS(Timetable!$F$5:$F$304,F59,Timetable!$C$5:$C$304,C59,Timetable!$D$5:$D$304,D59)&gt;1),"Teacher clash",IF(COUNTIF(Timetable!$I$5:$I$304,I59)&gt;1,"Class clash","OK")))</f>
        <v/>
      </c>
    </row>
    <row r="60" customFormat="false" ht="19.5" hidden="false" customHeight="true" outlineLevel="0" collapsed="false">
      <c r="A60" s="52"/>
      <c r="B60" s="52"/>
      <c r="C60" s="52"/>
      <c r="D60" s="52"/>
      <c r="E60" s="86"/>
      <c r="F60" s="52"/>
      <c r="G60" s="89" t="str">
        <f aca="false">IF(F60="","",IFERROR(INDEX(Teachers!$B$5:$B$304,MATCH(F60,Teachers!$A$5:$A$304,0)),""))</f>
        <v/>
      </c>
      <c r="H60" s="52"/>
      <c r="I60" s="89" t="str">
        <f aca="false">IF(A60="","",A60&amp;"|"&amp;B60&amp;"|"&amp;C60&amp;"|"&amp;D60)</f>
        <v/>
      </c>
      <c r="J60" s="85" t="str">
        <f aca="false">IF(A60="","",IF(AND(F60&lt;&gt;"",COUNTIFS(Timetable!$F$5:$F$304,F60,Timetable!$C$5:$C$304,C60,Timetable!$D$5:$D$304,D60)&gt;1),"Teacher clash",IF(COUNTIF(Timetable!$I$5:$I$304,I60)&gt;1,"Class clash","OK")))</f>
        <v/>
      </c>
    </row>
    <row r="61" customFormat="false" ht="19.5" hidden="false" customHeight="true" outlineLevel="0" collapsed="false">
      <c r="A61" s="52"/>
      <c r="B61" s="52"/>
      <c r="C61" s="52"/>
      <c r="D61" s="52"/>
      <c r="E61" s="86"/>
      <c r="F61" s="52"/>
      <c r="G61" s="89" t="str">
        <f aca="false">IF(F61="","",IFERROR(INDEX(Teachers!$B$5:$B$304,MATCH(F61,Teachers!$A$5:$A$304,0)),""))</f>
        <v/>
      </c>
      <c r="H61" s="52"/>
      <c r="I61" s="89" t="str">
        <f aca="false">IF(A61="","",A61&amp;"|"&amp;B61&amp;"|"&amp;C61&amp;"|"&amp;D61)</f>
        <v/>
      </c>
      <c r="J61" s="85" t="str">
        <f aca="false">IF(A61="","",IF(AND(F61&lt;&gt;"",COUNTIFS(Timetable!$F$5:$F$304,F61,Timetable!$C$5:$C$304,C61,Timetable!$D$5:$D$304,D61)&gt;1),"Teacher clash",IF(COUNTIF(Timetable!$I$5:$I$304,I61)&gt;1,"Class clash","OK")))</f>
        <v/>
      </c>
    </row>
    <row r="62" customFormat="false" ht="19.5" hidden="false" customHeight="true" outlineLevel="0" collapsed="false">
      <c r="A62" s="52"/>
      <c r="B62" s="52"/>
      <c r="C62" s="52"/>
      <c r="D62" s="52"/>
      <c r="E62" s="86"/>
      <c r="F62" s="52"/>
      <c r="G62" s="89" t="str">
        <f aca="false">IF(F62="","",IFERROR(INDEX(Teachers!$B$5:$B$304,MATCH(F62,Teachers!$A$5:$A$304,0)),""))</f>
        <v/>
      </c>
      <c r="H62" s="52"/>
      <c r="I62" s="89" t="str">
        <f aca="false">IF(A62="","",A62&amp;"|"&amp;B62&amp;"|"&amp;C62&amp;"|"&amp;D62)</f>
        <v/>
      </c>
      <c r="J62" s="85" t="str">
        <f aca="false">IF(A62="","",IF(AND(F62&lt;&gt;"",COUNTIFS(Timetable!$F$5:$F$304,F62,Timetable!$C$5:$C$304,C62,Timetable!$D$5:$D$304,D62)&gt;1),"Teacher clash",IF(COUNTIF(Timetable!$I$5:$I$304,I62)&gt;1,"Class clash","OK")))</f>
        <v/>
      </c>
    </row>
    <row r="63" customFormat="false" ht="19.5" hidden="false" customHeight="true" outlineLevel="0" collapsed="false">
      <c r="A63" s="52"/>
      <c r="B63" s="52"/>
      <c r="C63" s="52"/>
      <c r="D63" s="52"/>
      <c r="E63" s="86"/>
      <c r="F63" s="52"/>
      <c r="G63" s="89" t="str">
        <f aca="false">IF(F63="","",IFERROR(INDEX(Teachers!$B$5:$B$304,MATCH(F63,Teachers!$A$5:$A$304,0)),""))</f>
        <v/>
      </c>
      <c r="H63" s="52"/>
      <c r="I63" s="89" t="str">
        <f aca="false">IF(A63="","",A63&amp;"|"&amp;B63&amp;"|"&amp;C63&amp;"|"&amp;D63)</f>
        <v/>
      </c>
      <c r="J63" s="85" t="str">
        <f aca="false">IF(A63="","",IF(AND(F63&lt;&gt;"",COUNTIFS(Timetable!$F$5:$F$304,F63,Timetable!$C$5:$C$304,C63,Timetable!$D$5:$D$304,D63)&gt;1),"Teacher clash",IF(COUNTIF(Timetable!$I$5:$I$304,I63)&gt;1,"Class clash","OK")))</f>
        <v/>
      </c>
    </row>
    <row r="64" customFormat="false" ht="19.5" hidden="false" customHeight="true" outlineLevel="0" collapsed="false">
      <c r="A64" s="52"/>
      <c r="B64" s="52"/>
      <c r="C64" s="52"/>
      <c r="D64" s="52"/>
      <c r="E64" s="86"/>
      <c r="F64" s="52"/>
      <c r="G64" s="89" t="str">
        <f aca="false">IF(F64="","",IFERROR(INDEX(Teachers!$B$5:$B$304,MATCH(F64,Teachers!$A$5:$A$304,0)),""))</f>
        <v/>
      </c>
      <c r="H64" s="52"/>
      <c r="I64" s="89" t="str">
        <f aca="false">IF(A64="","",A64&amp;"|"&amp;B64&amp;"|"&amp;C64&amp;"|"&amp;D64)</f>
        <v/>
      </c>
      <c r="J64" s="85" t="str">
        <f aca="false">IF(A64="","",IF(AND(F64&lt;&gt;"",COUNTIFS(Timetable!$F$5:$F$304,F64,Timetable!$C$5:$C$304,C64,Timetable!$D$5:$D$304,D64)&gt;1),"Teacher clash",IF(COUNTIF(Timetable!$I$5:$I$304,I64)&gt;1,"Class clash","OK")))</f>
        <v/>
      </c>
    </row>
    <row r="65" customFormat="false" ht="19.5" hidden="false" customHeight="true" outlineLevel="0" collapsed="false">
      <c r="A65" s="52"/>
      <c r="B65" s="52"/>
      <c r="C65" s="52"/>
      <c r="D65" s="52"/>
      <c r="E65" s="86"/>
      <c r="F65" s="52"/>
      <c r="G65" s="89" t="str">
        <f aca="false">IF(F65="","",IFERROR(INDEX(Teachers!$B$5:$B$304,MATCH(F65,Teachers!$A$5:$A$304,0)),""))</f>
        <v/>
      </c>
      <c r="H65" s="52"/>
      <c r="I65" s="89" t="str">
        <f aca="false">IF(A65="","",A65&amp;"|"&amp;B65&amp;"|"&amp;C65&amp;"|"&amp;D65)</f>
        <v/>
      </c>
      <c r="J65" s="85" t="str">
        <f aca="false">IF(A65="","",IF(AND(F65&lt;&gt;"",COUNTIFS(Timetable!$F$5:$F$304,F65,Timetable!$C$5:$C$304,C65,Timetable!$D$5:$D$304,D65)&gt;1),"Teacher clash",IF(COUNTIF(Timetable!$I$5:$I$304,I65)&gt;1,"Class clash","OK")))</f>
        <v/>
      </c>
    </row>
    <row r="66" customFormat="false" ht="19.5" hidden="false" customHeight="true" outlineLevel="0" collapsed="false">
      <c r="A66" s="52"/>
      <c r="B66" s="52"/>
      <c r="C66" s="52"/>
      <c r="D66" s="52"/>
      <c r="E66" s="86"/>
      <c r="F66" s="52"/>
      <c r="G66" s="89" t="str">
        <f aca="false">IF(F66="","",IFERROR(INDEX(Teachers!$B$5:$B$304,MATCH(F66,Teachers!$A$5:$A$304,0)),""))</f>
        <v/>
      </c>
      <c r="H66" s="52"/>
      <c r="I66" s="89" t="str">
        <f aca="false">IF(A66="","",A66&amp;"|"&amp;B66&amp;"|"&amp;C66&amp;"|"&amp;D66)</f>
        <v/>
      </c>
      <c r="J66" s="85" t="str">
        <f aca="false">IF(A66="","",IF(AND(F66&lt;&gt;"",COUNTIFS(Timetable!$F$5:$F$304,F66,Timetable!$C$5:$C$304,C66,Timetable!$D$5:$D$304,D66)&gt;1),"Teacher clash",IF(COUNTIF(Timetable!$I$5:$I$304,I66)&gt;1,"Class clash","OK")))</f>
        <v/>
      </c>
    </row>
    <row r="67" customFormat="false" ht="19.5" hidden="false" customHeight="true" outlineLevel="0" collapsed="false">
      <c r="A67" s="52"/>
      <c r="B67" s="52"/>
      <c r="C67" s="52"/>
      <c r="D67" s="52"/>
      <c r="E67" s="86"/>
      <c r="F67" s="52"/>
      <c r="G67" s="89" t="str">
        <f aca="false">IF(F67="","",IFERROR(INDEX(Teachers!$B$5:$B$304,MATCH(F67,Teachers!$A$5:$A$304,0)),""))</f>
        <v/>
      </c>
      <c r="H67" s="52"/>
      <c r="I67" s="89" t="str">
        <f aca="false">IF(A67="","",A67&amp;"|"&amp;B67&amp;"|"&amp;C67&amp;"|"&amp;D67)</f>
        <v/>
      </c>
      <c r="J67" s="85" t="str">
        <f aca="false">IF(A67="","",IF(AND(F67&lt;&gt;"",COUNTIFS(Timetable!$F$5:$F$304,F67,Timetable!$C$5:$C$304,C67,Timetable!$D$5:$D$304,D67)&gt;1),"Teacher clash",IF(COUNTIF(Timetable!$I$5:$I$304,I67)&gt;1,"Class clash","OK")))</f>
        <v/>
      </c>
    </row>
    <row r="68" customFormat="false" ht="19.5" hidden="false" customHeight="true" outlineLevel="0" collapsed="false">
      <c r="A68" s="52"/>
      <c r="B68" s="52"/>
      <c r="C68" s="52"/>
      <c r="D68" s="52"/>
      <c r="E68" s="86"/>
      <c r="F68" s="52"/>
      <c r="G68" s="89" t="str">
        <f aca="false">IF(F68="","",IFERROR(INDEX(Teachers!$B$5:$B$304,MATCH(F68,Teachers!$A$5:$A$304,0)),""))</f>
        <v/>
      </c>
      <c r="H68" s="52"/>
      <c r="I68" s="89" t="str">
        <f aca="false">IF(A68="","",A68&amp;"|"&amp;B68&amp;"|"&amp;C68&amp;"|"&amp;D68)</f>
        <v/>
      </c>
      <c r="J68" s="85" t="str">
        <f aca="false">IF(A68="","",IF(AND(F68&lt;&gt;"",COUNTIFS(Timetable!$F$5:$F$304,F68,Timetable!$C$5:$C$304,C68,Timetable!$D$5:$D$304,D68)&gt;1),"Teacher clash",IF(COUNTIF(Timetable!$I$5:$I$304,I68)&gt;1,"Class clash","OK")))</f>
        <v/>
      </c>
    </row>
    <row r="69" customFormat="false" ht="19.5" hidden="false" customHeight="true" outlineLevel="0" collapsed="false">
      <c r="A69" s="52"/>
      <c r="B69" s="52"/>
      <c r="C69" s="52"/>
      <c r="D69" s="52"/>
      <c r="E69" s="86"/>
      <c r="F69" s="52"/>
      <c r="G69" s="89" t="str">
        <f aca="false">IF(F69="","",IFERROR(INDEX(Teachers!$B$5:$B$304,MATCH(F69,Teachers!$A$5:$A$304,0)),""))</f>
        <v/>
      </c>
      <c r="H69" s="52"/>
      <c r="I69" s="89" t="str">
        <f aca="false">IF(A69="","",A69&amp;"|"&amp;B69&amp;"|"&amp;C69&amp;"|"&amp;D69)</f>
        <v/>
      </c>
      <c r="J69" s="85" t="str">
        <f aca="false">IF(A69="","",IF(AND(F69&lt;&gt;"",COUNTIFS(Timetable!$F$5:$F$304,F69,Timetable!$C$5:$C$304,C69,Timetable!$D$5:$D$304,D69)&gt;1),"Teacher clash",IF(COUNTIF(Timetable!$I$5:$I$304,I69)&gt;1,"Class clash","OK")))</f>
        <v/>
      </c>
    </row>
    <row r="70" customFormat="false" ht="19.5" hidden="false" customHeight="true" outlineLevel="0" collapsed="false">
      <c r="A70" s="52"/>
      <c r="B70" s="52"/>
      <c r="C70" s="52"/>
      <c r="D70" s="52"/>
      <c r="E70" s="86"/>
      <c r="F70" s="52"/>
      <c r="G70" s="89" t="str">
        <f aca="false">IF(F70="","",IFERROR(INDEX(Teachers!$B$5:$B$304,MATCH(F70,Teachers!$A$5:$A$304,0)),""))</f>
        <v/>
      </c>
      <c r="H70" s="52"/>
      <c r="I70" s="89" t="str">
        <f aca="false">IF(A70="","",A70&amp;"|"&amp;B70&amp;"|"&amp;C70&amp;"|"&amp;D70)</f>
        <v/>
      </c>
      <c r="J70" s="85" t="str">
        <f aca="false">IF(A70="","",IF(AND(F70&lt;&gt;"",COUNTIFS(Timetable!$F$5:$F$304,F70,Timetable!$C$5:$C$304,C70,Timetable!$D$5:$D$304,D70)&gt;1),"Teacher clash",IF(COUNTIF(Timetable!$I$5:$I$304,I70)&gt;1,"Class clash","OK")))</f>
        <v/>
      </c>
    </row>
    <row r="71" customFormat="false" ht="19.5" hidden="false" customHeight="true" outlineLevel="0" collapsed="false">
      <c r="A71" s="52"/>
      <c r="B71" s="52"/>
      <c r="C71" s="52"/>
      <c r="D71" s="52"/>
      <c r="E71" s="86"/>
      <c r="F71" s="52"/>
      <c r="G71" s="89" t="str">
        <f aca="false">IF(F71="","",IFERROR(INDEX(Teachers!$B$5:$B$304,MATCH(F71,Teachers!$A$5:$A$304,0)),""))</f>
        <v/>
      </c>
      <c r="H71" s="52"/>
      <c r="I71" s="89" t="str">
        <f aca="false">IF(A71="","",A71&amp;"|"&amp;B71&amp;"|"&amp;C71&amp;"|"&amp;D71)</f>
        <v/>
      </c>
      <c r="J71" s="85" t="str">
        <f aca="false">IF(A71="","",IF(AND(F71&lt;&gt;"",COUNTIFS(Timetable!$F$5:$F$304,F71,Timetable!$C$5:$C$304,C71,Timetable!$D$5:$D$304,D71)&gt;1),"Teacher clash",IF(COUNTIF(Timetable!$I$5:$I$304,I71)&gt;1,"Class clash","OK")))</f>
        <v/>
      </c>
    </row>
    <row r="72" customFormat="false" ht="19.5" hidden="false" customHeight="true" outlineLevel="0" collapsed="false">
      <c r="A72" s="52"/>
      <c r="B72" s="52"/>
      <c r="C72" s="52"/>
      <c r="D72" s="52"/>
      <c r="E72" s="86"/>
      <c r="F72" s="52"/>
      <c r="G72" s="89" t="str">
        <f aca="false">IF(F72="","",IFERROR(INDEX(Teachers!$B$5:$B$304,MATCH(F72,Teachers!$A$5:$A$304,0)),""))</f>
        <v/>
      </c>
      <c r="H72" s="52"/>
      <c r="I72" s="89" t="str">
        <f aca="false">IF(A72="","",A72&amp;"|"&amp;B72&amp;"|"&amp;C72&amp;"|"&amp;D72)</f>
        <v/>
      </c>
      <c r="J72" s="85" t="str">
        <f aca="false">IF(A72="","",IF(AND(F72&lt;&gt;"",COUNTIFS(Timetable!$F$5:$F$304,F72,Timetable!$C$5:$C$304,C72,Timetable!$D$5:$D$304,D72)&gt;1),"Teacher clash",IF(COUNTIF(Timetable!$I$5:$I$304,I72)&gt;1,"Class clash","OK")))</f>
        <v/>
      </c>
    </row>
    <row r="73" customFormat="false" ht="19.5" hidden="false" customHeight="true" outlineLevel="0" collapsed="false">
      <c r="A73" s="52"/>
      <c r="B73" s="52"/>
      <c r="C73" s="52"/>
      <c r="D73" s="52"/>
      <c r="E73" s="86"/>
      <c r="F73" s="52"/>
      <c r="G73" s="89" t="str">
        <f aca="false">IF(F73="","",IFERROR(INDEX(Teachers!$B$5:$B$304,MATCH(F73,Teachers!$A$5:$A$304,0)),""))</f>
        <v/>
      </c>
      <c r="H73" s="52"/>
      <c r="I73" s="89" t="str">
        <f aca="false">IF(A73="","",A73&amp;"|"&amp;B73&amp;"|"&amp;C73&amp;"|"&amp;D73)</f>
        <v/>
      </c>
      <c r="J73" s="85" t="str">
        <f aca="false">IF(A73="","",IF(AND(F73&lt;&gt;"",COUNTIFS(Timetable!$F$5:$F$304,F73,Timetable!$C$5:$C$304,C73,Timetable!$D$5:$D$304,D73)&gt;1),"Teacher clash",IF(COUNTIF(Timetable!$I$5:$I$304,I73)&gt;1,"Class clash","OK")))</f>
        <v/>
      </c>
    </row>
    <row r="74" customFormat="false" ht="19.5" hidden="false" customHeight="true" outlineLevel="0" collapsed="false">
      <c r="A74" s="52"/>
      <c r="B74" s="52"/>
      <c r="C74" s="52"/>
      <c r="D74" s="52"/>
      <c r="E74" s="86"/>
      <c r="F74" s="52"/>
      <c r="G74" s="89" t="str">
        <f aca="false">IF(F74="","",IFERROR(INDEX(Teachers!$B$5:$B$304,MATCH(F74,Teachers!$A$5:$A$304,0)),""))</f>
        <v/>
      </c>
      <c r="H74" s="52"/>
      <c r="I74" s="89" t="str">
        <f aca="false">IF(A74="","",A74&amp;"|"&amp;B74&amp;"|"&amp;C74&amp;"|"&amp;D74)</f>
        <v/>
      </c>
      <c r="J74" s="85" t="str">
        <f aca="false">IF(A74="","",IF(AND(F74&lt;&gt;"",COUNTIFS(Timetable!$F$5:$F$304,F74,Timetable!$C$5:$C$304,C74,Timetable!$D$5:$D$304,D74)&gt;1),"Teacher clash",IF(COUNTIF(Timetable!$I$5:$I$304,I74)&gt;1,"Class clash","OK")))</f>
        <v/>
      </c>
    </row>
    <row r="75" customFormat="false" ht="19.5" hidden="false" customHeight="true" outlineLevel="0" collapsed="false">
      <c r="A75" s="52"/>
      <c r="B75" s="52"/>
      <c r="C75" s="52"/>
      <c r="D75" s="52"/>
      <c r="E75" s="86"/>
      <c r="F75" s="52"/>
      <c r="G75" s="89" t="str">
        <f aca="false">IF(F75="","",IFERROR(INDEX(Teachers!$B$5:$B$304,MATCH(F75,Teachers!$A$5:$A$304,0)),""))</f>
        <v/>
      </c>
      <c r="H75" s="52"/>
      <c r="I75" s="89" t="str">
        <f aca="false">IF(A75="","",A75&amp;"|"&amp;B75&amp;"|"&amp;C75&amp;"|"&amp;D75)</f>
        <v/>
      </c>
      <c r="J75" s="85" t="str">
        <f aca="false">IF(A75="","",IF(AND(F75&lt;&gt;"",COUNTIFS(Timetable!$F$5:$F$304,F75,Timetable!$C$5:$C$304,C75,Timetable!$D$5:$D$304,D75)&gt;1),"Teacher clash",IF(COUNTIF(Timetable!$I$5:$I$304,I75)&gt;1,"Class clash","OK")))</f>
        <v/>
      </c>
    </row>
    <row r="76" customFormat="false" ht="19.5" hidden="false" customHeight="true" outlineLevel="0" collapsed="false">
      <c r="A76" s="52"/>
      <c r="B76" s="52"/>
      <c r="C76" s="52"/>
      <c r="D76" s="52"/>
      <c r="E76" s="86"/>
      <c r="F76" s="52"/>
      <c r="G76" s="89" t="str">
        <f aca="false">IF(F76="","",IFERROR(INDEX(Teachers!$B$5:$B$304,MATCH(F76,Teachers!$A$5:$A$304,0)),""))</f>
        <v/>
      </c>
      <c r="H76" s="52"/>
      <c r="I76" s="89" t="str">
        <f aca="false">IF(A76="","",A76&amp;"|"&amp;B76&amp;"|"&amp;C76&amp;"|"&amp;D76)</f>
        <v/>
      </c>
      <c r="J76" s="85" t="str">
        <f aca="false">IF(A76="","",IF(AND(F76&lt;&gt;"",COUNTIFS(Timetable!$F$5:$F$304,F76,Timetable!$C$5:$C$304,C76,Timetable!$D$5:$D$304,D76)&gt;1),"Teacher clash",IF(COUNTIF(Timetable!$I$5:$I$304,I76)&gt;1,"Class clash","OK")))</f>
        <v/>
      </c>
    </row>
    <row r="77" customFormat="false" ht="19.5" hidden="false" customHeight="true" outlineLevel="0" collapsed="false">
      <c r="A77" s="52"/>
      <c r="B77" s="52"/>
      <c r="C77" s="52"/>
      <c r="D77" s="52"/>
      <c r="E77" s="86"/>
      <c r="F77" s="52"/>
      <c r="G77" s="89" t="str">
        <f aca="false">IF(F77="","",IFERROR(INDEX(Teachers!$B$5:$B$304,MATCH(F77,Teachers!$A$5:$A$304,0)),""))</f>
        <v/>
      </c>
      <c r="H77" s="52"/>
      <c r="I77" s="89" t="str">
        <f aca="false">IF(A77="","",A77&amp;"|"&amp;B77&amp;"|"&amp;C77&amp;"|"&amp;D77)</f>
        <v/>
      </c>
      <c r="J77" s="85" t="str">
        <f aca="false">IF(A77="","",IF(AND(F77&lt;&gt;"",COUNTIFS(Timetable!$F$5:$F$304,F77,Timetable!$C$5:$C$304,C77,Timetable!$D$5:$D$304,D77)&gt;1),"Teacher clash",IF(COUNTIF(Timetable!$I$5:$I$304,I77)&gt;1,"Class clash","OK")))</f>
        <v/>
      </c>
    </row>
    <row r="78" customFormat="false" ht="19.5" hidden="false" customHeight="true" outlineLevel="0" collapsed="false">
      <c r="A78" s="52"/>
      <c r="B78" s="52"/>
      <c r="C78" s="52"/>
      <c r="D78" s="52"/>
      <c r="E78" s="86"/>
      <c r="F78" s="52"/>
      <c r="G78" s="89" t="str">
        <f aca="false">IF(F78="","",IFERROR(INDEX(Teachers!$B$5:$B$304,MATCH(F78,Teachers!$A$5:$A$304,0)),""))</f>
        <v/>
      </c>
      <c r="H78" s="52"/>
      <c r="I78" s="89" t="str">
        <f aca="false">IF(A78="","",A78&amp;"|"&amp;B78&amp;"|"&amp;C78&amp;"|"&amp;D78)</f>
        <v/>
      </c>
      <c r="J78" s="85" t="str">
        <f aca="false">IF(A78="","",IF(AND(F78&lt;&gt;"",COUNTIFS(Timetable!$F$5:$F$304,F78,Timetable!$C$5:$C$304,C78,Timetable!$D$5:$D$304,D78)&gt;1),"Teacher clash",IF(COUNTIF(Timetable!$I$5:$I$304,I78)&gt;1,"Class clash","OK")))</f>
        <v/>
      </c>
    </row>
    <row r="79" customFormat="false" ht="19.5" hidden="false" customHeight="true" outlineLevel="0" collapsed="false">
      <c r="A79" s="52"/>
      <c r="B79" s="52"/>
      <c r="C79" s="52"/>
      <c r="D79" s="52"/>
      <c r="E79" s="86"/>
      <c r="F79" s="52"/>
      <c r="G79" s="89" t="str">
        <f aca="false">IF(F79="","",IFERROR(INDEX(Teachers!$B$5:$B$304,MATCH(F79,Teachers!$A$5:$A$304,0)),""))</f>
        <v/>
      </c>
      <c r="H79" s="52"/>
      <c r="I79" s="89" t="str">
        <f aca="false">IF(A79="","",A79&amp;"|"&amp;B79&amp;"|"&amp;C79&amp;"|"&amp;D79)</f>
        <v/>
      </c>
      <c r="J79" s="85" t="str">
        <f aca="false">IF(A79="","",IF(AND(F79&lt;&gt;"",COUNTIFS(Timetable!$F$5:$F$304,F79,Timetable!$C$5:$C$304,C79,Timetable!$D$5:$D$304,D79)&gt;1),"Teacher clash",IF(COUNTIF(Timetable!$I$5:$I$304,I79)&gt;1,"Class clash","OK")))</f>
        <v/>
      </c>
    </row>
    <row r="80" customFormat="false" ht="19.5" hidden="false" customHeight="true" outlineLevel="0" collapsed="false">
      <c r="A80" s="52"/>
      <c r="B80" s="52"/>
      <c r="C80" s="52"/>
      <c r="D80" s="52"/>
      <c r="E80" s="86"/>
      <c r="F80" s="52"/>
      <c r="G80" s="89" t="str">
        <f aca="false">IF(F80="","",IFERROR(INDEX(Teachers!$B$5:$B$304,MATCH(F80,Teachers!$A$5:$A$304,0)),""))</f>
        <v/>
      </c>
      <c r="H80" s="52"/>
      <c r="I80" s="89" t="str">
        <f aca="false">IF(A80="","",A80&amp;"|"&amp;B80&amp;"|"&amp;C80&amp;"|"&amp;D80)</f>
        <v/>
      </c>
      <c r="J80" s="85" t="str">
        <f aca="false">IF(A80="","",IF(AND(F80&lt;&gt;"",COUNTIFS(Timetable!$F$5:$F$304,F80,Timetable!$C$5:$C$304,C80,Timetable!$D$5:$D$304,D80)&gt;1),"Teacher clash",IF(COUNTIF(Timetable!$I$5:$I$304,I80)&gt;1,"Class clash","OK")))</f>
        <v/>
      </c>
    </row>
    <row r="81" customFormat="false" ht="19.5" hidden="false" customHeight="true" outlineLevel="0" collapsed="false">
      <c r="A81" s="52"/>
      <c r="B81" s="52"/>
      <c r="C81" s="52"/>
      <c r="D81" s="52"/>
      <c r="E81" s="86"/>
      <c r="F81" s="52"/>
      <c r="G81" s="89" t="str">
        <f aca="false">IF(F81="","",IFERROR(INDEX(Teachers!$B$5:$B$304,MATCH(F81,Teachers!$A$5:$A$304,0)),""))</f>
        <v/>
      </c>
      <c r="H81" s="52"/>
      <c r="I81" s="89" t="str">
        <f aca="false">IF(A81="","",A81&amp;"|"&amp;B81&amp;"|"&amp;C81&amp;"|"&amp;D81)</f>
        <v/>
      </c>
      <c r="J81" s="85" t="str">
        <f aca="false">IF(A81="","",IF(AND(F81&lt;&gt;"",COUNTIFS(Timetable!$F$5:$F$304,F81,Timetable!$C$5:$C$304,C81,Timetable!$D$5:$D$304,D81)&gt;1),"Teacher clash",IF(COUNTIF(Timetable!$I$5:$I$304,I81)&gt;1,"Class clash","OK")))</f>
        <v/>
      </c>
    </row>
    <row r="82" customFormat="false" ht="19.5" hidden="false" customHeight="true" outlineLevel="0" collapsed="false">
      <c r="A82" s="52"/>
      <c r="B82" s="52"/>
      <c r="C82" s="52"/>
      <c r="D82" s="52"/>
      <c r="E82" s="86"/>
      <c r="F82" s="52"/>
      <c r="G82" s="89" t="str">
        <f aca="false">IF(F82="","",IFERROR(INDEX(Teachers!$B$5:$B$304,MATCH(F82,Teachers!$A$5:$A$304,0)),""))</f>
        <v/>
      </c>
      <c r="H82" s="52"/>
      <c r="I82" s="89" t="str">
        <f aca="false">IF(A82="","",A82&amp;"|"&amp;B82&amp;"|"&amp;C82&amp;"|"&amp;D82)</f>
        <v/>
      </c>
      <c r="J82" s="85" t="str">
        <f aca="false">IF(A82="","",IF(AND(F82&lt;&gt;"",COUNTIFS(Timetable!$F$5:$F$304,F82,Timetable!$C$5:$C$304,C82,Timetable!$D$5:$D$304,D82)&gt;1),"Teacher clash",IF(COUNTIF(Timetable!$I$5:$I$304,I82)&gt;1,"Class clash","OK")))</f>
        <v/>
      </c>
    </row>
    <row r="83" customFormat="false" ht="19.5" hidden="false" customHeight="true" outlineLevel="0" collapsed="false">
      <c r="A83" s="52"/>
      <c r="B83" s="52"/>
      <c r="C83" s="52"/>
      <c r="D83" s="52"/>
      <c r="E83" s="86"/>
      <c r="F83" s="52"/>
      <c r="G83" s="89" t="str">
        <f aca="false">IF(F83="","",IFERROR(INDEX(Teachers!$B$5:$B$304,MATCH(F83,Teachers!$A$5:$A$304,0)),""))</f>
        <v/>
      </c>
      <c r="H83" s="52"/>
      <c r="I83" s="89" t="str">
        <f aca="false">IF(A83="","",A83&amp;"|"&amp;B83&amp;"|"&amp;C83&amp;"|"&amp;D83)</f>
        <v/>
      </c>
      <c r="J83" s="85" t="str">
        <f aca="false">IF(A83="","",IF(AND(F83&lt;&gt;"",COUNTIFS(Timetable!$F$5:$F$304,F83,Timetable!$C$5:$C$304,C83,Timetable!$D$5:$D$304,D83)&gt;1),"Teacher clash",IF(COUNTIF(Timetable!$I$5:$I$304,I83)&gt;1,"Class clash","OK")))</f>
        <v/>
      </c>
    </row>
    <row r="84" customFormat="false" ht="19.5" hidden="false" customHeight="true" outlineLevel="0" collapsed="false">
      <c r="A84" s="52"/>
      <c r="B84" s="52"/>
      <c r="C84" s="52"/>
      <c r="D84" s="52"/>
      <c r="E84" s="86"/>
      <c r="F84" s="52"/>
      <c r="G84" s="89" t="str">
        <f aca="false">IF(F84="","",IFERROR(INDEX(Teachers!$B$5:$B$304,MATCH(F84,Teachers!$A$5:$A$304,0)),""))</f>
        <v/>
      </c>
      <c r="H84" s="52"/>
      <c r="I84" s="89" t="str">
        <f aca="false">IF(A84="","",A84&amp;"|"&amp;B84&amp;"|"&amp;C84&amp;"|"&amp;D84)</f>
        <v/>
      </c>
      <c r="J84" s="85" t="str">
        <f aca="false">IF(A84="","",IF(AND(F84&lt;&gt;"",COUNTIFS(Timetable!$F$5:$F$304,F84,Timetable!$C$5:$C$304,C84,Timetable!$D$5:$D$304,D84)&gt;1),"Teacher clash",IF(COUNTIF(Timetable!$I$5:$I$304,I84)&gt;1,"Class clash","OK")))</f>
        <v/>
      </c>
    </row>
    <row r="85" customFormat="false" ht="19.5" hidden="false" customHeight="true" outlineLevel="0" collapsed="false">
      <c r="A85" s="52"/>
      <c r="B85" s="52"/>
      <c r="C85" s="52"/>
      <c r="D85" s="52"/>
      <c r="E85" s="86"/>
      <c r="F85" s="52"/>
      <c r="G85" s="89" t="str">
        <f aca="false">IF(F85="","",IFERROR(INDEX(Teachers!$B$5:$B$304,MATCH(F85,Teachers!$A$5:$A$304,0)),""))</f>
        <v/>
      </c>
      <c r="H85" s="52"/>
      <c r="I85" s="89" t="str">
        <f aca="false">IF(A85="","",A85&amp;"|"&amp;B85&amp;"|"&amp;C85&amp;"|"&amp;D85)</f>
        <v/>
      </c>
      <c r="J85" s="85" t="str">
        <f aca="false">IF(A85="","",IF(AND(F85&lt;&gt;"",COUNTIFS(Timetable!$F$5:$F$304,F85,Timetable!$C$5:$C$304,C85,Timetable!$D$5:$D$304,D85)&gt;1),"Teacher clash",IF(COUNTIF(Timetable!$I$5:$I$304,I85)&gt;1,"Class clash","OK")))</f>
        <v/>
      </c>
    </row>
    <row r="86" customFormat="false" ht="19.5" hidden="false" customHeight="true" outlineLevel="0" collapsed="false">
      <c r="A86" s="52"/>
      <c r="B86" s="52"/>
      <c r="C86" s="52"/>
      <c r="D86" s="52"/>
      <c r="E86" s="86"/>
      <c r="F86" s="52"/>
      <c r="G86" s="89" t="str">
        <f aca="false">IF(F86="","",IFERROR(INDEX(Teachers!$B$5:$B$304,MATCH(F86,Teachers!$A$5:$A$304,0)),""))</f>
        <v/>
      </c>
      <c r="H86" s="52"/>
      <c r="I86" s="89" t="str">
        <f aca="false">IF(A86="","",A86&amp;"|"&amp;B86&amp;"|"&amp;C86&amp;"|"&amp;D86)</f>
        <v/>
      </c>
      <c r="J86" s="85" t="str">
        <f aca="false">IF(A86="","",IF(AND(F86&lt;&gt;"",COUNTIFS(Timetable!$F$5:$F$304,F86,Timetable!$C$5:$C$304,C86,Timetable!$D$5:$D$304,D86)&gt;1),"Teacher clash",IF(COUNTIF(Timetable!$I$5:$I$304,I86)&gt;1,"Class clash","OK")))</f>
        <v/>
      </c>
    </row>
    <row r="87" customFormat="false" ht="19.5" hidden="false" customHeight="true" outlineLevel="0" collapsed="false">
      <c r="A87" s="52"/>
      <c r="B87" s="52"/>
      <c r="C87" s="52"/>
      <c r="D87" s="52"/>
      <c r="E87" s="86"/>
      <c r="F87" s="52"/>
      <c r="G87" s="89" t="str">
        <f aca="false">IF(F87="","",IFERROR(INDEX(Teachers!$B$5:$B$304,MATCH(F87,Teachers!$A$5:$A$304,0)),""))</f>
        <v/>
      </c>
      <c r="H87" s="52"/>
      <c r="I87" s="89" t="str">
        <f aca="false">IF(A87="","",A87&amp;"|"&amp;B87&amp;"|"&amp;C87&amp;"|"&amp;D87)</f>
        <v/>
      </c>
      <c r="J87" s="85" t="str">
        <f aca="false">IF(A87="","",IF(AND(F87&lt;&gt;"",COUNTIFS(Timetable!$F$5:$F$304,F87,Timetable!$C$5:$C$304,C87,Timetable!$D$5:$D$304,D87)&gt;1),"Teacher clash",IF(COUNTIF(Timetable!$I$5:$I$304,I87)&gt;1,"Class clash","OK")))</f>
        <v/>
      </c>
    </row>
    <row r="88" customFormat="false" ht="19.5" hidden="false" customHeight="true" outlineLevel="0" collapsed="false">
      <c r="A88" s="52"/>
      <c r="B88" s="52"/>
      <c r="C88" s="52"/>
      <c r="D88" s="52"/>
      <c r="E88" s="86"/>
      <c r="F88" s="52"/>
      <c r="G88" s="89" t="str">
        <f aca="false">IF(F88="","",IFERROR(INDEX(Teachers!$B$5:$B$304,MATCH(F88,Teachers!$A$5:$A$304,0)),""))</f>
        <v/>
      </c>
      <c r="H88" s="52"/>
      <c r="I88" s="89" t="str">
        <f aca="false">IF(A88="","",A88&amp;"|"&amp;B88&amp;"|"&amp;C88&amp;"|"&amp;D88)</f>
        <v/>
      </c>
      <c r="J88" s="85" t="str">
        <f aca="false">IF(A88="","",IF(AND(F88&lt;&gt;"",COUNTIFS(Timetable!$F$5:$F$304,F88,Timetable!$C$5:$C$304,C88,Timetable!$D$5:$D$304,D88)&gt;1),"Teacher clash",IF(COUNTIF(Timetable!$I$5:$I$304,I88)&gt;1,"Class clash","OK")))</f>
        <v/>
      </c>
    </row>
    <row r="89" customFormat="false" ht="19.5" hidden="false" customHeight="true" outlineLevel="0" collapsed="false">
      <c r="A89" s="52"/>
      <c r="B89" s="52"/>
      <c r="C89" s="52"/>
      <c r="D89" s="52"/>
      <c r="E89" s="86"/>
      <c r="F89" s="52"/>
      <c r="G89" s="89" t="str">
        <f aca="false">IF(F89="","",IFERROR(INDEX(Teachers!$B$5:$B$304,MATCH(F89,Teachers!$A$5:$A$304,0)),""))</f>
        <v/>
      </c>
      <c r="H89" s="52"/>
      <c r="I89" s="89" t="str">
        <f aca="false">IF(A89="","",A89&amp;"|"&amp;B89&amp;"|"&amp;C89&amp;"|"&amp;D89)</f>
        <v/>
      </c>
      <c r="J89" s="85" t="str">
        <f aca="false">IF(A89="","",IF(AND(F89&lt;&gt;"",COUNTIFS(Timetable!$F$5:$F$304,F89,Timetable!$C$5:$C$304,C89,Timetable!$D$5:$D$304,D89)&gt;1),"Teacher clash",IF(COUNTIF(Timetable!$I$5:$I$304,I89)&gt;1,"Class clash","OK")))</f>
        <v/>
      </c>
    </row>
    <row r="90" customFormat="false" ht="19.5" hidden="false" customHeight="true" outlineLevel="0" collapsed="false">
      <c r="A90" s="52"/>
      <c r="B90" s="52"/>
      <c r="C90" s="52"/>
      <c r="D90" s="52"/>
      <c r="E90" s="86"/>
      <c r="F90" s="52"/>
      <c r="G90" s="89" t="str">
        <f aca="false">IF(F90="","",IFERROR(INDEX(Teachers!$B$5:$B$304,MATCH(F90,Teachers!$A$5:$A$304,0)),""))</f>
        <v/>
      </c>
      <c r="H90" s="52"/>
      <c r="I90" s="89" t="str">
        <f aca="false">IF(A90="","",A90&amp;"|"&amp;B90&amp;"|"&amp;C90&amp;"|"&amp;D90)</f>
        <v/>
      </c>
      <c r="J90" s="85" t="str">
        <f aca="false">IF(A90="","",IF(AND(F90&lt;&gt;"",COUNTIFS(Timetable!$F$5:$F$304,F90,Timetable!$C$5:$C$304,C90,Timetable!$D$5:$D$304,D90)&gt;1),"Teacher clash",IF(COUNTIF(Timetable!$I$5:$I$304,I90)&gt;1,"Class clash","OK")))</f>
        <v/>
      </c>
    </row>
    <row r="91" customFormat="false" ht="19.5" hidden="false" customHeight="true" outlineLevel="0" collapsed="false">
      <c r="A91" s="52"/>
      <c r="B91" s="52"/>
      <c r="C91" s="52"/>
      <c r="D91" s="52"/>
      <c r="E91" s="86"/>
      <c r="F91" s="52"/>
      <c r="G91" s="89" t="str">
        <f aca="false">IF(F91="","",IFERROR(INDEX(Teachers!$B$5:$B$304,MATCH(F91,Teachers!$A$5:$A$304,0)),""))</f>
        <v/>
      </c>
      <c r="H91" s="52"/>
      <c r="I91" s="89" t="str">
        <f aca="false">IF(A91="","",A91&amp;"|"&amp;B91&amp;"|"&amp;C91&amp;"|"&amp;D91)</f>
        <v/>
      </c>
      <c r="J91" s="85" t="str">
        <f aca="false">IF(A91="","",IF(AND(F91&lt;&gt;"",COUNTIFS(Timetable!$F$5:$F$304,F91,Timetable!$C$5:$C$304,C91,Timetable!$D$5:$D$304,D91)&gt;1),"Teacher clash",IF(COUNTIF(Timetable!$I$5:$I$304,I91)&gt;1,"Class clash","OK")))</f>
        <v/>
      </c>
    </row>
    <row r="92" customFormat="false" ht="19.5" hidden="false" customHeight="true" outlineLevel="0" collapsed="false">
      <c r="A92" s="52"/>
      <c r="B92" s="52"/>
      <c r="C92" s="52"/>
      <c r="D92" s="52"/>
      <c r="E92" s="86"/>
      <c r="F92" s="52"/>
      <c r="G92" s="89" t="str">
        <f aca="false">IF(F92="","",IFERROR(INDEX(Teachers!$B$5:$B$304,MATCH(F92,Teachers!$A$5:$A$304,0)),""))</f>
        <v/>
      </c>
      <c r="H92" s="52"/>
      <c r="I92" s="89" t="str">
        <f aca="false">IF(A92="","",A92&amp;"|"&amp;B92&amp;"|"&amp;C92&amp;"|"&amp;D92)</f>
        <v/>
      </c>
      <c r="J92" s="85" t="str">
        <f aca="false">IF(A92="","",IF(AND(F92&lt;&gt;"",COUNTIFS(Timetable!$F$5:$F$304,F92,Timetable!$C$5:$C$304,C92,Timetable!$D$5:$D$304,D92)&gt;1),"Teacher clash",IF(COUNTIF(Timetable!$I$5:$I$304,I92)&gt;1,"Class clash","OK")))</f>
        <v/>
      </c>
    </row>
    <row r="93" customFormat="false" ht="19.5" hidden="false" customHeight="true" outlineLevel="0" collapsed="false">
      <c r="A93" s="52"/>
      <c r="B93" s="52"/>
      <c r="C93" s="52"/>
      <c r="D93" s="52"/>
      <c r="E93" s="86"/>
      <c r="F93" s="52"/>
      <c r="G93" s="89" t="str">
        <f aca="false">IF(F93="","",IFERROR(INDEX(Teachers!$B$5:$B$304,MATCH(F93,Teachers!$A$5:$A$304,0)),""))</f>
        <v/>
      </c>
      <c r="H93" s="52"/>
      <c r="I93" s="89" t="str">
        <f aca="false">IF(A93="","",A93&amp;"|"&amp;B93&amp;"|"&amp;C93&amp;"|"&amp;D93)</f>
        <v/>
      </c>
      <c r="J93" s="85" t="str">
        <f aca="false">IF(A93="","",IF(AND(F93&lt;&gt;"",COUNTIFS(Timetable!$F$5:$F$304,F93,Timetable!$C$5:$C$304,C93,Timetable!$D$5:$D$304,D93)&gt;1),"Teacher clash",IF(COUNTIF(Timetable!$I$5:$I$304,I93)&gt;1,"Class clash","OK")))</f>
        <v/>
      </c>
    </row>
    <row r="94" customFormat="false" ht="19.5" hidden="false" customHeight="true" outlineLevel="0" collapsed="false">
      <c r="A94" s="52"/>
      <c r="B94" s="52"/>
      <c r="C94" s="52"/>
      <c r="D94" s="52"/>
      <c r="E94" s="86"/>
      <c r="F94" s="52"/>
      <c r="G94" s="89" t="str">
        <f aca="false">IF(F94="","",IFERROR(INDEX(Teachers!$B$5:$B$304,MATCH(F94,Teachers!$A$5:$A$304,0)),""))</f>
        <v/>
      </c>
      <c r="H94" s="52"/>
      <c r="I94" s="89" t="str">
        <f aca="false">IF(A94="","",A94&amp;"|"&amp;B94&amp;"|"&amp;C94&amp;"|"&amp;D94)</f>
        <v/>
      </c>
      <c r="J94" s="85" t="str">
        <f aca="false">IF(A94="","",IF(AND(F94&lt;&gt;"",COUNTIFS(Timetable!$F$5:$F$304,F94,Timetable!$C$5:$C$304,C94,Timetable!$D$5:$D$304,D94)&gt;1),"Teacher clash",IF(COUNTIF(Timetable!$I$5:$I$304,I94)&gt;1,"Class clash","OK")))</f>
        <v/>
      </c>
    </row>
    <row r="95" customFormat="false" ht="19.5" hidden="false" customHeight="true" outlineLevel="0" collapsed="false">
      <c r="A95" s="52"/>
      <c r="B95" s="52"/>
      <c r="C95" s="52"/>
      <c r="D95" s="52"/>
      <c r="E95" s="86"/>
      <c r="F95" s="52"/>
      <c r="G95" s="89" t="str">
        <f aca="false">IF(F95="","",IFERROR(INDEX(Teachers!$B$5:$B$304,MATCH(F95,Teachers!$A$5:$A$304,0)),""))</f>
        <v/>
      </c>
      <c r="H95" s="52"/>
      <c r="I95" s="89" t="str">
        <f aca="false">IF(A95="","",A95&amp;"|"&amp;B95&amp;"|"&amp;C95&amp;"|"&amp;D95)</f>
        <v/>
      </c>
      <c r="J95" s="85" t="str">
        <f aca="false">IF(A95="","",IF(AND(F95&lt;&gt;"",COUNTIFS(Timetable!$F$5:$F$304,F95,Timetable!$C$5:$C$304,C95,Timetable!$D$5:$D$304,D95)&gt;1),"Teacher clash",IF(COUNTIF(Timetable!$I$5:$I$304,I95)&gt;1,"Class clash","OK")))</f>
        <v/>
      </c>
    </row>
    <row r="96" customFormat="false" ht="19.5" hidden="false" customHeight="true" outlineLevel="0" collapsed="false">
      <c r="A96" s="52"/>
      <c r="B96" s="52"/>
      <c r="C96" s="52"/>
      <c r="D96" s="52"/>
      <c r="E96" s="86"/>
      <c r="F96" s="52"/>
      <c r="G96" s="89" t="str">
        <f aca="false">IF(F96="","",IFERROR(INDEX(Teachers!$B$5:$B$304,MATCH(F96,Teachers!$A$5:$A$304,0)),""))</f>
        <v/>
      </c>
      <c r="H96" s="52"/>
      <c r="I96" s="89" t="str">
        <f aca="false">IF(A96="","",A96&amp;"|"&amp;B96&amp;"|"&amp;C96&amp;"|"&amp;D96)</f>
        <v/>
      </c>
      <c r="J96" s="85" t="str">
        <f aca="false">IF(A96="","",IF(AND(F96&lt;&gt;"",COUNTIFS(Timetable!$F$5:$F$304,F96,Timetable!$C$5:$C$304,C96,Timetable!$D$5:$D$304,D96)&gt;1),"Teacher clash",IF(COUNTIF(Timetable!$I$5:$I$304,I96)&gt;1,"Class clash","OK")))</f>
        <v/>
      </c>
    </row>
    <row r="97" customFormat="false" ht="19.5" hidden="false" customHeight="true" outlineLevel="0" collapsed="false">
      <c r="A97" s="52"/>
      <c r="B97" s="52"/>
      <c r="C97" s="52"/>
      <c r="D97" s="52"/>
      <c r="E97" s="86"/>
      <c r="F97" s="52"/>
      <c r="G97" s="89" t="str">
        <f aca="false">IF(F97="","",IFERROR(INDEX(Teachers!$B$5:$B$304,MATCH(F97,Teachers!$A$5:$A$304,0)),""))</f>
        <v/>
      </c>
      <c r="H97" s="52"/>
      <c r="I97" s="89" t="str">
        <f aca="false">IF(A97="","",A97&amp;"|"&amp;B97&amp;"|"&amp;C97&amp;"|"&amp;D97)</f>
        <v/>
      </c>
      <c r="J97" s="85" t="str">
        <f aca="false">IF(A97="","",IF(AND(F97&lt;&gt;"",COUNTIFS(Timetable!$F$5:$F$304,F97,Timetable!$C$5:$C$304,C97,Timetable!$D$5:$D$304,D97)&gt;1),"Teacher clash",IF(COUNTIF(Timetable!$I$5:$I$304,I97)&gt;1,"Class clash","OK")))</f>
        <v/>
      </c>
    </row>
    <row r="98" customFormat="false" ht="19.5" hidden="false" customHeight="true" outlineLevel="0" collapsed="false">
      <c r="A98" s="52"/>
      <c r="B98" s="52"/>
      <c r="C98" s="52"/>
      <c r="D98" s="52"/>
      <c r="E98" s="86"/>
      <c r="F98" s="52"/>
      <c r="G98" s="89" t="str">
        <f aca="false">IF(F98="","",IFERROR(INDEX(Teachers!$B$5:$B$304,MATCH(F98,Teachers!$A$5:$A$304,0)),""))</f>
        <v/>
      </c>
      <c r="H98" s="52"/>
      <c r="I98" s="89" t="str">
        <f aca="false">IF(A98="","",A98&amp;"|"&amp;B98&amp;"|"&amp;C98&amp;"|"&amp;D98)</f>
        <v/>
      </c>
      <c r="J98" s="85" t="str">
        <f aca="false">IF(A98="","",IF(AND(F98&lt;&gt;"",COUNTIFS(Timetable!$F$5:$F$304,F98,Timetable!$C$5:$C$304,C98,Timetable!$D$5:$D$304,D98)&gt;1),"Teacher clash",IF(COUNTIF(Timetable!$I$5:$I$304,I98)&gt;1,"Class clash","OK")))</f>
        <v/>
      </c>
    </row>
    <row r="99" customFormat="false" ht="19.5" hidden="false" customHeight="true" outlineLevel="0" collapsed="false">
      <c r="A99" s="52"/>
      <c r="B99" s="52"/>
      <c r="C99" s="52"/>
      <c r="D99" s="52"/>
      <c r="E99" s="86"/>
      <c r="F99" s="52"/>
      <c r="G99" s="89" t="str">
        <f aca="false">IF(F99="","",IFERROR(INDEX(Teachers!$B$5:$B$304,MATCH(F99,Teachers!$A$5:$A$304,0)),""))</f>
        <v/>
      </c>
      <c r="H99" s="52"/>
      <c r="I99" s="89" t="str">
        <f aca="false">IF(A99="","",A99&amp;"|"&amp;B99&amp;"|"&amp;C99&amp;"|"&amp;D99)</f>
        <v/>
      </c>
      <c r="J99" s="85" t="str">
        <f aca="false">IF(A99="","",IF(AND(F99&lt;&gt;"",COUNTIFS(Timetable!$F$5:$F$304,F99,Timetable!$C$5:$C$304,C99,Timetable!$D$5:$D$304,D99)&gt;1),"Teacher clash",IF(COUNTIF(Timetable!$I$5:$I$304,I99)&gt;1,"Class clash","OK")))</f>
        <v/>
      </c>
    </row>
    <row r="100" customFormat="false" ht="19.5" hidden="false" customHeight="true" outlineLevel="0" collapsed="false">
      <c r="A100" s="52"/>
      <c r="B100" s="52"/>
      <c r="C100" s="52"/>
      <c r="D100" s="52"/>
      <c r="E100" s="86"/>
      <c r="F100" s="52"/>
      <c r="G100" s="89" t="str">
        <f aca="false">IF(F100="","",IFERROR(INDEX(Teachers!$B$5:$B$304,MATCH(F100,Teachers!$A$5:$A$304,0)),""))</f>
        <v/>
      </c>
      <c r="H100" s="52"/>
      <c r="I100" s="89" t="str">
        <f aca="false">IF(A100="","",A100&amp;"|"&amp;B100&amp;"|"&amp;C100&amp;"|"&amp;D100)</f>
        <v/>
      </c>
      <c r="J100" s="85" t="str">
        <f aca="false">IF(A100="","",IF(AND(F100&lt;&gt;"",COUNTIFS(Timetable!$F$5:$F$304,F100,Timetable!$C$5:$C$304,C100,Timetable!$D$5:$D$304,D100)&gt;1),"Teacher clash",IF(COUNTIF(Timetable!$I$5:$I$304,I100)&gt;1,"Class clash","OK")))</f>
        <v/>
      </c>
    </row>
    <row r="101" customFormat="false" ht="19.5" hidden="false" customHeight="true" outlineLevel="0" collapsed="false">
      <c r="A101" s="52"/>
      <c r="B101" s="52"/>
      <c r="C101" s="52"/>
      <c r="D101" s="52"/>
      <c r="E101" s="86"/>
      <c r="F101" s="52"/>
      <c r="G101" s="89" t="str">
        <f aca="false">IF(F101="","",IFERROR(INDEX(Teachers!$B$5:$B$304,MATCH(F101,Teachers!$A$5:$A$304,0)),""))</f>
        <v/>
      </c>
      <c r="H101" s="52"/>
      <c r="I101" s="89" t="str">
        <f aca="false">IF(A101="","",A101&amp;"|"&amp;B101&amp;"|"&amp;C101&amp;"|"&amp;D101)</f>
        <v/>
      </c>
      <c r="J101" s="85" t="str">
        <f aca="false">IF(A101="","",IF(AND(F101&lt;&gt;"",COUNTIFS(Timetable!$F$5:$F$304,F101,Timetable!$C$5:$C$304,C101,Timetable!$D$5:$D$304,D101)&gt;1),"Teacher clash",IF(COUNTIF(Timetable!$I$5:$I$304,I101)&gt;1,"Class clash","OK")))</f>
        <v/>
      </c>
    </row>
    <row r="102" customFormat="false" ht="19.5" hidden="false" customHeight="true" outlineLevel="0" collapsed="false">
      <c r="A102" s="52"/>
      <c r="B102" s="52"/>
      <c r="C102" s="52"/>
      <c r="D102" s="52"/>
      <c r="E102" s="86"/>
      <c r="F102" s="52"/>
      <c r="G102" s="89" t="str">
        <f aca="false">IF(F102="","",IFERROR(INDEX(Teachers!$B$5:$B$304,MATCH(F102,Teachers!$A$5:$A$304,0)),""))</f>
        <v/>
      </c>
      <c r="H102" s="52"/>
      <c r="I102" s="89" t="str">
        <f aca="false">IF(A102="","",A102&amp;"|"&amp;B102&amp;"|"&amp;C102&amp;"|"&amp;D102)</f>
        <v/>
      </c>
      <c r="J102" s="85" t="str">
        <f aca="false">IF(A102="","",IF(AND(F102&lt;&gt;"",COUNTIFS(Timetable!$F$5:$F$304,F102,Timetable!$C$5:$C$304,C102,Timetable!$D$5:$D$304,D102)&gt;1),"Teacher clash",IF(COUNTIF(Timetable!$I$5:$I$304,I102)&gt;1,"Class clash","OK")))</f>
        <v/>
      </c>
    </row>
    <row r="103" customFormat="false" ht="19.5" hidden="false" customHeight="true" outlineLevel="0" collapsed="false">
      <c r="A103" s="52"/>
      <c r="B103" s="52"/>
      <c r="C103" s="52"/>
      <c r="D103" s="52"/>
      <c r="E103" s="86"/>
      <c r="F103" s="52"/>
      <c r="G103" s="89" t="str">
        <f aca="false">IF(F103="","",IFERROR(INDEX(Teachers!$B$5:$B$304,MATCH(F103,Teachers!$A$5:$A$304,0)),""))</f>
        <v/>
      </c>
      <c r="H103" s="52"/>
      <c r="I103" s="89" t="str">
        <f aca="false">IF(A103="","",A103&amp;"|"&amp;B103&amp;"|"&amp;C103&amp;"|"&amp;D103)</f>
        <v/>
      </c>
      <c r="J103" s="85" t="str">
        <f aca="false">IF(A103="","",IF(AND(F103&lt;&gt;"",COUNTIFS(Timetable!$F$5:$F$304,F103,Timetable!$C$5:$C$304,C103,Timetable!$D$5:$D$304,D103)&gt;1),"Teacher clash",IF(COUNTIF(Timetable!$I$5:$I$304,I103)&gt;1,"Class clash","OK")))</f>
        <v/>
      </c>
    </row>
    <row r="104" customFormat="false" ht="19.5" hidden="false" customHeight="true" outlineLevel="0" collapsed="false">
      <c r="A104" s="52"/>
      <c r="B104" s="52"/>
      <c r="C104" s="52"/>
      <c r="D104" s="52"/>
      <c r="E104" s="86"/>
      <c r="F104" s="52"/>
      <c r="G104" s="89" t="str">
        <f aca="false">IF(F104="","",IFERROR(INDEX(Teachers!$B$5:$B$304,MATCH(F104,Teachers!$A$5:$A$304,0)),""))</f>
        <v/>
      </c>
      <c r="H104" s="52"/>
      <c r="I104" s="89" t="str">
        <f aca="false">IF(A104="","",A104&amp;"|"&amp;B104&amp;"|"&amp;C104&amp;"|"&amp;D104)</f>
        <v/>
      </c>
      <c r="J104" s="85" t="str">
        <f aca="false">IF(A104="","",IF(AND(F104&lt;&gt;"",COUNTIFS(Timetable!$F$5:$F$304,F104,Timetable!$C$5:$C$304,C104,Timetable!$D$5:$D$304,D104)&gt;1),"Teacher clash",IF(COUNTIF(Timetable!$I$5:$I$304,I104)&gt;1,"Class clash","OK")))</f>
        <v/>
      </c>
    </row>
    <row r="105" customFormat="false" ht="19.5" hidden="false" customHeight="true" outlineLevel="0" collapsed="false">
      <c r="A105" s="52"/>
      <c r="B105" s="52"/>
      <c r="C105" s="52"/>
      <c r="D105" s="52"/>
      <c r="E105" s="86"/>
      <c r="F105" s="52"/>
      <c r="G105" s="89" t="str">
        <f aca="false">IF(F105="","",IFERROR(INDEX(Teachers!$B$5:$B$304,MATCH(F105,Teachers!$A$5:$A$304,0)),""))</f>
        <v/>
      </c>
      <c r="H105" s="52"/>
      <c r="I105" s="89" t="str">
        <f aca="false">IF(A105="","",A105&amp;"|"&amp;B105&amp;"|"&amp;C105&amp;"|"&amp;D105)</f>
        <v/>
      </c>
      <c r="J105" s="85" t="str">
        <f aca="false">IF(A105="","",IF(AND(F105&lt;&gt;"",COUNTIFS(Timetable!$F$5:$F$304,F105,Timetable!$C$5:$C$304,C105,Timetable!$D$5:$D$304,D105)&gt;1),"Teacher clash",IF(COUNTIF(Timetable!$I$5:$I$304,I105)&gt;1,"Class clash","OK")))</f>
        <v/>
      </c>
    </row>
    <row r="106" customFormat="false" ht="19.5" hidden="false" customHeight="true" outlineLevel="0" collapsed="false">
      <c r="A106" s="52"/>
      <c r="B106" s="52"/>
      <c r="C106" s="52"/>
      <c r="D106" s="52"/>
      <c r="E106" s="86"/>
      <c r="F106" s="52"/>
      <c r="G106" s="89" t="str">
        <f aca="false">IF(F106="","",IFERROR(INDEX(Teachers!$B$5:$B$304,MATCH(F106,Teachers!$A$5:$A$304,0)),""))</f>
        <v/>
      </c>
      <c r="H106" s="52"/>
      <c r="I106" s="89" t="str">
        <f aca="false">IF(A106="","",A106&amp;"|"&amp;B106&amp;"|"&amp;C106&amp;"|"&amp;D106)</f>
        <v/>
      </c>
      <c r="J106" s="85" t="str">
        <f aca="false">IF(A106="","",IF(AND(F106&lt;&gt;"",COUNTIFS(Timetable!$F$5:$F$304,F106,Timetable!$C$5:$C$304,C106,Timetable!$D$5:$D$304,D106)&gt;1),"Teacher clash",IF(COUNTIF(Timetable!$I$5:$I$304,I106)&gt;1,"Class clash","OK")))</f>
        <v/>
      </c>
    </row>
    <row r="107" customFormat="false" ht="19.5" hidden="false" customHeight="true" outlineLevel="0" collapsed="false">
      <c r="A107" s="52"/>
      <c r="B107" s="52"/>
      <c r="C107" s="52"/>
      <c r="D107" s="52"/>
      <c r="E107" s="86"/>
      <c r="F107" s="52"/>
      <c r="G107" s="89" t="str">
        <f aca="false">IF(F107="","",IFERROR(INDEX(Teachers!$B$5:$B$304,MATCH(F107,Teachers!$A$5:$A$304,0)),""))</f>
        <v/>
      </c>
      <c r="H107" s="52"/>
      <c r="I107" s="89" t="str">
        <f aca="false">IF(A107="","",A107&amp;"|"&amp;B107&amp;"|"&amp;C107&amp;"|"&amp;D107)</f>
        <v/>
      </c>
      <c r="J107" s="85" t="str">
        <f aca="false">IF(A107="","",IF(AND(F107&lt;&gt;"",COUNTIFS(Timetable!$F$5:$F$304,F107,Timetable!$C$5:$C$304,C107,Timetable!$D$5:$D$304,D107)&gt;1),"Teacher clash",IF(COUNTIF(Timetable!$I$5:$I$304,I107)&gt;1,"Class clash","OK")))</f>
        <v/>
      </c>
    </row>
    <row r="108" customFormat="false" ht="19.5" hidden="false" customHeight="true" outlineLevel="0" collapsed="false">
      <c r="A108" s="52"/>
      <c r="B108" s="52"/>
      <c r="C108" s="52"/>
      <c r="D108" s="52"/>
      <c r="E108" s="86"/>
      <c r="F108" s="52"/>
      <c r="G108" s="89" t="str">
        <f aca="false">IF(F108="","",IFERROR(INDEX(Teachers!$B$5:$B$304,MATCH(F108,Teachers!$A$5:$A$304,0)),""))</f>
        <v/>
      </c>
      <c r="H108" s="52"/>
      <c r="I108" s="89" t="str">
        <f aca="false">IF(A108="","",A108&amp;"|"&amp;B108&amp;"|"&amp;C108&amp;"|"&amp;D108)</f>
        <v/>
      </c>
      <c r="J108" s="85" t="str">
        <f aca="false">IF(A108="","",IF(AND(F108&lt;&gt;"",COUNTIFS(Timetable!$F$5:$F$304,F108,Timetable!$C$5:$C$304,C108,Timetable!$D$5:$D$304,D108)&gt;1),"Teacher clash",IF(COUNTIF(Timetable!$I$5:$I$304,I108)&gt;1,"Class clash","OK")))</f>
        <v/>
      </c>
    </row>
    <row r="109" customFormat="false" ht="19.5" hidden="false" customHeight="true" outlineLevel="0" collapsed="false">
      <c r="A109" s="52"/>
      <c r="B109" s="52"/>
      <c r="C109" s="52"/>
      <c r="D109" s="52"/>
      <c r="E109" s="86"/>
      <c r="F109" s="52"/>
      <c r="G109" s="89" t="str">
        <f aca="false">IF(F109="","",IFERROR(INDEX(Teachers!$B$5:$B$304,MATCH(F109,Teachers!$A$5:$A$304,0)),""))</f>
        <v/>
      </c>
      <c r="H109" s="52"/>
      <c r="I109" s="89" t="str">
        <f aca="false">IF(A109="","",A109&amp;"|"&amp;B109&amp;"|"&amp;C109&amp;"|"&amp;D109)</f>
        <v/>
      </c>
      <c r="J109" s="85" t="str">
        <f aca="false">IF(A109="","",IF(AND(F109&lt;&gt;"",COUNTIFS(Timetable!$F$5:$F$304,F109,Timetable!$C$5:$C$304,C109,Timetable!$D$5:$D$304,D109)&gt;1),"Teacher clash",IF(COUNTIF(Timetable!$I$5:$I$304,I109)&gt;1,"Class clash","OK")))</f>
        <v/>
      </c>
    </row>
    <row r="110" customFormat="false" ht="19.5" hidden="false" customHeight="true" outlineLevel="0" collapsed="false">
      <c r="A110" s="52"/>
      <c r="B110" s="52"/>
      <c r="C110" s="52"/>
      <c r="D110" s="52"/>
      <c r="E110" s="86"/>
      <c r="F110" s="52"/>
      <c r="G110" s="89" t="str">
        <f aca="false">IF(F110="","",IFERROR(INDEX(Teachers!$B$5:$B$304,MATCH(F110,Teachers!$A$5:$A$304,0)),""))</f>
        <v/>
      </c>
      <c r="H110" s="52"/>
      <c r="I110" s="89" t="str">
        <f aca="false">IF(A110="","",A110&amp;"|"&amp;B110&amp;"|"&amp;C110&amp;"|"&amp;D110)</f>
        <v/>
      </c>
      <c r="J110" s="85" t="str">
        <f aca="false">IF(A110="","",IF(AND(F110&lt;&gt;"",COUNTIFS(Timetable!$F$5:$F$304,F110,Timetable!$C$5:$C$304,C110,Timetable!$D$5:$D$304,D110)&gt;1),"Teacher clash",IF(COUNTIF(Timetable!$I$5:$I$304,I110)&gt;1,"Class clash","OK")))</f>
        <v/>
      </c>
    </row>
    <row r="111" customFormat="false" ht="19.5" hidden="false" customHeight="true" outlineLevel="0" collapsed="false">
      <c r="A111" s="52"/>
      <c r="B111" s="52"/>
      <c r="C111" s="52"/>
      <c r="D111" s="52"/>
      <c r="E111" s="86"/>
      <c r="F111" s="52"/>
      <c r="G111" s="89" t="str">
        <f aca="false">IF(F111="","",IFERROR(INDEX(Teachers!$B$5:$B$304,MATCH(F111,Teachers!$A$5:$A$304,0)),""))</f>
        <v/>
      </c>
      <c r="H111" s="52"/>
      <c r="I111" s="89" t="str">
        <f aca="false">IF(A111="","",A111&amp;"|"&amp;B111&amp;"|"&amp;C111&amp;"|"&amp;D111)</f>
        <v/>
      </c>
      <c r="J111" s="85" t="str">
        <f aca="false">IF(A111="","",IF(AND(F111&lt;&gt;"",COUNTIFS(Timetable!$F$5:$F$304,F111,Timetable!$C$5:$C$304,C111,Timetable!$D$5:$D$304,D111)&gt;1),"Teacher clash",IF(COUNTIF(Timetable!$I$5:$I$304,I111)&gt;1,"Class clash","OK")))</f>
        <v/>
      </c>
    </row>
    <row r="112" customFormat="false" ht="19.5" hidden="false" customHeight="true" outlineLevel="0" collapsed="false">
      <c r="A112" s="52"/>
      <c r="B112" s="52"/>
      <c r="C112" s="52"/>
      <c r="D112" s="52"/>
      <c r="E112" s="86"/>
      <c r="F112" s="52"/>
      <c r="G112" s="89" t="str">
        <f aca="false">IF(F112="","",IFERROR(INDEX(Teachers!$B$5:$B$304,MATCH(F112,Teachers!$A$5:$A$304,0)),""))</f>
        <v/>
      </c>
      <c r="H112" s="52"/>
      <c r="I112" s="89" t="str">
        <f aca="false">IF(A112="","",A112&amp;"|"&amp;B112&amp;"|"&amp;C112&amp;"|"&amp;D112)</f>
        <v/>
      </c>
      <c r="J112" s="85" t="str">
        <f aca="false">IF(A112="","",IF(AND(F112&lt;&gt;"",COUNTIFS(Timetable!$F$5:$F$304,F112,Timetable!$C$5:$C$304,C112,Timetable!$D$5:$D$304,D112)&gt;1),"Teacher clash",IF(COUNTIF(Timetable!$I$5:$I$304,I112)&gt;1,"Class clash","OK")))</f>
        <v/>
      </c>
    </row>
    <row r="113" customFormat="false" ht="19.5" hidden="false" customHeight="true" outlineLevel="0" collapsed="false">
      <c r="A113" s="52"/>
      <c r="B113" s="52"/>
      <c r="C113" s="52"/>
      <c r="D113" s="52"/>
      <c r="E113" s="86"/>
      <c r="F113" s="52"/>
      <c r="G113" s="89" t="str">
        <f aca="false">IF(F113="","",IFERROR(INDEX(Teachers!$B$5:$B$304,MATCH(F113,Teachers!$A$5:$A$304,0)),""))</f>
        <v/>
      </c>
      <c r="H113" s="52"/>
      <c r="I113" s="89" t="str">
        <f aca="false">IF(A113="","",A113&amp;"|"&amp;B113&amp;"|"&amp;C113&amp;"|"&amp;D113)</f>
        <v/>
      </c>
      <c r="J113" s="85" t="str">
        <f aca="false">IF(A113="","",IF(AND(F113&lt;&gt;"",COUNTIFS(Timetable!$F$5:$F$304,F113,Timetable!$C$5:$C$304,C113,Timetable!$D$5:$D$304,D113)&gt;1),"Teacher clash",IF(COUNTIF(Timetable!$I$5:$I$304,I113)&gt;1,"Class clash","OK")))</f>
        <v/>
      </c>
    </row>
    <row r="114" customFormat="false" ht="19.5" hidden="false" customHeight="true" outlineLevel="0" collapsed="false">
      <c r="A114" s="52"/>
      <c r="B114" s="52"/>
      <c r="C114" s="52"/>
      <c r="D114" s="52"/>
      <c r="E114" s="86"/>
      <c r="F114" s="52"/>
      <c r="G114" s="89" t="str">
        <f aca="false">IF(F114="","",IFERROR(INDEX(Teachers!$B$5:$B$304,MATCH(F114,Teachers!$A$5:$A$304,0)),""))</f>
        <v/>
      </c>
      <c r="H114" s="52"/>
      <c r="I114" s="89" t="str">
        <f aca="false">IF(A114="","",A114&amp;"|"&amp;B114&amp;"|"&amp;C114&amp;"|"&amp;D114)</f>
        <v/>
      </c>
      <c r="J114" s="85" t="str">
        <f aca="false">IF(A114="","",IF(AND(F114&lt;&gt;"",COUNTIFS(Timetable!$F$5:$F$304,F114,Timetable!$C$5:$C$304,C114,Timetable!$D$5:$D$304,D114)&gt;1),"Teacher clash",IF(COUNTIF(Timetable!$I$5:$I$304,I114)&gt;1,"Class clash","OK")))</f>
        <v/>
      </c>
    </row>
    <row r="115" customFormat="false" ht="19.5" hidden="false" customHeight="true" outlineLevel="0" collapsed="false">
      <c r="A115" s="52"/>
      <c r="B115" s="52"/>
      <c r="C115" s="52"/>
      <c r="D115" s="52"/>
      <c r="E115" s="86"/>
      <c r="F115" s="52"/>
      <c r="G115" s="89" t="str">
        <f aca="false">IF(F115="","",IFERROR(INDEX(Teachers!$B$5:$B$304,MATCH(F115,Teachers!$A$5:$A$304,0)),""))</f>
        <v/>
      </c>
      <c r="H115" s="52"/>
      <c r="I115" s="89" t="str">
        <f aca="false">IF(A115="","",A115&amp;"|"&amp;B115&amp;"|"&amp;C115&amp;"|"&amp;D115)</f>
        <v/>
      </c>
      <c r="J115" s="85" t="str">
        <f aca="false">IF(A115="","",IF(AND(F115&lt;&gt;"",COUNTIFS(Timetable!$F$5:$F$304,F115,Timetable!$C$5:$C$304,C115,Timetable!$D$5:$D$304,D115)&gt;1),"Teacher clash",IF(COUNTIF(Timetable!$I$5:$I$304,I115)&gt;1,"Class clash","OK")))</f>
        <v/>
      </c>
    </row>
    <row r="116" customFormat="false" ht="19.5" hidden="false" customHeight="true" outlineLevel="0" collapsed="false">
      <c r="A116" s="52"/>
      <c r="B116" s="52"/>
      <c r="C116" s="52"/>
      <c r="D116" s="52"/>
      <c r="E116" s="86"/>
      <c r="F116" s="52"/>
      <c r="G116" s="89" t="str">
        <f aca="false">IF(F116="","",IFERROR(INDEX(Teachers!$B$5:$B$304,MATCH(F116,Teachers!$A$5:$A$304,0)),""))</f>
        <v/>
      </c>
      <c r="H116" s="52"/>
      <c r="I116" s="89" t="str">
        <f aca="false">IF(A116="","",A116&amp;"|"&amp;B116&amp;"|"&amp;C116&amp;"|"&amp;D116)</f>
        <v/>
      </c>
      <c r="J116" s="85" t="str">
        <f aca="false">IF(A116="","",IF(AND(F116&lt;&gt;"",COUNTIFS(Timetable!$F$5:$F$304,F116,Timetable!$C$5:$C$304,C116,Timetable!$D$5:$D$304,D116)&gt;1),"Teacher clash",IF(COUNTIF(Timetable!$I$5:$I$304,I116)&gt;1,"Class clash","OK")))</f>
        <v/>
      </c>
    </row>
    <row r="117" customFormat="false" ht="19.5" hidden="false" customHeight="true" outlineLevel="0" collapsed="false">
      <c r="A117" s="52"/>
      <c r="B117" s="52"/>
      <c r="C117" s="52"/>
      <c r="D117" s="52"/>
      <c r="E117" s="86"/>
      <c r="F117" s="52"/>
      <c r="G117" s="89" t="str">
        <f aca="false">IF(F117="","",IFERROR(INDEX(Teachers!$B$5:$B$304,MATCH(F117,Teachers!$A$5:$A$304,0)),""))</f>
        <v/>
      </c>
      <c r="H117" s="52"/>
      <c r="I117" s="89" t="str">
        <f aca="false">IF(A117="","",A117&amp;"|"&amp;B117&amp;"|"&amp;C117&amp;"|"&amp;D117)</f>
        <v/>
      </c>
      <c r="J117" s="85" t="str">
        <f aca="false">IF(A117="","",IF(AND(F117&lt;&gt;"",COUNTIFS(Timetable!$F$5:$F$304,F117,Timetable!$C$5:$C$304,C117,Timetable!$D$5:$D$304,D117)&gt;1),"Teacher clash",IF(COUNTIF(Timetable!$I$5:$I$304,I117)&gt;1,"Class clash","OK")))</f>
        <v/>
      </c>
    </row>
    <row r="118" customFormat="false" ht="19.5" hidden="false" customHeight="true" outlineLevel="0" collapsed="false">
      <c r="A118" s="52"/>
      <c r="B118" s="52"/>
      <c r="C118" s="52"/>
      <c r="D118" s="52"/>
      <c r="E118" s="86"/>
      <c r="F118" s="52"/>
      <c r="G118" s="89" t="str">
        <f aca="false">IF(F118="","",IFERROR(INDEX(Teachers!$B$5:$B$304,MATCH(F118,Teachers!$A$5:$A$304,0)),""))</f>
        <v/>
      </c>
      <c r="H118" s="52"/>
      <c r="I118" s="89" t="str">
        <f aca="false">IF(A118="","",A118&amp;"|"&amp;B118&amp;"|"&amp;C118&amp;"|"&amp;D118)</f>
        <v/>
      </c>
      <c r="J118" s="85" t="str">
        <f aca="false">IF(A118="","",IF(AND(F118&lt;&gt;"",COUNTIFS(Timetable!$F$5:$F$304,F118,Timetable!$C$5:$C$304,C118,Timetable!$D$5:$D$304,D118)&gt;1),"Teacher clash",IF(COUNTIF(Timetable!$I$5:$I$304,I118)&gt;1,"Class clash","OK")))</f>
        <v/>
      </c>
    </row>
    <row r="119" customFormat="false" ht="19.5" hidden="false" customHeight="true" outlineLevel="0" collapsed="false">
      <c r="A119" s="52"/>
      <c r="B119" s="52"/>
      <c r="C119" s="52"/>
      <c r="D119" s="52"/>
      <c r="E119" s="86"/>
      <c r="F119" s="52"/>
      <c r="G119" s="89" t="str">
        <f aca="false">IF(F119="","",IFERROR(INDEX(Teachers!$B$5:$B$304,MATCH(F119,Teachers!$A$5:$A$304,0)),""))</f>
        <v/>
      </c>
      <c r="H119" s="52"/>
      <c r="I119" s="89" t="str">
        <f aca="false">IF(A119="","",A119&amp;"|"&amp;B119&amp;"|"&amp;C119&amp;"|"&amp;D119)</f>
        <v/>
      </c>
      <c r="J119" s="85" t="str">
        <f aca="false">IF(A119="","",IF(AND(F119&lt;&gt;"",COUNTIFS(Timetable!$F$5:$F$304,F119,Timetable!$C$5:$C$304,C119,Timetable!$D$5:$D$304,D119)&gt;1),"Teacher clash",IF(COUNTIF(Timetable!$I$5:$I$304,I119)&gt;1,"Class clash","OK")))</f>
        <v/>
      </c>
    </row>
    <row r="120" customFormat="false" ht="19.5" hidden="false" customHeight="true" outlineLevel="0" collapsed="false">
      <c r="A120" s="52"/>
      <c r="B120" s="52"/>
      <c r="C120" s="52"/>
      <c r="D120" s="52"/>
      <c r="E120" s="86"/>
      <c r="F120" s="52"/>
      <c r="G120" s="89" t="str">
        <f aca="false">IF(F120="","",IFERROR(INDEX(Teachers!$B$5:$B$304,MATCH(F120,Teachers!$A$5:$A$304,0)),""))</f>
        <v/>
      </c>
      <c r="H120" s="52"/>
      <c r="I120" s="89" t="str">
        <f aca="false">IF(A120="","",A120&amp;"|"&amp;B120&amp;"|"&amp;C120&amp;"|"&amp;D120)</f>
        <v/>
      </c>
      <c r="J120" s="85" t="str">
        <f aca="false">IF(A120="","",IF(AND(F120&lt;&gt;"",COUNTIFS(Timetable!$F$5:$F$304,F120,Timetable!$C$5:$C$304,C120,Timetable!$D$5:$D$304,D120)&gt;1),"Teacher clash",IF(COUNTIF(Timetable!$I$5:$I$304,I120)&gt;1,"Class clash","OK")))</f>
        <v/>
      </c>
    </row>
    <row r="121" customFormat="false" ht="19.5" hidden="false" customHeight="true" outlineLevel="0" collapsed="false">
      <c r="A121" s="52"/>
      <c r="B121" s="52"/>
      <c r="C121" s="52"/>
      <c r="D121" s="52"/>
      <c r="E121" s="86"/>
      <c r="F121" s="52"/>
      <c r="G121" s="89" t="str">
        <f aca="false">IF(F121="","",IFERROR(INDEX(Teachers!$B$5:$B$304,MATCH(F121,Teachers!$A$5:$A$304,0)),""))</f>
        <v/>
      </c>
      <c r="H121" s="52"/>
      <c r="I121" s="89" t="str">
        <f aca="false">IF(A121="","",A121&amp;"|"&amp;B121&amp;"|"&amp;C121&amp;"|"&amp;D121)</f>
        <v/>
      </c>
      <c r="J121" s="85" t="str">
        <f aca="false">IF(A121="","",IF(AND(F121&lt;&gt;"",COUNTIFS(Timetable!$F$5:$F$304,F121,Timetable!$C$5:$C$304,C121,Timetable!$D$5:$D$304,D121)&gt;1),"Teacher clash",IF(COUNTIF(Timetable!$I$5:$I$304,I121)&gt;1,"Class clash","OK")))</f>
        <v/>
      </c>
    </row>
    <row r="122" customFormat="false" ht="19.5" hidden="false" customHeight="true" outlineLevel="0" collapsed="false">
      <c r="A122" s="52"/>
      <c r="B122" s="52"/>
      <c r="C122" s="52"/>
      <c r="D122" s="52"/>
      <c r="E122" s="86"/>
      <c r="F122" s="52"/>
      <c r="G122" s="89" t="str">
        <f aca="false">IF(F122="","",IFERROR(INDEX(Teachers!$B$5:$B$304,MATCH(F122,Teachers!$A$5:$A$304,0)),""))</f>
        <v/>
      </c>
      <c r="H122" s="52"/>
      <c r="I122" s="89" t="str">
        <f aca="false">IF(A122="","",A122&amp;"|"&amp;B122&amp;"|"&amp;C122&amp;"|"&amp;D122)</f>
        <v/>
      </c>
      <c r="J122" s="85" t="str">
        <f aca="false">IF(A122="","",IF(AND(F122&lt;&gt;"",COUNTIFS(Timetable!$F$5:$F$304,F122,Timetable!$C$5:$C$304,C122,Timetable!$D$5:$D$304,D122)&gt;1),"Teacher clash",IF(COUNTIF(Timetable!$I$5:$I$304,I122)&gt;1,"Class clash","OK")))</f>
        <v/>
      </c>
    </row>
    <row r="123" customFormat="false" ht="19.5" hidden="false" customHeight="true" outlineLevel="0" collapsed="false">
      <c r="A123" s="52"/>
      <c r="B123" s="52"/>
      <c r="C123" s="52"/>
      <c r="D123" s="52"/>
      <c r="E123" s="86"/>
      <c r="F123" s="52"/>
      <c r="G123" s="89" t="str">
        <f aca="false">IF(F123="","",IFERROR(INDEX(Teachers!$B$5:$B$304,MATCH(F123,Teachers!$A$5:$A$304,0)),""))</f>
        <v/>
      </c>
      <c r="H123" s="52"/>
      <c r="I123" s="89" t="str">
        <f aca="false">IF(A123="","",A123&amp;"|"&amp;B123&amp;"|"&amp;C123&amp;"|"&amp;D123)</f>
        <v/>
      </c>
      <c r="J123" s="85" t="str">
        <f aca="false">IF(A123="","",IF(AND(F123&lt;&gt;"",COUNTIFS(Timetable!$F$5:$F$304,F123,Timetable!$C$5:$C$304,C123,Timetable!$D$5:$D$304,D123)&gt;1),"Teacher clash",IF(COUNTIF(Timetable!$I$5:$I$304,I123)&gt;1,"Class clash","OK")))</f>
        <v/>
      </c>
    </row>
    <row r="124" customFormat="false" ht="19.5" hidden="false" customHeight="true" outlineLevel="0" collapsed="false">
      <c r="A124" s="52"/>
      <c r="B124" s="52"/>
      <c r="C124" s="52"/>
      <c r="D124" s="52"/>
      <c r="E124" s="86"/>
      <c r="F124" s="52"/>
      <c r="G124" s="89" t="str">
        <f aca="false">IF(F124="","",IFERROR(INDEX(Teachers!$B$5:$B$304,MATCH(F124,Teachers!$A$5:$A$304,0)),""))</f>
        <v/>
      </c>
      <c r="H124" s="52"/>
      <c r="I124" s="89" t="str">
        <f aca="false">IF(A124="","",A124&amp;"|"&amp;B124&amp;"|"&amp;C124&amp;"|"&amp;D124)</f>
        <v/>
      </c>
      <c r="J124" s="85" t="str">
        <f aca="false">IF(A124="","",IF(AND(F124&lt;&gt;"",COUNTIFS(Timetable!$F$5:$F$304,F124,Timetable!$C$5:$C$304,C124,Timetable!$D$5:$D$304,D124)&gt;1),"Teacher clash",IF(COUNTIF(Timetable!$I$5:$I$304,I124)&gt;1,"Class clash","OK")))</f>
        <v/>
      </c>
    </row>
    <row r="125" customFormat="false" ht="19.5" hidden="false" customHeight="true" outlineLevel="0" collapsed="false">
      <c r="A125" s="52"/>
      <c r="B125" s="52"/>
      <c r="C125" s="52"/>
      <c r="D125" s="52"/>
      <c r="E125" s="86"/>
      <c r="F125" s="52"/>
      <c r="G125" s="89" t="str">
        <f aca="false">IF(F125="","",IFERROR(INDEX(Teachers!$B$5:$B$304,MATCH(F125,Teachers!$A$5:$A$304,0)),""))</f>
        <v/>
      </c>
      <c r="H125" s="52"/>
      <c r="I125" s="89" t="str">
        <f aca="false">IF(A125="","",A125&amp;"|"&amp;B125&amp;"|"&amp;C125&amp;"|"&amp;D125)</f>
        <v/>
      </c>
      <c r="J125" s="85" t="str">
        <f aca="false">IF(A125="","",IF(AND(F125&lt;&gt;"",COUNTIFS(Timetable!$F$5:$F$304,F125,Timetable!$C$5:$C$304,C125,Timetable!$D$5:$D$304,D125)&gt;1),"Teacher clash",IF(COUNTIF(Timetable!$I$5:$I$304,I125)&gt;1,"Class clash","OK")))</f>
        <v/>
      </c>
    </row>
    <row r="126" customFormat="false" ht="19.5" hidden="false" customHeight="true" outlineLevel="0" collapsed="false">
      <c r="A126" s="52"/>
      <c r="B126" s="52"/>
      <c r="C126" s="52"/>
      <c r="D126" s="52"/>
      <c r="E126" s="86"/>
      <c r="F126" s="52"/>
      <c r="G126" s="89" t="str">
        <f aca="false">IF(F126="","",IFERROR(INDEX(Teachers!$B$5:$B$304,MATCH(F126,Teachers!$A$5:$A$304,0)),""))</f>
        <v/>
      </c>
      <c r="H126" s="52"/>
      <c r="I126" s="89" t="str">
        <f aca="false">IF(A126="","",A126&amp;"|"&amp;B126&amp;"|"&amp;C126&amp;"|"&amp;D126)</f>
        <v/>
      </c>
      <c r="J126" s="85" t="str">
        <f aca="false">IF(A126="","",IF(AND(F126&lt;&gt;"",COUNTIFS(Timetable!$F$5:$F$304,F126,Timetable!$C$5:$C$304,C126,Timetable!$D$5:$D$304,D126)&gt;1),"Teacher clash",IF(COUNTIF(Timetable!$I$5:$I$304,I126)&gt;1,"Class clash","OK")))</f>
        <v/>
      </c>
    </row>
    <row r="127" customFormat="false" ht="19.5" hidden="false" customHeight="true" outlineLevel="0" collapsed="false">
      <c r="A127" s="52"/>
      <c r="B127" s="52"/>
      <c r="C127" s="52"/>
      <c r="D127" s="52"/>
      <c r="E127" s="86"/>
      <c r="F127" s="52"/>
      <c r="G127" s="89" t="str">
        <f aca="false">IF(F127="","",IFERROR(INDEX(Teachers!$B$5:$B$304,MATCH(F127,Teachers!$A$5:$A$304,0)),""))</f>
        <v/>
      </c>
      <c r="H127" s="52"/>
      <c r="I127" s="89" t="str">
        <f aca="false">IF(A127="","",A127&amp;"|"&amp;B127&amp;"|"&amp;C127&amp;"|"&amp;D127)</f>
        <v/>
      </c>
      <c r="J127" s="85" t="str">
        <f aca="false">IF(A127="","",IF(AND(F127&lt;&gt;"",COUNTIFS(Timetable!$F$5:$F$304,F127,Timetable!$C$5:$C$304,C127,Timetable!$D$5:$D$304,D127)&gt;1),"Teacher clash",IF(COUNTIF(Timetable!$I$5:$I$304,I127)&gt;1,"Class clash","OK")))</f>
        <v/>
      </c>
    </row>
    <row r="128" customFormat="false" ht="19.5" hidden="false" customHeight="true" outlineLevel="0" collapsed="false">
      <c r="A128" s="52"/>
      <c r="B128" s="52"/>
      <c r="C128" s="52"/>
      <c r="D128" s="52"/>
      <c r="E128" s="86"/>
      <c r="F128" s="52"/>
      <c r="G128" s="89" t="str">
        <f aca="false">IF(F128="","",IFERROR(INDEX(Teachers!$B$5:$B$304,MATCH(F128,Teachers!$A$5:$A$304,0)),""))</f>
        <v/>
      </c>
      <c r="H128" s="52"/>
      <c r="I128" s="89" t="str">
        <f aca="false">IF(A128="","",A128&amp;"|"&amp;B128&amp;"|"&amp;C128&amp;"|"&amp;D128)</f>
        <v/>
      </c>
      <c r="J128" s="85" t="str">
        <f aca="false">IF(A128="","",IF(AND(F128&lt;&gt;"",COUNTIFS(Timetable!$F$5:$F$304,F128,Timetable!$C$5:$C$304,C128,Timetable!$D$5:$D$304,D128)&gt;1),"Teacher clash",IF(COUNTIF(Timetable!$I$5:$I$304,I128)&gt;1,"Class clash","OK")))</f>
        <v/>
      </c>
    </row>
    <row r="129" customFormat="false" ht="19.5" hidden="false" customHeight="true" outlineLevel="0" collapsed="false">
      <c r="A129" s="52"/>
      <c r="B129" s="52"/>
      <c r="C129" s="52"/>
      <c r="D129" s="52"/>
      <c r="E129" s="86"/>
      <c r="F129" s="52"/>
      <c r="G129" s="89" t="str">
        <f aca="false">IF(F129="","",IFERROR(INDEX(Teachers!$B$5:$B$304,MATCH(F129,Teachers!$A$5:$A$304,0)),""))</f>
        <v/>
      </c>
      <c r="H129" s="52"/>
      <c r="I129" s="89" t="str">
        <f aca="false">IF(A129="","",A129&amp;"|"&amp;B129&amp;"|"&amp;C129&amp;"|"&amp;D129)</f>
        <v/>
      </c>
      <c r="J129" s="85" t="str">
        <f aca="false">IF(A129="","",IF(AND(F129&lt;&gt;"",COUNTIFS(Timetable!$F$5:$F$304,F129,Timetable!$C$5:$C$304,C129,Timetable!$D$5:$D$304,D129)&gt;1),"Teacher clash",IF(COUNTIF(Timetable!$I$5:$I$304,I129)&gt;1,"Class clash","OK")))</f>
        <v/>
      </c>
    </row>
    <row r="130" customFormat="false" ht="19.5" hidden="false" customHeight="true" outlineLevel="0" collapsed="false">
      <c r="A130" s="52"/>
      <c r="B130" s="52"/>
      <c r="C130" s="52"/>
      <c r="D130" s="52"/>
      <c r="E130" s="86"/>
      <c r="F130" s="52"/>
      <c r="G130" s="89" t="str">
        <f aca="false">IF(F130="","",IFERROR(INDEX(Teachers!$B$5:$B$304,MATCH(F130,Teachers!$A$5:$A$304,0)),""))</f>
        <v/>
      </c>
      <c r="H130" s="52"/>
      <c r="I130" s="89" t="str">
        <f aca="false">IF(A130="","",A130&amp;"|"&amp;B130&amp;"|"&amp;C130&amp;"|"&amp;D130)</f>
        <v/>
      </c>
      <c r="J130" s="85" t="str">
        <f aca="false">IF(A130="","",IF(AND(F130&lt;&gt;"",COUNTIFS(Timetable!$F$5:$F$304,F130,Timetable!$C$5:$C$304,C130,Timetable!$D$5:$D$304,D130)&gt;1),"Teacher clash",IF(COUNTIF(Timetable!$I$5:$I$304,I130)&gt;1,"Class clash","OK")))</f>
        <v/>
      </c>
    </row>
    <row r="131" customFormat="false" ht="19.5" hidden="false" customHeight="true" outlineLevel="0" collapsed="false">
      <c r="A131" s="52"/>
      <c r="B131" s="52"/>
      <c r="C131" s="52"/>
      <c r="D131" s="52"/>
      <c r="E131" s="86"/>
      <c r="F131" s="52"/>
      <c r="G131" s="89" t="str">
        <f aca="false">IF(F131="","",IFERROR(INDEX(Teachers!$B$5:$B$304,MATCH(F131,Teachers!$A$5:$A$304,0)),""))</f>
        <v/>
      </c>
      <c r="H131" s="52"/>
      <c r="I131" s="89" t="str">
        <f aca="false">IF(A131="","",A131&amp;"|"&amp;B131&amp;"|"&amp;C131&amp;"|"&amp;D131)</f>
        <v/>
      </c>
      <c r="J131" s="85" t="str">
        <f aca="false">IF(A131="","",IF(AND(F131&lt;&gt;"",COUNTIFS(Timetable!$F$5:$F$304,F131,Timetable!$C$5:$C$304,C131,Timetable!$D$5:$D$304,D131)&gt;1),"Teacher clash",IF(COUNTIF(Timetable!$I$5:$I$304,I131)&gt;1,"Class clash","OK")))</f>
        <v/>
      </c>
    </row>
    <row r="132" customFormat="false" ht="19.5" hidden="false" customHeight="true" outlineLevel="0" collapsed="false">
      <c r="A132" s="52"/>
      <c r="B132" s="52"/>
      <c r="C132" s="52"/>
      <c r="D132" s="52"/>
      <c r="E132" s="86"/>
      <c r="F132" s="52"/>
      <c r="G132" s="89" t="str">
        <f aca="false">IF(F132="","",IFERROR(INDEX(Teachers!$B$5:$B$304,MATCH(F132,Teachers!$A$5:$A$304,0)),""))</f>
        <v/>
      </c>
      <c r="H132" s="52"/>
      <c r="I132" s="89" t="str">
        <f aca="false">IF(A132="","",A132&amp;"|"&amp;B132&amp;"|"&amp;C132&amp;"|"&amp;D132)</f>
        <v/>
      </c>
      <c r="J132" s="85" t="str">
        <f aca="false">IF(A132="","",IF(AND(F132&lt;&gt;"",COUNTIFS(Timetable!$F$5:$F$304,F132,Timetable!$C$5:$C$304,C132,Timetable!$D$5:$D$304,D132)&gt;1),"Teacher clash",IF(COUNTIF(Timetable!$I$5:$I$304,I132)&gt;1,"Class clash","OK")))</f>
        <v/>
      </c>
    </row>
    <row r="133" customFormat="false" ht="19.5" hidden="false" customHeight="true" outlineLevel="0" collapsed="false">
      <c r="A133" s="52"/>
      <c r="B133" s="52"/>
      <c r="C133" s="52"/>
      <c r="D133" s="52"/>
      <c r="E133" s="86"/>
      <c r="F133" s="52"/>
      <c r="G133" s="89" t="str">
        <f aca="false">IF(F133="","",IFERROR(INDEX(Teachers!$B$5:$B$304,MATCH(F133,Teachers!$A$5:$A$304,0)),""))</f>
        <v/>
      </c>
      <c r="H133" s="52"/>
      <c r="I133" s="89" t="str">
        <f aca="false">IF(A133="","",A133&amp;"|"&amp;B133&amp;"|"&amp;C133&amp;"|"&amp;D133)</f>
        <v/>
      </c>
      <c r="J133" s="85" t="str">
        <f aca="false">IF(A133="","",IF(AND(F133&lt;&gt;"",COUNTIFS(Timetable!$F$5:$F$304,F133,Timetable!$C$5:$C$304,C133,Timetable!$D$5:$D$304,D133)&gt;1),"Teacher clash",IF(COUNTIF(Timetable!$I$5:$I$304,I133)&gt;1,"Class clash","OK")))</f>
        <v/>
      </c>
    </row>
    <row r="134" customFormat="false" ht="19.5" hidden="false" customHeight="true" outlineLevel="0" collapsed="false">
      <c r="A134" s="52"/>
      <c r="B134" s="52"/>
      <c r="C134" s="52"/>
      <c r="D134" s="52"/>
      <c r="E134" s="86"/>
      <c r="F134" s="52"/>
      <c r="G134" s="89" t="str">
        <f aca="false">IF(F134="","",IFERROR(INDEX(Teachers!$B$5:$B$304,MATCH(F134,Teachers!$A$5:$A$304,0)),""))</f>
        <v/>
      </c>
      <c r="H134" s="52"/>
      <c r="I134" s="89" t="str">
        <f aca="false">IF(A134="","",A134&amp;"|"&amp;B134&amp;"|"&amp;C134&amp;"|"&amp;D134)</f>
        <v/>
      </c>
      <c r="J134" s="85" t="str">
        <f aca="false">IF(A134="","",IF(AND(F134&lt;&gt;"",COUNTIFS(Timetable!$F$5:$F$304,F134,Timetable!$C$5:$C$304,C134,Timetable!$D$5:$D$304,D134)&gt;1),"Teacher clash",IF(COUNTIF(Timetable!$I$5:$I$304,I134)&gt;1,"Class clash","OK")))</f>
        <v/>
      </c>
    </row>
    <row r="135" customFormat="false" ht="19.5" hidden="false" customHeight="true" outlineLevel="0" collapsed="false">
      <c r="A135" s="52"/>
      <c r="B135" s="52"/>
      <c r="C135" s="52"/>
      <c r="D135" s="52"/>
      <c r="E135" s="86"/>
      <c r="F135" s="52"/>
      <c r="G135" s="89" t="str">
        <f aca="false">IF(F135="","",IFERROR(INDEX(Teachers!$B$5:$B$304,MATCH(F135,Teachers!$A$5:$A$304,0)),""))</f>
        <v/>
      </c>
      <c r="H135" s="52"/>
      <c r="I135" s="89" t="str">
        <f aca="false">IF(A135="","",A135&amp;"|"&amp;B135&amp;"|"&amp;C135&amp;"|"&amp;D135)</f>
        <v/>
      </c>
      <c r="J135" s="85" t="str">
        <f aca="false">IF(A135="","",IF(AND(F135&lt;&gt;"",COUNTIFS(Timetable!$F$5:$F$304,F135,Timetable!$C$5:$C$304,C135,Timetable!$D$5:$D$304,D135)&gt;1),"Teacher clash",IF(COUNTIF(Timetable!$I$5:$I$304,I135)&gt;1,"Class clash","OK")))</f>
        <v/>
      </c>
    </row>
    <row r="136" customFormat="false" ht="19.5" hidden="false" customHeight="true" outlineLevel="0" collapsed="false">
      <c r="A136" s="52"/>
      <c r="B136" s="52"/>
      <c r="C136" s="52"/>
      <c r="D136" s="52"/>
      <c r="E136" s="86"/>
      <c r="F136" s="52"/>
      <c r="G136" s="89" t="str">
        <f aca="false">IF(F136="","",IFERROR(INDEX(Teachers!$B$5:$B$304,MATCH(F136,Teachers!$A$5:$A$304,0)),""))</f>
        <v/>
      </c>
      <c r="H136" s="52"/>
      <c r="I136" s="89" t="str">
        <f aca="false">IF(A136="","",A136&amp;"|"&amp;B136&amp;"|"&amp;C136&amp;"|"&amp;D136)</f>
        <v/>
      </c>
      <c r="J136" s="85" t="str">
        <f aca="false">IF(A136="","",IF(AND(F136&lt;&gt;"",COUNTIFS(Timetable!$F$5:$F$304,F136,Timetable!$C$5:$C$304,C136,Timetable!$D$5:$D$304,D136)&gt;1),"Teacher clash",IF(COUNTIF(Timetable!$I$5:$I$304,I136)&gt;1,"Class clash","OK")))</f>
        <v/>
      </c>
    </row>
    <row r="137" customFormat="false" ht="19.5" hidden="false" customHeight="true" outlineLevel="0" collapsed="false">
      <c r="A137" s="52"/>
      <c r="B137" s="52"/>
      <c r="C137" s="52"/>
      <c r="D137" s="52"/>
      <c r="E137" s="86"/>
      <c r="F137" s="52"/>
      <c r="G137" s="89" t="str">
        <f aca="false">IF(F137="","",IFERROR(INDEX(Teachers!$B$5:$B$304,MATCH(F137,Teachers!$A$5:$A$304,0)),""))</f>
        <v/>
      </c>
      <c r="H137" s="52"/>
      <c r="I137" s="89" t="str">
        <f aca="false">IF(A137="","",A137&amp;"|"&amp;B137&amp;"|"&amp;C137&amp;"|"&amp;D137)</f>
        <v/>
      </c>
      <c r="J137" s="85" t="str">
        <f aca="false">IF(A137="","",IF(AND(F137&lt;&gt;"",COUNTIFS(Timetable!$F$5:$F$304,F137,Timetable!$C$5:$C$304,C137,Timetable!$D$5:$D$304,D137)&gt;1),"Teacher clash",IF(COUNTIF(Timetable!$I$5:$I$304,I137)&gt;1,"Class clash","OK")))</f>
        <v/>
      </c>
    </row>
    <row r="138" customFormat="false" ht="19.5" hidden="false" customHeight="true" outlineLevel="0" collapsed="false">
      <c r="A138" s="52"/>
      <c r="B138" s="52"/>
      <c r="C138" s="52"/>
      <c r="D138" s="52"/>
      <c r="E138" s="86"/>
      <c r="F138" s="52"/>
      <c r="G138" s="89" t="str">
        <f aca="false">IF(F138="","",IFERROR(INDEX(Teachers!$B$5:$B$304,MATCH(F138,Teachers!$A$5:$A$304,0)),""))</f>
        <v/>
      </c>
      <c r="H138" s="52"/>
      <c r="I138" s="89" t="str">
        <f aca="false">IF(A138="","",A138&amp;"|"&amp;B138&amp;"|"&amp;C138&amp;"|"&amp;D138)</f>
        <v/>
      </c>
      <c r="J138" s="85" t="str">
        <f aca="false">IF(A138="","",IF(AND(F138&lt;&gt;"",COUNTIFS(Timetable!$F$5:$F$304,F138,Timetable!$C$5:$C$304,C138,Timetable!$D$5:$D$304,D138)&gt;1),"Teacher clash",IF(COUNTIF(Timetable!$I$5:$I$304,I138)&gt;1,"Class clash","OK")))</f>
        <v/>
      </c>
    </row>
    <row r="139" customFormat="false" ht="19.5" hidden="false" customHeight="true" outlineLevel="0" collapsed="false">
      <c r="A139" s="52"/>
      <c r="B139" s="52"/>
      <c r="C139" s="52"/>
      <c r="D139" s="52"/>
      <c r="E139" s="86"/>
      <c r="F139" s="52"/>
      <c r="G139" s="89" t="str">
        <f aca="false">IF(F139="","",IFERROR(INDEX(Teachers!$B$5:$B$304,MATCH(F139,Teachers!$A$5:$A$304,0)),""))</f>
        <v/>
      </c>
      <c r="H139" s="52"/>
      <c r="I139" s="89" t="str">
        <f aca="false">IF(A139="","",A139&amp;"|"&amp;B139&amp;"|"&amp;C139&amp;"|"&amp;D139)</f>
        <v/>
      </c>
      <c r="J139" s="85" t="str">
        <f aca="false">IF(A139="","",IF(AND(F139&lt;&gt;"",COUNTIFS(Timetable!$F$5:$F$304,F139,Timetable!$C$5:$C$304,C139,Timetable!$D$5:$D$304,D139)&gt;1),"Teacher clash",IF(COUNTIF(Timetable!$I$5:$I$304,I139)&gt;1,"Class clash","OK")))</f>
        <v/>
      </c>
    </row>
    <row r="140" customFormat="false" ht="19.5" hidden="false" customHeight="true" outlineLevel="0" collapsed="false">
      <c r="A140" s="52"/>
      <c r="B140" s="52"/>
      <c r="C140" s="52"/>
      <c r="D140" s="52"/>
      <c r="E140" s="86"/>
      <c r="F140" s="52"/>
      <c r="G140" s="89" t="str">
        <f aca="false">IF(F140="","",IFERROR(INDEX(Teachers!$B$5:$B$304,MATCH(F140,Teachers!$A$5:$A$304,0)),""))</f>
        <v/>
      </c>
      <c r="H140" s="52"/>
      <c r="I140" s="89" t="str">
        <f aca="false">IF(A140="","",A140&amp;"|"&amp;B140&amp;"|"&amp;C140&amp;"|"&amp;D140)</f>
        <v/>
      </c>
      <c r="J140" s="85" t="str">
        <f aca="false">IF(A140="","",IF(AND(F140&lt;&gt;"",COUNTIFS(Timetable!$F$5:$F$304,F140,Timetable!$C$5:$C$304,C140,Timetable!$D$5:$D$304,D140)&gt;1),"Teacher clash",IF(COUNTIF(Timetable!$I$5:$I$304,I140)&gt;1,"Class clash","OK")))</f>
        <v/>
      </c>
    </row>
    <row r="141" customFormat="false" ht="19.5" hidden="false" customHeight="true" outlineLevel="0" collapsed="false">
      <c r="A141" s="52"/>
      <c r="B141" s="52"/>
      <c r="C141" s="52"/>
      <c r="D141" s="52"/>
      <c r="E141" s="86"/>
      <c r="F141" s="52"/>
      <c r="G141" s="89" t="str">
        <f aca="false">IF(F141="","",IFERROR(INDEX(Teachers!$B$5:$B$304,MATCH(F141,Teachers!$A$5:$A$304,0)),""))</f>
        <v/>
      </c>
      <c r="H141" s="52"/>
      <c r="I141" s="89" t="str">
        <f aca="false">IF(A141="","",A141&amp;"|"&amp;B141&amp;"|"&amp;C141&amp;"|"&amp;D141)</f>
        <v/>
      </c>
      <c r="J141" s="85" t="str">
        <f aca="false">IF(A141="","",IF(AND(F141&lt;&gt;"",COUNTIFS(Timetable!$F$5:$F$304,F141,Timetable!$C$5:$C$304,C141,Timetable!$D$5:$D$304,D141)&gt;1),"Teacher clash",IF(COUNTIF(Timetable!$I$5:$I$304,I141)&gt;1,"Class clash","OK")))</f>
        <v/>
      </c>
    </row>
    <row r="142" customFormat="false" ht="19.5" hidden="false" customHeight="true" outlineLevel="0" collapsed="false">
      <c r="A142" s="52"/>
      <c r="B142" s="52"/>
      <c r="C142" s="52"/>
      <c r="D142" s="52"/>
      <c r="E142" s="86"/>
      <c r="F142" s="52"/>
      <c r="G142" s="89" t="str">
        <f aca="false">IF(F142="","",IFERROR(INDEX(Teachers!$B$5:$B$304,MATCH(F142,Teachers!$A$5:$A$304,0)),""))</f>
        <v/>
      </c>
      <c r="H142" s="52"/>
      <c r="I142" s="89" t="str">
        <f aca="false">IF(A142="","",A142&amp;"|"&amp;B142&amp;"|"&amp;C142&amp;"|"&amp;D142)</f>
        <v/>
      </c>
      <c r="J142" s="85" t="str">
        <f aca="false">IF(A142="","",IF(AND(F142&lt;&gt;"",COUNTIFS(Timetable!$F$5:$F$304,F142,Timetable!$C$5:$C$304,C142,Timetable!$D$5:$D$304,D142)&gt;1),"Teacher clash",IF(COUNTIF(Timetable!$I$5:$I$304,I142)&gt;1,"Class clash","OK")))</f>
        <v/>
      </c>
    </row>
    <row r="143" customFormat="false" ht="19.5" hidden="false" customHeight="true" outlineLevel="0" collapsed="false">
      <c r="A143" s="52"/>
      <c r="B143" s="52"/>
      <c r="C143" s="52"/>
      <c r="D143" s="52"/>
      <c r="E143" s="86"/>
      <c r="F143" s="52"/>
      <c r="G143" s="89" t="str">
        <f aca="false">IF(F143="","",IFERROR(INDEX(Teachers!$B$5:$B$304,MATCH(F143,Teachers!$A$5:$A$304,0)),""))</f>
        <v/>
      </c>
      <c r="H143" s="52"/>
      <c r="I143" s="89" t="str">
        <f aca="false">IF(A143="","",A143&amp;"|"&amp;B143&amp;"|"&amp;C143&amp;"|"&amp;D143)</f>
        <v/>
      </c>
      <c r="J143" s="85" t="str">
        <f aca="false">IF(A143="","",IF(AND(F143&lt;&gt;"",COUNTIFS(Timetable!$F$5:$F$304,F143,Timetable!$C$5:$C$304,C143,Timetable!$D$5:$D$304,D143)&gt;1),"Teacher clash",IF(COUNTIF(Timetable!$I$5:$I$304,I143)&gt;1,"Class clash","OK")))</f>
        <v/>
      </c>
    </row>
    <row r="144" customFormat="false" ht="19.5" hidden="false" customHeight="true" outlineLevel="0" collapsed="false">
      <c r="A144" s="52"/>
      <c r="B144" s="52"/>
      <c r="C144" s="52"/>
      <c r="D144" s="52"/>
      <c r="E144" s="86"/>
      <c r="F144" s="52"/>
      <c r="G144" s="89" t="str">
        <f aca="false">IF(F144="","",IFERROR(INDEX(Teachers!$B$5:$B$304,MATCH(F144,Teachers!$A$5:$A$304,0)),""))</f>
        <v/>
      </c>
      <c r="H144" s="52"/>
      <c r="I144" s="89" t="str">
        <f aca="false">IF(A144="","",A144&amp;"|"&amp;B144&amp;"|"&amp;C144&amp;"|"&amp;D144)</f>
        <v/>
      </c>
      <c r="J144" s="85" t="str">
        <f aca="false">IF(A144="","",IF(AND(F144&lt;&gt;"",COUNTIFS(Timetable!$F$5:$F$304,F144,Timetable!$C$5:$C$304,C144,Timetable!$D$5:$D$304,D144)&gt;1),"Teacher clash",IF(COUNTIF(Timetable!$I$5:$I$304,I144)&gt;1,"Class clash","OK")))</f>
        <v/>
      </c>
    </row>
    <row r="145" customFormat="false" ht="19.5" hidden="false" customHeight="true" outlineLevel="0" collapsed="false">
      <c r="A145" s="52"/>
      <c r="B145" s="52"/>
      <c r="C145" s="52"/>
      <c r="D145" s="52"/>
      <c r="E145" s="86"/>
      <c r="F145" s="52"/>
      <c r="G145" s="89" t="str">
        <f aca="false">IF(F145="","",IFERROR(INDEX(Teachers!$B$5:$B$304,MATCH(F145,Teachers!$A$5:$A$304,0)),""))</f>
        <v/>
      </c>
      <c r="H145" s="52"/>
      <c r="I145" s="89" t="str">
        <f aca="false">IF(A145="","",A145&amp;"|"&amp;B145&amp;"|"&amp;C145&amp;"|"&amp;D145)</f>
        <v/>
      </c>
      <c r="J145" s="85" t="str">
        <f aca="false">IF(A145="","",IF(AND(F145&lt;&gt;"",COUNTIFS(Timetable!$F$5:$F$304,F145,Timetable!$C$5:$C$304,C145,Timetable!$D$5:$D$304,D145)&gt;1),"Teacher clash",IF(COUNTIF(Timetable!$I$5:$I$304,I145)&gt;1,"Class clash","OK")))</f>
        <v/>
      </c>
    </row>
    <row r="146" customFormat="false" ht="19.5" hidden="false" customHeight="true" outlineLevel="0" collapsed="false">
      <c r="A146" s="52"/>
      <c r="B146" s="52"/>
      <c r="C146" s="52"/>
      <c r="D146" s="52"/>
      <c r="E146" s="86"/>
      <c r="F146" s="52"/>
      <c r="G146" s="89" t="str">
        <f aca="false">IF(F146="","",IFERROR(INDEX(Teachers!$B$5:$B$304,MATCH(F146,Teachers!$A$5:$A$304,0)),""))</f>
        <v/>
      </c>
      <c r="H146" s="52"/>
      <c r="I146" s="89" t="str">
        <f aca="false">IF(A146="","",A146&amp;"|"&amp;B146&amp;"|"&amp;C146&amp;"|"&amp;D146)</f>
        <v/>
      </c>
      <c r="J146" s="85" t="str">
        <f aca="false">IF(A146="","",IF(AND(F146&lt;&gt;"",COUNTIFS(Timetable!$F$5:$F$304,F146,Timetable!$C$5:$C$304,C146,Timetable!$D$5:$D$304,D146)&gt;1),"Teacher clash",IF(COUNTIF(Timetable!$I$5:$I$304,I146)&gt;1,"Class clash","OK")))</f>
        <v/>
      </c>
    </row>
    <row r="147" customFormat="false" ht="19.5" hidden="false" customHeight="true" outlineLevel="0" collapsed="false">
      <c r="A147" s="52"/>
      <c r="B147" s="52"/>
      <c r="C147" s="52"/>
      <c r="D147" s="52"/>
      <c r="E147" s="86"/>
      <c r="F147" s="52"/>
      <c r="G147" s="89" t="str">
        <f aca="false">IF(F147="","",IFERROR(INDEX(Teachers!$B$5:$B$304,MATCH(F147,Teachers!$A$5:$A$304,0)),""))</f>
        <v/>
      </c>
      <c r="H147" s="52"/>
      <c r="I147" s="89" t="str">
        <f aca="false">IF(A147="","",A147&amp;"|"&amp;B147&amp;"|"&amp;C147&amp;"|"&amp;D147)</f>
        <v/>
      </c>
      <c r="J147" s="85" t="str">
        <f aca="false">IF(A147="","",IF(AND(F147&lt;&gt;"",COUNTIFS(Timetable!$F$5:$F$304,F147,Timetable!$C$5:$C$304,C147,Timetable!$D$5:$D$304,D147)&gt;1),"Teacher clash",IF(COUNTIF(Timetable!$I$5:$I$304,I147)&gt;1,"Class clash","OK")))</f>
        <v/>
      </c>
    </row>
    <row r="148" customFormat="false" ht="19.5" hidden="false" customHeight="true" outlineLevel="0" collapsed="false">
      <c r="A148" s="52"/>
      <c r="B148" s="52"/>
      <c r="C148" s="52"/>
      <c r="D148" s="52"/>
      <c r="E148" s="86"/>
      <c r="F148" s="52"/>
      <c r="G148" s="89" t="str">
        <f aca="false">IF(F148="","",IFERROR(INDEX(Teachers!$B$5:$B$304,MATCH(F148,Teachers!$A$5:$A$304,0)),""))</f>
        <v/>
      </c>
      <c r="H148" s="52"/>
      <c r="I148" s="89" t="str">
        <f aca="false">IF(A148="","",A148&amp;"|"&amp;B148&amp;"|"&amp;C148&amp;"|"&amp;D148)</f>
        <v/>
      </c>
      <c r="J148" s="85" t="str">
        <f aca="false">IF(A148="","",IF(AND(F148&lt;&gt;"",COUNTIFS(Timetable!$F$5:$F$304,F148,Timetable!$C$5:$C$304,C148,Timetable!$D$5:$D$304,D148)&gt;1),"Teacher clash",IF(COUNTIF(Timetable!$I$5:$I$304,I148)&gt;1,"Class clash","OK")))</f>
        <v/>
      </c>
    </row>
    <row r="149" customFormat="false" ht="19.5" hidden="false" customHeight="true" outlineLevel="0" collapsed="false">
      <c r="A149" s="52"/>
      <c r="B149" s="52"/>
      <c r="C149" s="52"/>
      <c r="D149" s="52"/>
      <c r="E149" s="86"/>
      <c r="F149" s="52"/>
      <c r="G149" s="89" t="str">
        <f aca="false">IF(F149="","",IFERROR(INDEX(Teachers!$B$5:$B$304,MATCH(F149,Teachers!$A$5:$A$304,0)),""))</f>
        <v/>
      </c>
      <c r="H149" s="52"/>
      <c r="I149" s="89" t="str">
        <f aca="false">IF(A149="","",A149&amp;"|"&amp;B149&amp;"|"&amp;C149&amp;"|"&amp;D149)</f>
        <v/>
      </c>
      <c r="J149" s="85" t="str">
        <f aca="false">IF(A149="","",IF(AND(F149&lt;&gt;"",COUNTIFS(Timetable!$F$5:$F$304,F149,Timetable!$C$5:$C$304,C149,Timetable!$D$5:$D$304,D149)&gt;1),"Teacher clash",IF(COUNTIF(Timetable!$I$5:$I$304,I149)&gt;1,"Class clash","OK")))</f>
        <v/>
      </c>
    </row>
    <row r="150" customFormat="false" ht="19.5" hidden="false" customHeight="true" outlineLevel="0" collapsed="false">
      <c r="A150" s="52"/>
      <c r="B150" s="52"/>
      <c r="C150" s="52"/>
      <c r="D150" s="52"/>
      <c r="E150" s="86"/>
      <c r="F150" s="52"/>
      <c r="G150" s="89" t="str">
        <f aca="false">IF(F150="","",IFERROR(INDEX(Teachers!$B$5:$B$304,MATCH(F150,Teachers!$A$5:$A$304,0)),""))</f>
        <v/>
      </c>
      <c r="H150" s="52"/>
      <c r="I150" s="89" t="str">
        <f aca="false">IF(A150="","",A150&amp;"|"&amp;B150&amp;"|"&amp;C150&amp;"|"&amp;D150)</f>
        <v/>
      </c>
      <c r="J150" s="85" t="str">
        <f aca="false">IF(A150="","",IF(AND(F150&lt;&gt;"",COUNTIFS(Timetable!$F$5:$F$304,F150,Timetable!$C$5:$C$304,C150,Timetable!$D$5:$D$304,D150)&gt;1),"Teacher clash",IF(COUNTIF(Timetable!$I$5:$I$304,I150)&gt;1,"Class clash","OK")))</f>
        <v/>
      </c>
    </row>
    <row r="151" customFormat="false" ht="19.5" hidden="false" customHeight="true" outlineLevel="0" collapsed="false">
      <c r="A151" s="52"/>
      <c r="B151" s="52"/>
      <c r="C151" s="52"/>
      <c r="D151" s="52"/>
      <c r="E151" s="86"/>
      <c r="F151" s="52"/>
      <c r="G151" s="89" t="str">
        <f aca="false">IF(F151="","",IFERROR(INDEX(Teachers!$B$5:$B$304,MATCH(F151,Teachers!$A$5:$A$304,0)),""))</f>
        <v/>
      </c>
      <c r="H151" s="52"/>
      <c r="I151" s="89" t="str">
        <f aca="false">IF(A151="","",A151&amp;"|"&amp;B151&amp;"|"&amp;C151&amp;"|"&amp;D151)</f>
        <v/>
      </c>
      <c r="J151" s="85" t="str">
        <f aca="false">IF(A151="","",IF(AND(F151&lt;&gt;"",COUNTIFS(Timetable!$F$5:$F$304,F151,Timetable!$C$5:$C$304,C151,Timetable!$D$5:$D$304,D151)&gt;1),"Teacher clash",IF(COUNTIF(Timetable!$I$5:$I$304,I151)&gt;1,"Class clash","OK")))</f>
        <v/>
      </c>
    </row>
    <row r="152" customFormat="false" ht="19.5" hidden="false" customHeight="true" outlineLevel="0" collapsed="false">
      <c r="A152" s="52"/>
      <c r="B152" s="52"/>
      <c r="C152" s="52"/>
      <c r="D152" s="52"/>
      <c r="E152" s="86"/>
      <c r="F152" s="52"/>
      <c r="G152" s="89" t="str">
        <f aca="false">IF(F152="","",IFERROR(INDEX(Teachers!$B$5:$B$304,MATCH(F152,Teachers!$A$5:$A$304,0)),""))</f>
        <v/>
      </c>
      <c r="H152" s="52"/>
      <c r="I152" s="89" t="str">
        <f aca="false">IF(A152="","",A152&amp;"|"&amp;B152&amp;"|"&amp;C152&amp;"|"&amp;D152)</f>
        <v/>
      </c>
      <c r="J152" s="85" t="str">
        <f aca="false">IF(A152="","",IF(AND(F152&lt;&gt;"",COUNTIFS(Timetable!$F$5:$F$304,F152,Timetable!$C$5:$C$304,C152,Timetable!$D$5:$D$304,D152)&gt;1),"Teacher clash",IF(COUNTIF(Timetable!$I$5:$I$304,I152)&gt;1,"Class clash","OK")))</f>
        <v/>
      </c>
    </row>
    <row r="153" customFormat="false" ht="19.5" hidden="false" customHeight="true" outlineLevel="0" collapsed="false">
      <c r="A153" s="52"/>
      <c r="B153" s="52"/>
      <c r="C153" s="52"/>
      <c r="D153" s="52"/>
      <c r="E153" s="86"/>
      <c r="F153" s="52"/>
      <c r="G153" s="89" t="str">
        <f aca="false">IF(F153="","",IFERROR(INDEX(Teachers!$B$5:$B$304,MATCH(F153,Teachers!$A$5:$A$304,0)),""))</f>
        <v/>
      </c>
      <c r="H153" s="52"/>
      <c r="I153" s="89" t="str">
        <f aca="false">IF(A153="","",A153&amp;"|"&amp;B153&amp;"|"&amp;C153&amp;"|"&amp;D153)</f>
        <v/>
      </c>
      <c r="J153" s="85" t="str">
        <f aca="false">IF(A153="","",IF(AND(F153&lt;&gt;"",COUNTIFS(Timetable!$F$5:$F$304,F153,Timetable!$C$5:$C$304,C153,Timetable!$D$5:$D$304,D153)&gt;1),"Teacher clash",IF(COUNTIF(Timetable!$I$5:$I$304,I153)&gt;1,"Class clash","OK")))</f>
        <v/>
      </c>
    </row>
    <row r="154" customFormat="false" ht="19.5" hidden="false" customHeight="true" outlineLevel="0" collapsed="false">
      <c r="A154" s="52"/>
      <c r="B154" s="52"/>
      <c r="C154" s="52"/>
      <c r="D154" s="52"/>
      <c r="E154" s="86"/>
      <c r="F154" s="52"/>
      <c r="G154" s="89" t="str">
        <f aca="false">IF(F154="","",IFERROR(INDEX(Teachers!$B$5:$B$304,MATCH(F154,Teachers!$A$5:$A$304,0)),""))</f>
        <v/>
      </c>
      <c r="H154" s="52"/>
      <c r="I154" s="89" t="str">
        <f aca="false">IF(A154="","",A154&amp;"|"&amp;B154&amp;"|"&amp;C154&amp;"|"&amp;D154)</f>
        <v/>
      </c>
      <c r="J154" s="85" t="str">
        <f aca="false">IF(A154="","",IF(AND(F154&lt;&gt;"",COUNTIFS(Timetable!$F$5:$F$304,F154,Timetable!$C$5:$C$304,C154,Timetable!$D$5:$D$304,D154)&gt;1),"Teacher clash",IF(COUNTIF(Timetable!$I$5:$I$304,I154)&gt;1,"Class clash","OK")))</f>
        <v/>
      </c>
    </row>
    <row r="155" customFormat="false" ht="19.5" hidden="false" customHeight="true" outlineLevel="0" collapsed="false">
      <c r="A155" s="52"/>
      <c r="B155" s="52"/>
      <c r="C155" s="52"/>
      <c r="D155" s="52"/>
      <c r="E155" s="86"/>
      <c r="F155" s="52"/>
      <c r="G155" s="89" t="str">
        <f aca="false">IF(F155="","",IFERROR(INDEX(Teachers!$B$5:$B$304,MATCH(F155,Teachers!$A$5:$A$304,0)),""))</f>
        <v/>
      </c>
      <c r="H155" s="52"/>
      <c r="I155" s="89" t="str">
        <f aca="false">IF(A155="","",A155&amp;"|"&amp;B155&amp;"|"&amp;C155&amp;"|"&amp;D155)</f>
        <v/>
      </c>
      <c r="J155" s="85" t="str">
        <f aca="false">IF(A155="","",IF(AND(F155&lt;&gt;"",COUNTIFS(Timetable!$F$5:$F$304,F155,Timetable!$C$5:$C$304,C155,Timetable!$D$5:$D$304,D155)&gt;1),"Teacher clash",IF(COUNTIF(Timetable!$I$5:$I$304,I155)&gt;1,"Class clash","OK")))</f>
        <v/>
      </c>
    </row>
    <row r="156" customFormat="false" ht="19.5" hidden="false" customHeight="true" outlineLevel="0" collapsed="false">
      <c r="A156" s="52"/>
      <c r="B156" s="52"/>
      <c r="C156" s="52"/>
      <c r="D156" s="52"/>
      <c r="E156" s="86"/>
      <c r="F156" s="52"/>
      <c r="G156" s="89" t="str">
        <f aca="false">IF(F156="","",IFERROR(INDEX(Teachers!$B$5:$B$304,MATCH(F156,Teachers!$A$5:$A$304,0)),""))</f>
        <v/>
      </c>
      <c r="H156" s="52"/>
      <c r="I156" s="89" t="str">
        <f aca="false">IF(A156="","",A156&amp;"|"&amp;B156&amp;"|"&amp;C156&amp;"|"&amp;D156)</f>
        <v/>
      </c>
      <c r="J156" s="85" t="str">
        <f aca="false">IF(A156="","",IF(AND(F156&lt;&gt;"",COUNTIFS(Timetable!$F$5:$F$304,F156,Timetable!$C$5:$C$304,C156,Timetable!$D$5:$D$304,D156)&gt;1),"Teacher clash",IF(COUNTIF(Timetable!$I$5:$I$304,I156)&gt;1,"Class clash","OK")))</f>
        <v/>
      </c>
    </row>
    <row r="157" customFormat="false" ht="19.5" hidden="false" customHeight="true" outlineLevel="0" collapsed="false">
      <c r="A157" s="52"/>
      <c r="B157" s="52"/>
      <c r="C157" s="52"/>
      <c r="D157" s="52"/>
      <c r="E157" s="86"/>
      <c r="F157" s="52"/>
      <c r="G157" s="89" t="str">
        <f aca="false">IF(F157="","",IFERROR(INDEX(Teachers!$B$5:$B$304,MATCH(F157,Teachers!$A$5:$A$304,0)),""))</f>
        <v/>
      </c>
      <c r="H157" s="52"/>
      <c r="I157" s="89" t="str">
        <f aca="false">IF(A157="","",A157&amp;"|"&amp;B157&amp;"|"&amp;C157&amp;"|"&amp;D157)</f>
        <v/>
      </c>
      <c r="J157" s="85" t="str">
        <f aca="false">IF(A157="","",IF(AND(F157&lt;&gt;"",COUNTIFS(Timetable!$F$5:$F$304,F157,Timetable!$C$5:$C$304,C157,Timetable!$D$5:$D$304,D157)&gt;1),"Teacher clash",IF(COUNTIF(Timetable!$I$5:$I$304,I157)&gt;1,"Class clash","OK")))</f>
        <v/>
      </c>
    </row>
    <row r="158" customFormat="false" ht="19.5" hidden="false" customHeight="true" outlineLevel="0" collapsed="false">
      <c r="A158" s="52"/>
      <c r="B158" s="52"/>
      <c r="C158" s="52"/>
      <c r="D158" s="52"/>
      <c r="E158" s="86"/>
      <c r="F158" s="52"/>
      <c r="G158" s="89" t="str">
        <f aca="false">IF(F158="","",IFERROR(INDEX(Teachers!$B$5:$B$304,MATCH(F158,Teachers!$A$5:$A$304,0)),""))</f>
        <v/>
      </c>
      <c r="H158" s="52"/>
      <c r="I158" s="89" t="str">
        <f aca="false">IF(A158="","",A158&amp;"|"&amp;B158&amp;"|"&amp;C158&amp;"|"&amp;D158)</f>
        <v/>
      </c>
      <c r="J158" s="85" t="str">
        <f aca="false">IF(A158="","",IF(AND(F158&lt;&gt;"",COUNTIFS(Timetable!$F$5:$F$304,F158,Timetable!$C$5:$C$304,C158,Timetable!$D$5:$D$304,D158)&gt;1),"Teacher clash",IF(COUNTIF(Timetable!$I$5:$I$304,I158)&gt;1,"Class clash","OK")))</f>
        <v/>
      </c>
    </row>
    <row r="159" customFormat="false" ht="19.5" hidden="false" customHeight="true" outlineLevel="0" collapsed="false">
      <c r="A159" s="52"/>
      <c r="B159" s="52"/>
      <c r="C159" s="52"/>
      <c r="D159" s="52"/>
      <c r="E159" s="86"/>
      <c r="F159" s="52"/>
      <c r="G159" s="89" t="str">
        <f aca="false">IF(F159="","",IFERROR(INDEX(Teachers!$B$5:$B$304,MATCH(F159,Teachers!$A$5:$A$304,0)),""))</f>
        <v/>
      </c>
      <c r="H159" s="52"/>
      <c r="I159" s="89" t="str">
        <f aca="false">IF(A159="","",A159&amp;"|"&amp;B159&amp;"|"&amp;C159&amp;"|"&amp;D159)</f>
        <v/>
      </c>
      <c r="J159" s="85" t="str">
        <f aca="false">IF(A159="","",IF(AND(F159&lt;&gt;"",COUNTIFS(Timetable!$F$5:$F$304,F159,Timetable!$C$5:$C$304,C159,Timetable!$D$5:$D$304,D159)&gt;1),"Teacher clash",IF(COUNTIF(Timetable!$I$5:$I$304,I159)&gt;1,"Class clash","OK")))</f>
        <v/>
      </c>
    </row>
    <row r="160" customFormat="false" ht="19.5" hidden="false" customHeight="true" outlineLevel="0" collapsed="false">
      <c r="A160" s="52"/>
      <c r="B160" s="52"/>
      <c r="C160" s="52"/>
      <c r="D160" s="52"/>
      <c r="E160" s="86"/>
      <c r="F160" s="52"/>
      <c r="G160" s="89" t="str">
        <f aca="false">IF(F160="","",IFERROR(INDEX(Teachers!$B$5:$B$304,MATCH(F160,Teachers!$A$5:$A$304,0)),""))</f>
        <v/>
      </c>
      <c r="H160" s="52"/>
      <c r="I160" s="89" t="str">
        <f aca="false">IF(A160="","",A160&amp;"|"&amp;B160&amp;"|"&amp;C160&amp;"|"&amp;D160)</f>
        <v/>
      </c>
      <c r="J160" s="85" t="str">
        <f aca="false">IF(A160="","",IF(AND(F160&lt;&gt;"",COUNTIFS(Timetable!$F$5:$F$304,F160,Timetable!$C$5:$C$304,C160,Timetable!$D$5:$D$304,D160)&gt;1),"Teacher clash",IF(COUNTIF(Timetable!$I$5:$I$304,I160)&gt;1,"Class clash","OK")))</f>
        <v/>
      </c>
    </row>
    <row r="161" customFormat="false" ht="19.5" hidden="false" customHeight="true" outlineLevel="0" collapsed="false">
      <c r="A161" s="52"/>
      <c r="B161" s="52"/>
      <c r="C161" s="52"/>
      <c r="D161" s="52"/>
      <c r="E161" s="86"/>
      <c r="F161" s="52"/>
      <c r="G161" s="89" t="str">
        <f aca="false">IF(F161="","",IFERROR(INDEX(Teachers!$B$5:$B$304,MATCH(F161,Teachers!$A$5:$A$304,0)),""))</f>
        <v/>
      </c>
      <c r="H161" s="52"/>
      <c r="I161" s="89" t="str">
        <f aca="false">IF(A161="","",A161&amp;"|"&amp;B161&amp;"|"&amp;C161&amp;"|"&amp;D161)</f>
        <v/>
      </c>
      <c r="J161" s="85" t="str">
        <f aca="false">IF(A161="","",IF(AND(F161&lt;&gt;"",COUNTIFS(Timetable!$F$5:$F$304,F161,Timetable!$C$5:$C$304,C161,Timetable!$D$5:$D$304,D161)&gt;1),"Teacher clash",IF(COUNTIF(Timetable!$I$5:$I$304,I161)&gt;1,"Class clash","OK")))</f>
        <v/>
      </c>
    </row>
    <row r="162" customFormat="false" ht="19.5" hidden="false" customHeight="true" outlineLevel="0" collapsed="false">
      <c r="A162" s="52"/>
      <c r="B162" s="52"/>
      <c r="C162" s="52"/>
      <c r="D162" s="52"/>
      <c r="E162" s="86"/>
      <c r="F162" s="52"/>
      <c r="G162" s="89" t="str">
        <f aca="false">IF(F162="","",IFERROR(INDEX(Teachers!$B$5:$B$304,MATCH(F162,Teachers!$A$5:$A$304,0)),""))</f>
        <v/>
      </c>
      <c r="H162" s="52"/>
      <c r="I162" s="89" t="str">
        <f aca="false">IF(A162="","",A162&amp;"|"&amp;B162&amp;"|"&amp;C162&amp;"|"&amp;D162)</f>
        <v/>
      </c>
      <c r="J162" s="85" t="str">
        <f aca="false">IF(A162="","",IF(AND(F162&lt;&gt;"",COUNTIFS(Timetable!$F$5:$F$304,F162,Timetable!$C$5:$C$304,C162,Timetable!$D$5:$D$304,D162)&gt;1),"Teacher clash",IF(COUNTIF(Timetable!$I$5:$I$304,I162)&gt;1,"Class clash","OK")))</f>
        <v/>
      </c>
    </row>
    <row r="163" customFormat="false" ht="19.5" hidden="false" customHeight="true" outlineLevel="0" collapsed="false">
      <c r="A163" s="52"/>
      <c r="B163" s="52"/>
      <c r="C163" s="52"/>
      <c r="D163" s="52"/>
      <c r="E163" s="86"/>
      <c r="F163" s="52"/>
      <c r="G163" s="89" t="str">
        <f aca="false">IF(F163="","",IFERROR(INDEX(Teachers!$B$5:$B$304,MATCH(F163,Teachers!$A$5:$A$304,0)),""))</f>
        <v/>
      </c>
      <c r="H163" s="52"/>
      <c r="I163" s="89" t="str">
        <f aca="false">IF(A163="","",A163&amp;"|"&amp;B163&amp;"|"&amp;C163&amp;"|"&amp;D163)</f>
        <v/>
      </c>
      <c r="J163" s="85" t="str">
        <f aca="false">IF(A163="","",IF(AND(F163&lt;&gt;"",COUNTIFS(Timetable!$F$5:$F$304,F163,Timetable!$C$5:$C$304,C163,Timetable!$D$5:$D$304,D163)&gt;1),"Teacher clash",IF(COUNTIF(Timetable!$I$5:$I$304,I163)&gt;1,"Class clash","OK")))</f>
        <v/>
      </c>
    </row>
    <row r="164" customFormat="false" ht="19.5" hidden="false" customHeight="true" outlineLevel="0" collapsed="false">
      <c r="A164" s="52"/>
      <c r="B164" s="52"/>
      <c r="C164" s="52"/>
      <c r="D164" s="52"/>
      <c r="E164" s="86"/>
      <c r="F164" s="52"/>
      <c r="G164" s="89" t="str">
        <f aca="false">IF(F164="","",IFERROR(INDEX(Teachers!$B$5:$B$304,MATCH(F164,Teachers!$A$5:$A$304,0)),""))</f>
        <v/>
      </c>
      <c r="H164" s="52"/>
      <c r="I164" s="89" t="str">
        <f aca="false">IF(A164="","",A164&amp;"|"&amp;B164&amp;"|"&amp;C164&amp;"|"&amp;D164)</f>
        <v/>
      </c>
      <c r="J164" s="85" t="str">
        <f aca="false">IF(A164="","",IF(AND(F164&lt;&gt;"",COUNTIFS(Timetable!$F$5:$F$304,F164,Timetable!$C$5:$C$304,C164,Timetable!$D$5:$D$304,D164)&gt;1),"Teacher clash",IF(COUNTIF(Timetable!$I$5:$I$304,I164)&gt;1,"Class clash","OK")))</f>
        <v/>
      </c>
    </row>
    <row r="165" customFormat="false" ht="19.5" hidden="false" customHeight="true" outlineLevel="0" collapsed="false">
      <c r="A165" s="52"/>
      <c r="B165" s="52"/>
      <c r="C165" s="52"/>
      <c r="D165" s="52"/>
      <c r="E165" s="86"/>
      <c r="F165" s="52"/>
      <c r="G165" s="89" t="str">
        <f aca="false">IF(F165="","",IFERROR(INDEX(Teachers!$B$5:$B$304,MATCH(F165,Teachers!$A$5:$A$304,0)),""))</f>
        <v/>
      </c>
      <c r="H165" s="52"/>
      <c r="I165" s="89" t="str">
        <f aca="false">IF(A165="","",A165&amp;"|"&amp;B165&amp;"|"&amp;C165&amp;"|"&amp;D165)</f>
        <v/>
      </c>
      <c r="J165" s="85" t="str">
        <f aca="false">IF(A165="","",IF(AND(F165&lt;&gt;"",COUNTIFS(Timetable!$F$5:$F$304,F165,Timetable!$C$5:$C$304,C165,Timetable!$D$5:$D$304,D165)&gt;1),"Teacher clash",IF(COUNTIF(Timetable!$I$5:$I$304,I165)&gt;1,"Class clash","OK")))</f>
        <v/>
      </c>
    </row>
    <row r="166" customFormat="false" ht="19.5" hidden="false" customHeight="true" outlineLevel="0" collapsed="false">
      <c r="A166" s="52"/>
      <c r="B166" s="52"/>
      <c r="C166" s="52"/>
      <c r="D166" s="52"/>
      <c r="E166" s="86"/>
      <c r="F166" s="52"/>
      <c r="G166" s="89" t="str">
        <f aca="false">IF(F166="","",IFERROR(INDEX(Teachers!$B$5:$B$304,MATCH(F166,Teachers!$A$5:$A$304,0)),""))</f>
        <v/>
      </c>
      <c r="H166" s="52"/>
      <c r="I166" s="89" t="str">
        <f aca="false">IF(A166="","",A166&amp;"|"&amp;B166&amp;"|"&amp;C166&amp;"|"&amp;D166)</f>
        <v/>
      </c>
      <c r="J166" s="85" t="str">
        <f aca="false">IF(A166="","",IF(AND(F166&lt;&gt;"",COUNTIFS(Timetable!$F$5:$F$304,F166,Timetable!$C$5:$C$304,C166,Timetable!$D$5:$D$304,D166)&gt;1),"Teacher clash",IF(COUNTIF(Timetable!$I$5:$I$304,I166)&gt;1,"Class clash","OK")))</f>
        <v/>
      </c>
    </row>
    <row r="167" customFormat="false" ht="19.5" hidden="false" customHeight="true" outlineLevel="0" collapsed="false">
      <c r="A167" s="52"/>
      <c r="B167" s="52"/>
      <c r="C167" s="52"/>
      <c r="D167" s="52"/>
      <c r="E167" s="86"/>
      <c r="F167" s="52"/>
      <c r="G167" s="89" t="str">
        <f aca="false">IF(F167="","",IFERROR(INDEX(Teachers!$B$5:$B$304,MATCH(F167,Teachers!$A$5:$A$304,0)),""))</f>
        <v/>
      </c>
      <c r="H167" s="52"/>
      <c r="I167" s="89" t="str">
        <f aca="false">IF(A167="","",A167&amp;"|"&amp;B167&amp;"|"&amp;C167&amp;"|"&amp;D167)</f>
        <v/>
      </c>
      <c r="J167" s="85" t="str">
        <f aca="false">IF(A167="","",IF(AND(F167&lt;&gt;"",COUNTIFS(Timetable!$F$5:$F$304,F167,Timetable!$C$5:$C$304,C167,Timetable!$D$5:$D$304,D167)&gt;1),"Teacher clash",IF(COUNTIF(Timetable!$I$5:$I$304,I167)&gt;1,"Class clash","OK")))</f>
        <v/>
      </c>
    </row>
    <row r="168" customFormat="false" ht="19.5" hidden="false" customHeight="true" outlineLevel="0" collapsed="false">
      <c r="A168" s="52"/>
      <c r="B168" s="52"/>
      <c r="C168" s="52"/>
      <c r="D168" s="52"/>
      <c r="E168" s="86"/>
      <c r="F168" s="52"/>
      <c r="G168" s="89" t="str">
        <f aca="false">IF(F168="","",IFERROR(INDEX(Teachers!$B$5:$B$304,MATCH(F168,Teachers!$A$5:$A$304,0)),""))</f>
        <v/>
      </c>
      <c r="H168" s="52"/>
      <c r="I168" s="89" t="str">
        <f aca="false">IF(A168="","",A168&amp;"|"&amp;B168&amp;"|"&amp;C168&amp;"|"&amp;D168)</f>
        <v/>
      </c>
      <c r="J168" s="85" t="str">
        <f aca="false">IF(A168="","",IF(AND(F168&lt;&gt;"",COUNTIFS(Timetable!$F$5:$F$304,F168,Timetable!$C$5:$C$304,C168,Timetable!$D$5:$D$304,D168)&gt;1),"Teacher clash",IF(COUNTIF(Timetable!$I$5:$I$304,I168)&gt;1,"Class clash","OK")))</f>
        <v/>
      </c>
    </row>
    <row r="169" customFormat="false" ht="19.5" hidden="false" customHeight="true" outlineLevel="0" collapsed="false">
      <c r="A169" s="52"/>
      <c r="B169" s="52"/>
      <c r="C169" s="52"/>
      <c r="D169" s="52"/>
      <c r="E169" s="86"/>
      <c r="F169" s="52"/>
      <c r="G169" s="89" t="str">
        <f aca="false">IF(F169="","",IFERROR(INDEX(Teachers!$B$5:$B$304,MATCH(F169,Teachers!$A$5:$A$304,0)),""))</f>
        <v/>
      </c>
      <c r="H169" s="52"/>
      <c r="I169" s="89" t="str">
        <f aca="false">IF(A169="","",A169&amp;"|"&amp;B169&amp;"|"&amp;C169&amp;"|"&amp;D169)</f>
        <v/>
      </c>
      <c r="J169" s="85" t="str">
        <f aca="false">IF(A169="","",IF(AND(F169&lt;&gt;"",COUNTIFS(Timetable!$F$5:$F$304,F169,Timetable!$C$5:$C$304,C169,Timetable!$D$5:$D$304,D169)&gt;1),"Teacher clash",IF(COUNTIF(Timetable!$I$5:$I$304,I169)&gt;1,"Class clash","OK")))</f>
        <v/>
      </c>
    </row>
    <row r="170" customFormat="false" ht="19.5" hidden="false" customHeight="true" outlineLevel="0" collapsed="false">
      <c r="A170" s="52"/>
      <c r="B170" s="52"/>
      <c r="C170" s="52"/>
      <c r="D170" s="52"/>
      <c r="E170" s="86"/>
      <c r="F170" s="52"/>
      <c r="G170" s="89" t="str">
        <f aca="false">IF(F170="","",IFERROR(INDEX(Teachers!$B$5:$B$304,MATCH(F170,Teachers!$A$5:$A$304,0)),""))</f>
        <v/>
      </c>
      <c r="H170" s="52"/>
      <c r="I170" s="89" t="str">
        <f aca="false">IF(A170="","",A170&amp;"|"&amp;B170&amp;"|"&amp;C170&amp;"|"&amp;D170)</f>
        <v/>
      </c>
      <c r="J170" s="85" t="str">
        <f aca="false">IF(A170="","",IF(AND(F170&lt;&gt;"",COUNTIFS(Timetable!$F$5:$F$304,F170,Timetable!$C$5:$C$304,C170,Timetable!$D$5:$D$304,D170)&gt;1),"Teacher clash",IF(COUNTIF(Timetable!$I$5:$I$304,I170)&gt;1,"Class clash","OK")))</f>
        <v/>
      </c>
    </row>
    <row r="171" customFormat="false" ht="19.5" hidden="false" customHeight="true" outlineLevel="0" collapsed="false">
      <c r="A171" s="52"/>
      <c r="B171" s="52"/>
      <c r="C171" s="52"/>
      <c r="D171" s="52"/>
      <c r="E171" s="86"/>
      <c r="F171" s="52"/>
      <c r="G171" s="89" t="str">
        <f aca="false">IF(F171="","",IFERROR(INDEX(Teachers!$B$5:$B$304,MATCH(F171,Teachers!$A$5:$A$304,0)),""))</f>
        <v/>
      </c>
      <c r="H171" s="52"/>
      <c r="I171" s="89" t="str">
        <f aca="false">IF(A171="","",A171&amp;"|"&amp;B171&amp;"|"&amp;C171&amp;"|"&amp;D171)</f>
        <v/>
      </c>
      <c r="J171" s="85" t="str">
        <f aca="false">IF(A171="","",IF(AND(F171&lt;&gt;"",COUNTIFS(Timetable!$F$5:$F$304,F171,Timetable!$C$5:$C$304,C171,Timetable!$D$5:$D$304,D171)&gt;1),"Teacher clash",IF(COUNTIF(Timetable!$I$5:$I$304,I171)&gt;1,"Class clash","OK")))</f>
        <v/>
      </c>
    </row>
    <row r="172" customFormat="false" ht="19.5" hidden="false" customHeight="true" outlineLevel="0" collapsed="false">
      <c r="A172" s="52"/>
      <c r="B172" s="52"/>
      <c r="C172" s="52"/>
      <c r="D172" s="52"/>
      <c r="E172" s="86"/>
      <c r="F172" s="52"/>
      <c r="G172" s="89" t="str">
        <f aca="false">IF(F172="","",IFERROR(INDEX(Teachers!$B$5:$B$304,MATCH(F172,Teachers!$A$5:$A$304,0)),""))</f>
        <v/>
      </c>
      <c r="H172" s="52"/>
      <c r="I172" s="89" t="str">
        <f aca="false">IF(A172="","",A172&amp;"|"&amp;B172&amp;"|"&amp;C172&amp;"|"&amp;D172)</f>
        <v/>
      </c>
      <c r="J172" s="85" t="str">
        <f aca="false">IF(A172="","",IF(AND(F172&lt;&gt;"",COUNTIFS(Timetable!$F$5:$F$304,F172,Timetable!$C$5:$C$304,C172,Timetable!$D$5:$D$304,D172)&gt;1),"Teacher clash",IF(COUNTIF(Timetable!$I$5:$I$304,I172)&gt;1,"Class clash","OK")))</f>
        <v/>
      </c>
    </row>
    <row r="173" customFormat="false" ht="19.5" hidden="false" customHeight="true" outlineLevel="0" collapsed="false">
      <c r="A173" s="52"/>
      <c r="B173" s="52"/>
      <c r="C173" s="52"/>
      <c r="D173" s="52"/>
      <c r="E173" s="86"/>
      <c r="F173" s="52"/>
      <c r="G173" s="89" t="str">
        <f aca="false">IF(F173="","",IFERROR(INDEX(Teachers!$B$5:$B$304,MATCH(F173,Teachers!$A$5:$A$304,0)),""))</f>
        <v/>
      </c>
      <c r="H173" s="52"/>
      <c r="I173" s="89" t="str">
        <f aca="false">IF(A173="","",A173&amp;"|"&amp;B173&amp;"|"&amp;C173&amp;"|"&amp;D173)</f>
        <v/>
      </c>
      <c r="J173" s="85" t="str">
        <f aca="false">IF(A173="","",IF(AND(F173&lt;&gt;"",COUNTIFS(Timetable!$F$5:$F$304,F173,Timetable!$C$5:$C$304,C173,Timetable!$D$5:$D$304,D173)&gt;1),"Teacher clash",IF(COUNTIF(Timetable!$I$5:$I$304,I173)&gt;1,"Class clash","OK")))</f>
        <v/>
      </c>
    </row>
    <row r="174" customFormat="false" ht="19.5" hidden="false" customHeight="true" outlineLevel="0" collapsed="false">
      <c r="A174" s="52"/>
      <c r="B174" s="52"/>
      <c r="C174" s="52"/>
      <c r="D174" s="52"/>
      <c r="E174" s="86"/>
      <c r="F174" s="52"/>
      <c r="G174" s="89" t="str">
        <f aca="false">IF(F174="","",IFERROR(INDEX(Teachers!$B$5:$B$304,MATCH(F174,Teachers!$A$5:$A$304,0)),""))</f>
        <v/>
      </c>
      <c r="H174" s="52"/>
      <c r="I174" s="89" t="str">
        <f aca="false">IF(A174="","",A174&amp;"|"&amp;B174&amp;"|"&amp;C174&amp;"|"&amp;D174)</f>
        <v/>
      </c>
      <c r="J174" s="85" t="str">
        <f aca="false">IF(A174="","",IF(AND(F174&lt;&gt;"",COUNTIFS(Timetable!$F$5:$F$304,F174,Timetable!$C$5:$C$304,C174,Timetable!$D$5:$D$304,D174)&gt;1),"Teacher clash",IF(COUNTIF(Timetable!$I$5:$I$304,I174)&gt;1,"Class clash","OK")))</f>
        <v/>
      </c>
    </row>
    <row r="175" customFormat="false" ht="19.5" hidden="false" customHeight="true" outlineLevel="0" collapsed="false">
      <c r="A175" s="52"/>
      <c r="B175" s="52"/>
      <c r="C175" s="52"/>
      <c r="D175" s="52"/>
      <c r="E175" s="86"/>
      <c r="F175" s="52"/>
      <c r="G175" s="89" t="str">
        <f aca="false">IF(F175="","",IFERROR(INDEX(Teachers!$B$5:$B$304,MATCH(F175,Teachers!$A$5:$A$304,0)),""))</f>
        <v/>
      </c>
      <c r="H175" s="52"/>
      <c r="I175" s="89" t="str">
        <f aca="false">IF(A175="","",A175&amp;"|"&amp;B175&amp;"|"&amp;C175&amp;"|"&amp;D175)</f>
        <v/>
      </c>
      <c r="J175" s="85" t="str">
        <f aca="false">IF(A175="","",IF(AND(F175&lt;&gt;"",COUNTIFS(Timetable!$F$5:$F$304,F175,Timetable!$C$5:$C$304,C175,Timetable!$D$5:$D$304,D175)&gt;1),"Teacher clash",IF(COUNTIF(Timetable!$I$5:$I$304,I175)&gt;1,"Class clash","OK")))</f>
        <v/>
      </c>
    </row>
    <row r="176" customFormat="false" ht="19.5" hidden="false" customHeight="true" outlineLevel="0" collapsed="false">
      <c r="A176" s="52"/>
      <c r="B176" s="52"/>
      <c r="C176" s="52"/>
      <c r="D176" s="52"/>
      <c r="E176" s="86"/>
      <c r="F176" s="52"/>
      <c r="G176" s="89" t="str">
        <f aca="false">IF(F176="","",IFERROR(INDEX(Teachers!$B$5:$B$304,MATCH(F176,Teachers!$A$5:$A$304,0)),""))</f>
        <v/>
      </c>
      <c r="H176" s="52"/>
      <c r="I176" s="89" t="str">
        <f aca="false">IF(A176="","",A176&amp;"|"&amp;B176&amp;"|"&amp;C176&amp;"|"&amp;D176)</f>
        <v/>
      </c>
      <c r="J176" s="85" t="str">
        <f aca="false">IF(A176="","",IF(AND(F176&lt;&gt;"",COUNTIFS(Timetable!$F$5:$F$304,F176,Timetable!$C$5:$C$304,C176,Timetable!$D$5:$D$304,D176)&gt;1),"Teacher clash",IF(COUNTIF(Timetable!$I$5:$I$304,I176)&gt;1,"Class clash","OK")))</f>
        <v/>
      </c>
    </row>
    <row r="177" customFormat="false" ht="19.5" hidden="false" customHeight="true" outlineLevel="0" collapsed="false">
      <c r="A177" s="52"/>
      <c r="B177" s="52"/>
      <c r="C177" s="52"/>
      <c r="D177" s="52"/>
      <c r="E177" s="86"/>
      <c r="F177" s="52"/>
      <c r="G177" s="89" t="str">
        <f aca="false">IF(F177="","",IFERROR(INDEX(Teachers!$B$5:$B$304,MATCH(F177,Teachers!$A$5:$A$304,0)),""))</f>
        <v/>
      </c>
      <c r="H177" s="52"/>
      <c r="I177" s="89" t="str">
        <f aca="false">IF(A177="","",A177&amp;"|"&amp;B177&amp;"|"&amp;C177&amp;"|"&amp;D177)</f>
        <v/>
      </c>
      <c r="J177" s="85" t="str">
        <f aca="false">IF(A177="","",IF(AND(F177&lt;&gt;"",COUNTIFS(Timetable!$F$5:$F$304,F177,Timetable!$C$5:$C$304,C177,Timetable!$D$5:$D$304,D177)&gt;1),"Teacher clash",IF(COUNTIF(Timetable!$I$5:$I$304,I177)&gt;1,"Class clash","OK")))</f>
        <v/>
      </c>
    </row>
    <row r="178" customFormat="false" ht="19.5" hidden="false" customHeight="true" outlineLevel="0" collapsed="false">
      <c r="A178" s="52"/>
      <c r="B178" s="52"/>
      <c r="C178" s="52"/>
      <c r="D178" s="52"/>
      <c r="E178" s="86"/>
      <c r="F178" s="52"/>
      <c r="G178" s="89" t="str">
        <f aca="false">IF(F178="","",IFERROR(INDEX(Teachers!$B$5:$B$304,MATCH(F178,Teachers!$A$5:$A$304,0)),""))</f>
        <v/>
      </c>
      <c r="H178" s="52"/>
      <c r="I178" s="89" t="str">
        <f aca="false">IF(A178="","",A178&amp;"|"&amp;B178&amp;"|"&amp;C178&amp;"|"&amp;D178)</f>
        <v/>
      </c>
      <c r="J178" s="85" t="str">
        <f aca="false">IF(A178="","",IF(AND(F178&lt;&gt;"",COUNTIFS(Timetable!$F$5:$F$304,F178,Timetable!$C$5:$C$304,C178,Timetable!$D$5:$D$304,D178)&gt;1),"Teacher clash",IF(COUNTIF(Timetable!$I$5:$I$304,I178)&gt;1,"Class clash","OK")))</f>
        <v/>
      </c>
    </row>
    <row r="179" customFormat="false" ht="19.5" hidden="false" customHeight="true" outlineLevel="0" collapsed="false">
      <c r="A179" s="52"/>
      <c r="B179" s="52"/>
      <c r="C179" s="52"/>
      <c r="D179" s="52"/>
      <c r="E179" s="86"/>
      <c r="F179" s="52"/>
      <c r="G179" s="89" t="str">
        <f aca="false">IF(F179="","",IFERROR(INDEX(Teachers!$B$5:$B$304,MATCH(F179,Teachers!$A$5:$A$304,0)),""))</f>
        <v/>
      </c>
      <c r="H179" s="52"/>
      <c r="I179" s="89" t="str">
        <f aca="false">IF(A179="","",A179&amp;"|"&amp;B179&amp;"|"&amp;C179&amp;"|"&amp;D179)</f>
        <v/>
      </c>
      <c r="J179" s="85" t="str">
        <f aca="false">IF(A179="","",IF(AND(F179&lt;&gt;"",COUNTIFS(Timetable!$F$5:$F$304,F179,Timetable!$C$5:$C$304,C179,Timetable!$D$5:$D$304,D179)&gt;1),"Teacher clash",IF(COUNTIF(Timetable!$I$5:$I$304,I179)&gt;1,"Class clash","OK")))</f>
        <v/>
      </c>
    </row>
    <row r="180" customFormat="false" ht="19.5" hidden="false" customHeight="true" outlineLevel="0" collapsed="false">
      <c r="A180" s="52"/>
      <c r="B180" s="52"/>
      <c r="C180" s="52"/>
      <c r="D180" s="52"/>
      <c r="E180" s="86"/>
      <c r="F180" s="52"/>
      <c r="G180" s="89" t="str">
        <f aca="false">IF(F180="","",IFERROR(INDEX(Teachers!$B$5:$B$304,MATCH(F180,Teachers!$A$5:$A$304,0)),""))</f>
        <v/>
      </c>
      <c r="H180" s="52"/>
      <c r="I180" s="89" t="str">
        <f aca="false">IF(A180="","",A180&amp;"|"&amp;B180&amp;"|"&amp;C180&amp;"|"&amp;D180)</f>
        <v/>
      </c>
      <c r="J180" s="85" t="str">
        <f aca="false">IF(A180="","",IF(AND(F180&lt;&gt;"",COUNTIFS(Timetable!$F$5:$F$304,F180,Timetable!$C$5:$C$304,C180,Timetable!$D$5:$D$304,D180)&gt;1),"Teacher clash",IF(COUNTIF(Timetable!$I$5:$I$304,I180)&gt;1,"Class clash","OK")))</f>
        <v/>
      </c>
    </row>
    <row r="181" customFormat="false" ht="19.5" hidden="false" customHeight="true" outlineLevel="0" collapsed="false">
      <c r="A181" s="52"/>
      <c r="B181" s="52"/>
      <c r="C181" s="52"/>
      <c r="D181" s="52"/>
      <c r="E181" s="86"/>
      <c r="F181" s="52"/>
      <c r="G181" s="89" t="str">
        <f aca="false">IF(F181="","",IFERROR(INDEX(Teachers!$B$5:$B$304,MATCH(F181,Teachers!$A$5:$A$304,0)),""))</f>
        <v/>
      </c>
      <c r="H181" s="52"/>
      <c r="I181" s="89" t="str">
        <f aca="false">IF(A181="","",A181&amp;"|"&amp;B181&amp;"|"&amp;C181&amp;"|"&amp;D181)</f>
        <v/>
      </c>
      <c r="J181" s="85" t="str">
        <f aca="false">IF(A181="","",IF(AND(F181&lt;&gt;"",COUNTIFS(Timetable!$F$5:$F$304,F181,Timetable!$C$5:$C$304,C181,Timetable!$D$5:$D$304,D181)&gt;1),"Teacher clash",IF(COUNTIF(Timetable!$I$5:$I$304,I181)&gt;1,"Class clash","OK")))</f>
        <v/>
      </c>
    </row>
    <row r="182" customFormat="false" ht="19.5" hidden="false" customHeight="true" outlineLevel="0" collapsed="false">
      <c r="A182" s="52"/>
      <c r="B182" s="52"/>
      <c r="C182" s="52"/>
      <c r="D182" s="52"/>
      <c r="E182" s="86"/>
      <c r="F182" s="52"/>
      <c r="G182" s="89" t="str">
        <f aca="false">IF(F182="","",IFERROR(INDEX(Teachers!$B$5:$B$304,MATCH(F182,Teachers!$A$5:$A$304,0)),""))</f>
        <v/>
      </c>
      <c r="H182" s="52"/>
      <c r="I182" s="89" t="str">
        <f aca="false">IF(A182="","",A182&amp;"|"&amp;B182&amp;"|"&amp;C182&amp;"|"&amp;D182)</f>
        <v/>
      </c>
      <c r="J182" s="85" t="str">
        <f aca="false">IF(A182="","",IF(AND(F182&lt;&gt;"",COUNTIFS(Timetable!$F$5:$F$304,F182,Timetable!$C$5:$C$304,C182,Timetable!$D$5:$D$304,D182)&gt;1),"Teacher clash",IF(COUNTIF(Timetable!$I$5:$I$304,I182)&gt;1,"Class clash","OK")))</f>
        <v/>
      </c>
    </row>
    <row r="183" customFormat="false" ht="19.5" hidden="false" customHeight="true" outlineLevel="0" collapsed="false">
      <c r="A183" s="52"/>
      <c r="B183" s="52"/>
      <c r="C183" s="52"/>
      <c r="D183" s="52"/>
      <c r="E183" s="86"/>
      <c r="F183" s="52"/>
      <c r="G183" s="89" t="str">
        <f aca="false">IF(F183="","",IFERROR(INDEX(Teachers!$B$5:$B$304,MATCH(F183,Teachers!$A$5:$A$304,0)),""))</f>
        <v/>
      </c>
      <c r="H183" s="52"/>
      <c r="I183" s="89" t="str">
        <f aca="false">IF(A183="","",A183&amp;"|"&amp;B183&amp;"|"&amp;C183&amp;"|"&amp;D183)</f>
        <v/>
      </c>
      <c r="J183" s="85" t="str">
        <f aca="false">IF(A183="","",IF(AND(F183&lt;&gt;"",COUNTIFS(Timetable!$F$5:$F$304,F183,Timetable!$C$5:$C$304,C183,Timetable!$D$5:$D$304,D183)&gt;1),"Teacher clash",IF(COUNTIF(Timetable!$I$5:$I$304,I183)&gt;1,"Class clash","OK")))</f>
        <v/>
      </c>
    </row>
    <row r="184" customFormat="false" ht="19.5" hidden="false" customHeight="true" outlineLevel="0" collapsed="false">
      <c r="A184" s="52"/>
      <c r="B184" s="52"/>
      <c r="C184" s="52"/>
      <c r="D184" s="52"/>
      <c r="E184" s="86"/>
      <c r="F184" s="52"/>
      <c r="G184" s="89" t="str">
        <f aca="false">IF(F184="","",IFERROR(INDEX(Teachers!$B$5:$B$304,MATCH(F184,Teachers!$A$5:$A$304,0)),""))</f>
        <v/>
      </c>
      <c r="H184" s="52"/>
      <c r="I184" s="89" t="str">
        <f aca="false">IF(A184="","",A184&amp;"|"&amp;B184&amp;"|"&amp;C184&amp;"|"&amp;D184)</f>
        <v/>
      </c>
      <c r="J184" s="85" t="str">
        <f aca="false">IF(A184="","",IF(AND(F184&lt;&gt;"",COUNTIFS(Timetable!$F$5:$F$304,F184,Timetable!$C$5:$C$304,C184,Timetable!$D$5:$D$304,D184)&gt;1),"Teacher clash",IF(COUNTIF(Timetable!$I$5:$I$304,I184)&gt;1,"Class clash","OK")))</f>
        <v/>
      </c>
    </row>
    <row r="185" customFormat="false" ht="19.5" hidden="false" customHeight="true" outlineLevel="0" collapsed="false">
      <c r="A185" s="52"/>
      <c r="B185" s="52"/>
      <c r="C185" s="52"/>
      <c r="D185" s="52"/>
      <c r="E185" s="86"/>
      <c r="F185" s="52"/>
      <c r="G185" s="89" t="str">
        <f aca="false">IF(F185="","",IFERROR(INDEX(Teachers!$B$5:$B$304,MATCH(F185,Teachers!$A$5:$A$304,0)),""))</f>
        <v/>
      </c>
      <c r="H185" s="52"/>
      <c r="I185" s="89" t="str">
        <f aca="false">IF(A185="","",A185&amp;"|"&amp;B185&amp;"|"&amp;C185&amp;"|"&amp;D185)</f>
        <v/>
      </c>
      <c r="J185" s="85" t="str">
        <f aca="false">IF(A185="","",IF(AND(F185&lt;&gt;"",COUNTIFS(Timetable!$F$5:$F$304,F185,Timetable!$C$5:$C$304,C185,Timetable!$D$5:$D$304,D185)&gt;1),"Teacher clash",IF(COUNTIF(Timetable!$I$5:$I$304,I185)&gt;1,"Class clash","OK")))</f>
        <v/>
      </c>
    </row>
    <row r="186" customFormat="false" ht="19.5" hidden="false" customHeight="true" outlineLevel="0" collapsed="false">
      <c r="A186" s="52"/>
      <c r="B186" s="52"/>
      <c r="C186" s="52"/>
      <c r="D186" s="52"/>
      <c r="E186" s="86"/>
      <c r="F186" s="52"/>
      <c r="G186" s="89" t="str">
        <f aca="false">IF(F186="","",IFERROR(INDEX(Teachers!$B$5:$B$304,MATCH(F186,Teachers!$A$5:$A$304,0)),""))</f>
        <v/>
      </c>
      <c r="H186" s="52"/>
      <c r="I186" s="89" t="str">
        <f aca="false">IF(A186="","",A186&amp;"|"&amp;B186&amp;"|"&amp;C186&amp;"|"&amp;D186)</f>
        <v/>
      </c>
      <c r="J186" s="85" t="str">
        <f aca="false">IF(A186="","",IF(AND(F186&lt;&gt;"",COUNTIFS(Timetable!$F$5:$F$304,F186,Timetable!$C$5:$C$304,C186,Timetable!$D$5:$D$304,D186)&gt;1),"Teacher clash",IF(COUNTIF(Timetable!$I$5:$I$304,I186)&gt;1,"Class clash","OK")))</f>
        <v/>
      </c>
    </row>
    <row r="187" customFormat="false" ht="19.5" hidden="false" customHeight="true" outlineLevel="0" collapsed="false">
      <c r="A187" s="52"/>
      <c r="B187" s="52"/>
      <c r="C187" s="52"/>
      <c r="D187" s="52"/>
      <c r="E187" s="86"/>
      <c r="F187" s="52"/>
      <c r="G187" s="89" t="str">
        <f aca="false">IF(F187="","",IFERROR(INDEX(Teachers!$B$5:$B$304,MATCH(F187,Teachers!$A$5:$A$304,0)),""))</f>
        <v/>
      </c>
      <c r="H187" s="52"/>
      <c r="I187" s="89" t="str">
        <f aca="false">IF(A187="","",A187&amp;"|"&amp;B187&amp;"|"&amp;C187&amp;"|"&amp;D187)</f>
        <v/>
      </c>
      <c r="J187" s="85" t="str">
        <f aca="false">IF(A187="","",IF(AND(F187&lt;&gt;"",COUNTIFS(Timetable!$F$5:$F$304,F187,Timetable!$C$5:$C$304,C187,Timetable!$D$5:$D$304,D187)&gt;1),"Teacher clash",IF(COUNTIF(Timetable!$I$5:$I$304,I187)&gt;1,"Class clash","OK")))</f>
        <v/>
      </c>
    </row>
    <row r="188" customFormat="false" ht="19.5" hidden="false" customHeight="true" outlineLevel="0" collapsed="false">
      <c r="A188" s="52"/>
      <c r="B188" s="52"/>
      <c r="C188" s="52"/>
      <c r="D188" s="52"/>
      <c r="E188" s="86"/>
      <c r="F188" s="52"/>
      <c r="G188" s="89" t="str">
        <f aca="false">IF(F188="","",IFERROR(INDEX(Teachers!$B$5:$B$304,MATCH(F188,Teachers!$A$5:$A$304,0)),""))</f>
        <v/>
      </c>
      <c r="H188" s="52"/>
      <c r="I188" s="89" t="str">
        <f aca="false">IF(A188="","",A188&amp;"|"&amp;B188&amp;"|"&amp;C188&amp;"|"&amp;D188)</f>
        <v/>
      </c>
      <c r="J188" s="85" t="str">
        <f aca="false">IF(A188="","",IF(AND(F188&lt;&gt;"",COUNTIFS(Timetable!$F$5:$F$304,F188,Timetable!$C$5:$C$304,C188,Timetable!$D$5:$D$304,D188)&gt;1),"Teacher clash",IF(COUNTIF(Timetable!$I$5:$I$304,I188)&gt;1,"Class clash","OK")))</f>
        <v/>
      </c>
    </row>
    <row r="189" customFormat="false" ht="19.5" hidden="false" customHeight="true" outlineLevel="0" collapsed="false">
      <c r="A189" s="52"/>
      <c r="B189" s="52"/>
      <c r="C189" s="52"/>
      <c r="D189" s="52"/>
      <c r="E189" s="86"/>
      <c r="F189" s="52"/>
      <c r="G189" s="89" t="str">
        <f aca="false">IF(F189="","",IFERROR(INDEX(Teachers!$B$5:$B$304,MATCH(F189,Teachers!$A$5:$A$304,0)),""))</f>
        <v/>
      </c>
      <c r="H189" s="52"/>
      <c r="I189" s="89" t="str">
        <f aca="false">IF(A189="","",A189&amp;"|"&amp;B189&amp;"|"&amp;C189&amp;"|"&amp;D189)</f>
        <v/>
      </c>
      <c r="J189" s="85" t="str">
        <f aca="false">IF(A189="","",IF(AND(F189&lt;&gt;"",COUNTIFS(Timetable!$F$5:$F$304,F189,Timetable!$C$5:$C$304,C189,Timetable!$D$5:$D$304,D189)&gt;1),"Teacher clash",IF(COUNTIF(Timetable!$I$5:$I$304,I189)&gt;1,"Class clash","OK")))</f>
        <v/>
      </c>
    </row>
    <row r="190" customFormat="false" ht="19.5" hidden="false" customHeight="true" outlineLevel="0" collapsed="false">
      <c r="A190" s="52"/>
      <c r="B190" s="52"/>
      <c r="C190" s="52"/>
      <c r="D190" s="52"/>
      <c r="E190" s="86"/>
      <c r="F190" s="52"/>
      <c r="G190" s="89" t="str">
        <f aca="false">IF(F190="","",IFERROR(INDEX(Teachers!$B$5:$B$304,MATCH(F190,Teachers!$A$5:$A$304,0)),""))</f>
        <v/>
      </c>
      <c r="H190" s="52"/>
      <c r="I190" s="89" t="str">
        <f aca="false">IF(A190="","",A190&amp;"|"&amp;B190&amp;"|"&amp;C190&amp;"|"&amp;D190)</f>
        <v/>
      </c>
      <c r="J190" s="85" t="str">
        <f aca="false">IF(A190="","",IF(AND(F190&lt;&gt;"",COUNTIFS(Timetable!$F$5:$F$304,F190,Timetable!$C$5:$C$304,C190,Timetable!$D$5:$D$304,D190)&gt;1),"Teacher clash",IF(COUNTIF(Timetable!$I$5:$I$304,I190)&gt;1,"Class clash","OK")))</f>
        <v/>
      </c>
    </row>
    <row r="191" customFormat="false" ht="19.5" hidden="false" customHeight="true" outlineLevel="0" collapsed="false">
      <c r="A191" s="52"/>
      <c r="B191" s="52"/>
      <c r="C191" s="52"/>
      <c r="D191" s="52"/>
      <c r="E191" s="86"/>
      <c r="F191" s="52"/>
      <c r="G191" s="89" t="str">
        <f aca="false">IF(F191="","",IFERROR(INDEX(Teachers!$B$5:$B$304,MATCH(F191,Teachers!$A$5:$A$304,0)),""))</f>
        <v/>
      </c>
      <c r="H191" s="52"/>
      <c r="I191" s="89" t="str">
        <f aca="false">IF(A191="","",A191&amp;"|"&amp;B191&amp;"|"&amp;C191&amp;"|"&amp;D191)</f>
        <v/>
      </c>
      <c r="J191" s="85" t="str">
        <f aca="false">IF(A191="","",IF(AND(F191&lt;&gt;"",COUNTIFS(Timetable!$F$5:$F$304,F191,Timetable!$C$5:$C$304,C191,Timetable!$D$5:$D$304,D191)&gt;1),"Teacher clash",IF(COUNTIF(Timetable!$I$5:$I$304,I191)&gt;1,"Class clash","OK")))</f>
        <v/>
      </c>
    </row>
    <row r="192" customFormat="false" ht="19.5" hidden="false" customHeight="true" outlineLevel="0" collapsed="false">
      <c r="A192" s="52"/>
      <c r="B192" s="52"/>
      <c r="C192" s="52"/>
      <c r="D192" s="52"/>
      <c r="E192" s="86"/>
      <c r="F192" s="52"/>
      <c r="G192" s="89" t="str">
        <f aca="false">IF(F192="","",IFERROR(INDEX(Teachers!$B$5:$B$304,MATCH(F192,Teachers!$A$5:$A$304,0)),""))</f>
        <v/>
      </c>
      <c r="H192" s="52"/>
      <c r="I192" s="89" t="str">
        <f aca="false">IF(A192="","",A192&amp;"|"&amp;B192&amp;"|"&amp;C192&amp;"|"&amp;D192)</f>
        <v/>
      </c>
      <c r="J192" s="85" t="str">
        <f aca="false">IF(A192="","",IF(AND(F192&lt;&gt;"",COUNTIFS(Timetable!$F$5:$F$304,F192,Timetable!$C$5:$C$304,C192,Timetable!$D$5:$D$304,D192)&gt;1),"Teacher clash",IF(COUNTIF(Timetable!$I$5:$I$304,I192)&gt;1,"Class clash","OK")))</f>
        <v/>
      </c>
    </row>
    <row r="193" customFormat="false" ht="19.5" hidden="false" customHeight="true" outlineLevel="0" collapsed="false">
      <c r="A193" s="52"/>
      <c r="B193" s="52"/>
      <c r="C193" s="52"/>
      <c r="D193" s="52"/>
      <c r="E193" s="86"/>
      <c r="F193" s="52"/>
      <c r="G193" s="89" t="str">
        <f aca="false">IF(F193="","",IFERROR(INDEX(Teachers!$B$5:$B$304,MATCH(F193,Teachers!$A$5:$A$304,0)),""))</f>
        <v/>
      </c>
      <c r="H193" s="52"/>
      <c r="I193" s="89" t="str">
        <f aca="false">IF(A193="","",A193&amp;"|"&amp;B193&amp;"|"&amp;C193&amp;"|"&amp;D193)</f>
        <v/>
      </c>
      <c r="J193" s="85" t="str">
        <f aca="false">IF(A193="","",IF(AND(F193&lt;&gt;"",COUNTIFS(Timetable!$F$5:$F$304,F193,Timetable!$C$5:$C$304,C193,Timetable!$D$5:$D$304,D193)&gt;1),"Teacher clash",IF(COUNTIF(Timetable!$I$5:$I$304,I193)&gt;1,"Class clash","OK")))</f>
        <v/>
      </c>
    </row>
    <row r="194" customFormat="false" ht="19.5" hidden="false" customHeight="true" outlineLevel="0" collapsed="false">
      <c r="A194" s="52"/>
      <c r="B194" s="52"/>
      <c r="C194" s="52"/>
      <c r="D194" s="52"/>
      <c r="E194" s="86"/>
      <c r="F194" s="52"/>
      <c r="G194" s="89" t="str">
        <f aca="false">IF(F194="","",IFERROR(INDEX(Teachers!$B$5:$B$304,MATCH(F194,Teachers!$A$5:$A$304,0)),""))</f>
        <v/>
      </c>
      <c r="H194" s="52"/>
      <c r="I194" s="89" t="str">
        <f aca="false">IF(A194="","",A194&amp;"|"&amp;B194&amp;"|"&amp;C194&amp;"|"&amp;D194)</f>
        <v/>
      </c>
      <c r="J194" s="85" t="str">
        <f aca="false">IF(A194="","",IF(AND(F194&lt;&gt;"",COUNTIFS(Timetable!$F$5:$F$304,F194,Timetable!$C$5:$C$304,C194,Timetable!$D$5:$D$304,D194)&gt;1),"Teacher clash",IF(COUNTIF(Timetable!$I$5:$I$304,I194)&gt;1,"Class clash","OK")))</f>
        <v/>
      </c>
    </row>
    <row r="195" customFormat="false" ht="19.5" hidden="false" customHeight="true" outlineLevel="0" collapsed="false">
      <c r="A195" s="52"/>
      <c r="B195" s="52"/>
      <c r="C195" s="52"/>
      <c r="D195" s="52"/>
      <c r="E195" s="86"/>
      <c r="F195" s="52"/>
      <c r="G195" s="89" t="str">
        <f aca="false">IF(F195="","",IFERROR(INDEX(Teachers!$B$5:$B$304,MATCH(F195,Teachers!$A$5:$A$304,0)),""))</f>
        <v/>
      </c>
      <c r="H195" s="52"/>
      <c r="I195" s="89" t="str">
        <f aca="false">IF(A195="","",A195&amp;"|"&amp;B195&amp;"|"&amp;C195&amp;"|"&amp;D195)</f>
        <v/>
      </c>
      <c r="J195" s="85" t="str">
        <f aca="false">IF(A195="","",IF(AND(F195&lt;&gt;"",COUNTIFS(Timetable!$F$5:$F$304,F195,Timetable!$C$5:$C$304,C195,Timetable!$D$5:$D$304,D195)&gt;1),"Teacher clash",IF(COUNTIF(Timetable!$I$5:$I$304,I195)&gt;1,"Class clash","OK")))</f>
        <v/>
      </c>
    </row>
    <row r="196" customFormat="false" ht="19.5" hidden="false" customHeight="true" outlineLevel="0" collapsed="false">
      <c r="A196" s="52"/>
      <c r="B196" s="52"/>
      <c r="C196" s="52"/>
      <c r="D196" s="52"/>
      <c r="E196" s="86"/>
      <c r="F196" s="52"/>
      <c r="G196" s="89" t="str">
        <f aca="false">IF(F196="","",IFERROR(INDEX(Teachers!$B$5:$B$304,MATCH(F196,Teachers!$A$5:$A$304,0)),""))</f>
        <v/>
      </c>
      <c r="H196" s="52"/>
      <c r="I196" s="89" t="str">
        <f aca="false">IF(A196="","",A196&amp;"|"&amp;B196&amp;"|"&amp;C196&amp;"|"&amp;D196)</f>
        <v/>
      </c>
      <c r="J196" s="85" t="str">
        <f aca="false">IF(A196="","",IF(AND(F196&lt;&gt;"",COUNTIFS(Timetable!$F$5:$F$304,F196,Timetable!$C$5:$C$304,C196,Timetable!$D$5:$D$304,D196)&gt;1),"Teacher clash",IF(COUNTIF(Timetable!$I$5:$I$304,I196)&gt;1,"Class clash","OK")))</f>
        <v/>
      </c>
    </row>
    <row r="197" customFormat="false" ht="19.5" hidden="false" customHeight="true" outlineLevel="0" collapsed="false">
      <c r="A197" s="52"/>
      <c r="B197" s="52"/>
      <c r="C197" s="52"/>
      <c r="D197" s="52"/>
      <c r="E197" s="86"/>
      <c r="F197" s="52"/>
      <c r="G197" s="89" t="str">
        <f aca="false">IF(F197="","",IFERROR(INDEX(Teachers!$B$5:$B$304,MATCH(F197,Teachers!$A$5:$A$304,0)),""))</f>
        <v/>
      </c>
      <c r="H197" s="52"/>
      <c r="I197" s="89" t="str">
        <f aca="false">IF(A197="","",A197&amp;"|"&amp;B197&amp;"|"&amp;C197&amp;"|"&amp;D197)</f>
        <v/>
      </c>
      <c r="J197" s="85" t="str">
        <f aca="false">IF(A197="","",IF(AND(F197&lt;&gt;"",COUNTIFS(Timetable!$F$5:$F$304,F197,Timetable!$C$5:$C$304,C197,Timetable!$D$5:$D$304,D197)&gt;1),"Teacher clash",IF(COUNTIF(Timetable!$I$5:$I$304,I197)&gt;1,"Class clash","OK")))</f>
        <v/>
      </c>
    </row>
    <row r="198" customFormat="false" ht="19.5" hidden="false" customHeight="true" outlineLevel="0" collapsed="false">
      <c r="A198" s="52"/>
      <c r="B198" s="52"/>
      <c r="C198" s="52"/>
      <c r="D198" s="52"/>
      <c r="E198" s="86"/>
      <c r="F198" s="52"/>
      <c r="G198" s="89" t="str">
        <f aca="false">IF(F198="","",IFERROR(INDEX(Teachers!$B$5:$B$304,MATCH(F198,Teachers!$A$5:$A$304,0)),""))</f>
        <v/>
      </c>
      <c r="H198" s="52"/>
      <c r="I198" s="89" t="str">
        <f aca="false">IF(A198="","",A198&amp;"|"&amp;B198&amp;"|"&amp;C198&amp;"|"&amp;D198)</f>
        <v/>
      </c>
      <c r="J198" s="85" t="str">
        <f aca="false">IF(A198="","",IF(AND(F198&lt;&gt;"",COUNTIFS(Timetable!$F$5:$F$304,F198,Timetable!$C$5:$C$304,C198,Timetable!$D$5:$D$304,D198)&gt;1),"Teacher clash",IF(COUNTIF(Timetable!$I$5:$I$304,I198)&gt;1,"Class clash","OK")))</f>
        <v/>
      </c>
    </row>
    <row r="199" customFormat="false" ht="19.5" hidden="false" customHeight="true" outlineLevel="0" collapsed="false">
      <c r="A199" s="52"/>
      <c r="B199" s="52"/>
      <c r="C199" s="52"/>
      <c r="D199" s="52"/>
      <c r="E199" s="86"/>
      <c r="F199" s="52"/>
      <c r="G199" s="89" t="str">
        <f aca="false">IF(F199="","",IFERROR(INDEX(Teachers!$B$5:$B$304,MATCH(F199,Teachers!$A$5:$A$304,0)),""))</f>
        <v/>
      </c>
      <c r="H199" s="52"/>
      <c r="I199" s="89" t="str">
        <f aca="false">IF(A199="","",A199&amp;"|"&amp;B199&amp;"|"&amp;C199&amp;"|"&amp;D199)</f>
        <v/>
      </c>
      <c r="J199" s="85" t="str">
        <f aca="false">IF(A199="","",IF(AND(F199&lt;&gt;"",COUNTIFS(Timetable!$F$5:$F$304,F199,Timetable!$C$5:$C$304,C199,Timetable!$D$5:$D$304,D199)&gt;1),"Teacher clash",IF(COUNTIF(Timetable!$I$5:$I$304,I199)&gt;1,"Class clash","OK")))</f>
        <v/>
      </c>
    </row>
    <row r="200" customFormat="false" ht="19.5" hidden="false" customHeight="true" outlineLevel="0" collapsed="false">
      <c r="A200" s="52"/>
      <c r="B200" s="52"/>
      <c r="C200" s="52"/>
      <c r="D200" s="52"/>
      <c r="E200" s="86"/>
      <c r="F200" s="52"/>
      <c r="G200" s="89" t="str">
        <f aca="false">IF(F200="","",IFERROR(INDEX(Teachers!$B$5:$B$304,MATCH(F200,Teachers!$A$5:$A$304,0)),""))</f>
        <v/>
      </c>
      <c r="H200" s="52"/>
      <c r="I200" s="89" t="str">
        <f aca="false">IF(A200="","",A200&amp;"|"&amp;B200&amp;"|"&amp;C200&amp;"|"&amp;D200)</f>
        <v/>
      </c>
      <c r="J200" s="85" t="str">
        <f aca="false">IF(A200="","",IF(AND(F200&lt;&gt;"",COUNTIFS(Timetable!$F$5:$F$304,F200,Timetable!$C$5:$C$304,C200,Timetable!$D$5:$D$304,D200)&gt;1),"Teacher clash",IF(COUNTIF(Timetable!$I$5:$I$304,I200)&gt;1,"Class clash","OK")))</f>
        <v/>
      </c>
    </row>
    <row r="201" customFormat="false" ht="19.5" hidden="false" customHeight="true" outlineLevel="0" collapsed="false">
      <c r="A201" s="52"/>
      <c r="B201" s="52"/>
      <c r="C201" s="52"/>
      <c r="D201" s="52"/>
      <c r="E201" s="86"/>
      <c r="F201" s="52"/>
      <c r="G201" s="89" t="str">
        <f aca="false">IF(F201="","",IFERROR(INDEX(Teachers!$B$5:$B$304,MATCH(F201,Teachers!$A$5:$A$304,0)),""))</f>
        <v/>
      </c>
      <c r="H201" s="52"/>
      <c r="I201" s="89" t="str">
        <f aca="false">IF(A201="","",A201&amp;"|"&amp;B201&amp;"|"&amp;C201&amp;"|"&amp;D201)</f>
        <v/>
      </c>
      <c r="J201" s="85" t="str">
        <f aca="false">IF(A201="","",IF(AND(F201&lt;&gt;"",COUNTIFS(Timetable!$F$5:$F$304,F201,Timetable!$C$5:$C$304,C201,Timetable!$D$5:$D$304,D201)&gt;1),"Teacher clash",IF(COUNTIF(Timetable!$I$5:$I$304,I201)&gt;1,"Class clash","OK")))</f>
        <v/>
      </c>
    </row>
    <row r="202" customFormat="false" ht="19.5" hidden="false" customHeight="true" outlineLevel="0" collapsed="false">
      <c r="A202" s="52"/>
      <c r="B202" s="52"/>
      <c r="C202" s="52"/>
      <c r="D202" s="52"/>
      <c r="E202" s="86"/>
      <c r="F202" s="52"/>
      <c r="G202" s="89" t="str">
        <f aca="false">IF(F202="","",IFERROR(INDEX(Teachers!$B$5:$B$304,MATCH(F202,Teachers!$A$5:$A$304,0)),""))</f>
        <v/>
      </c>
      <c r="H202" s="52"/>
      <c r="I202" s="89" t="str">
        <f aca="false">IF(A202="","",A202&amp;"|"&amp;B202&amp;"|"&amp;C202&amp;"|"&amp;D202)</f>
        <v/>
      </c>
      <c r="J202" s="85" t="str">
        <f aca="false">IF(A202="","",IF(AND(F202&lt;&gt;"",COUNTIFS(Timetable!$F$5:$F$304,F202,Timetable!$C$5:$C$304,C202,Timetable!$D$5:$D$304,D202)&gt;1),"Teacher clash",IF(COUNTIF(Timetable!$I$5:$I$304,I202)&gt;1,"Class clash","OK")))</f>
        <v/>
      </c>
    </row>
    <row r="203" customFormat="false" ht="19.5" hidden="false" customHeight="true" outlineLevel="0" collapsed="false">
      <c r="A203" s="52"/>
      <c r="B203" s="52"/>
      <c r="C203" s="52"/>
      <c r="D203" s="52"/>
      <c r="E203" s="86"/>
      <c r="F203" s="52"/>
      <c r="G203" s="89" t="str">
        <f aca="false">IF(F203="","",IFERROR(INDEX(Teachers!$B$5:$B$304,MATCH(F203,Teachers!$A$5:$A$304,0)),""))</f>
        <v/>
      </c>
      <c r="H203" s="52"/>
      <c r="I203" s="89" t="str">
        <f aca="false">IF(A203="","",A203&amp;"|"&amp;B203&amp;"|"&amp;C203&amp;"|"&amp;D203)</f>
        <v/>
      </c>
      <c r="J203" s="85" t="str">
        <f aca="false">IF(A203="","",IF(AND(F203&lt;&gt;"",COUNTIFS(Timetable!$F$5:$F$304,F203,Timetable!$C$5:$C$304,C203,Timetable!$D$5:$D$304,D203)&gt;1),"Teacher clash",IF(COUNTIF(Timetable!$I$5:$I$304,I203)&gt;1,"Class clash","OK")))</f>
        <v/>
      </c>
    </row>
    <row r="204" customFormat="false" ht="19.5" hidden="false" customHeight="true" outlineLevel="0" collapsed="false">
      <c r="A204" s="52"/>
      <c r="B204" s="52"/>
      <c r="C204" s="52"/>
      <c r="D204" s="52"/>
      <c r="E204" s="86"/>
      <c r="F204" s="52"/>
      <c r="G204" s="89" t="str">
        <f aca="false">IF(F204="","",IFERROR(INDEX(Teachers!$B$5:$B$304,MATCH(F204,Teachers!$A$5:$A$304,0)),""))</f>
        <v/>
      </c>
      <c r="H204" s="52"/>
      <c r="I204" s="89" t="str">
        <f aca="false">IF(A204="","",A204&amp;"|"&amp;B204&amp;"|"&amp;C204&amp;"|"&amp;D204)</f>
        <v/>
      </c>
      <c r="J204" s="85" t="str">
        <f aca="false">IF(A204="","",IF(AND(F204&lt;&gt;"",COUNTIFS(Timetable!$F$5:$F$304,F204,Timetable!$C$5:$C$304,C204,Timetable!$D$5:$D$304,D204)&gt;1),"Teacher clash",IF(COUNTIF(Timetable!$I$5:$I$304,I204)&gt;1,"Class clash","OK")))</f>
        <v/>
      </c>
    </row>
    <row r="205" customFormat="false" ht="19.5" hidden="false" customHeight="true" outlineLevel="0" collapsed="false">
      <c r="A205" s="52"/>
      <c r="B205" s="52"/>
      <c r="C205" s="52"/>
      <c r="D205" s="52"/>
      <c r="E205" s="86"/>
      <c r="F205" s="52"/>
      <c r="G205" s="89" t="str">
        <f aca="false">IF(F205="","",IFERROR(INDEX(Teachers!$B$5:$B$304,MATCH(F205,Teachers!$A$5:$A$304,0)),""))</f>
        <v/>
      </c>
      <c r="H205" s="52"/>
      <c r="I205" s="89" t="str">
        <f aca="false">IF(A205="","",A205&amp;"|"&amp;B205&amp;"|"&amp;C205&amp;"|"&amp;D205)</f>
        <v/>
      </c>
      <c r="J205" s="85" t="str">
        <f aca="false">IF(A205="","",IF(AND(F205&lt;&gt;"",COUNTIFS(Timetable!$F$5:$F$304,F205,Timetable!$C$5:$C$304,C205,Timetable!$D$5:$D$304,D205)&gt;1),"Teacher clash",IF(COUNTIF(Timetable!$I$5:$I$304,I205)&gt;1,"Class clash","OK")))</f>
        <v/>
      </c>
    </row>
    <row r="206" customFormat="false" ht="19.5" hidden="false" customHeight="true" outlineLevel="0" collapsed="false">
      <c r="A206" s="52"/>
      <c r="B206" s="52"/>
      <c r="C206" s="52"/>
      <c r="D206" s="52"/>
      <c r="E206" s="86"/>
      <c r="F206" s="52"/>
      <c r="G206" s="89" t="str">
        <f aca="false">IF(F206="","",IFERROR(INDEX(Teachers!$B$5:$B$304,MATCH(F206,Teachers!$A$5:$A$304,0)),""))</f>
        <v/>
      </c>
      <c r="H206" s="52"/>
      <c r="I206" s="89" t="str">
        <f aca="false">IF(A206="","",A206&amp;"|"&amp;B206&amp;"|"&amp;C206&amp;"|"&amp;D206)</f>
        <v/>
      </c>
      <c r="J206" s="85" t="str">
        <f aca="false">IF(A206="","",IF(AND(F206&lt;&gt;"",COUNTIFS(Timetable!$F$5:$F$304,F206,Timetable!$C$5:$C$304,C206,Timetable!$D$5:$D$304,D206)&gt;1),"Teacher clash",IF(COUNTIF(Timetable!$I$5:$I$304,I206)&gt;1,"Class clash","OK")))</f>
        <v/>
      </c>
    </row>
    <row r="207" customFormat="false" ht="19.5" hidden="false" customHeight="true" outlineLevel="0" collapsed="false">
      <c r="A207" s="52"/>
      <c r="B207" s="52"/>
      <c r="C207" s="52"/>
      <c r="D207" s="52"/>
      <c r="E207" s="86"/>
      <c r="F207" s="52"/>
      <c r="G207" s="89" t="str">
        <f aca="false">IF(F207="","",IFERROR(INDEX(Teachers!$B$5:$B$304,MATCH(F207,Teachers!$A$5:$A$304,0)),""))</f>
        <v/>
      </c>
      <c r="H207" s="52"/>
      <c r="I207" s="89" t="str">
        <f aca="false">IF(A207="","",A207&amp;"|"&amp;B207&amp;"|"&amp;C207&amp;"|"&amp;D207)</f>
        <v/>
      </c>
      <c r="J207" s="85" t="str">
        <f aca="false">IF(A207="","",IF(AND(F207&lt;&gt;"",COUNTIFS(Timetable!$F$5:$F$304,F207,Timetable!$C$5:$C$304,C207,Timetable!$D$5:$D$304,D207)&gt;1),"Teacher clash",IF(COUNTIF(Timetable!$I$5:$I$304,I207)&gt;1,"Class clash","OK")))</f>
        <v/>
      </c>
    </row>
    <row r="208" customFormat="false" ht="19.5" hidden="false" customHeight="true" outlineLevel="0" collapsed="false">
      <c r="A208" s="52"/>
      <c r="B208" s="52"/>
      <c r="C208" s="52"/>
      <c r="D208" s="52"/>
      <c r="E208" s="86"/>
      <c r="F208" s="52"/>
      <c r="G208" s="89" t="str">
        <f aca="false">IF(F208="","",IFERROR(INDEX(Teachers!$B$5:$B$304,MATCH(F208,Teachers!$A$5:$A$304,0)),""))</f>
        <v/>
      </c>
      <c r="H208" s="52"/>
      <c r="I208" s="89" t="str">
        <f aca="false">IF(A208="","",A208&amp;"|"&amp;B208&amp;"|"&amp;C208&amp;"|"&amp;D208)</f>
        <v/>
      </c>
      <c r="J208" s="85" t="str">
        <f aca="false">IF(A208="","",IF(AND(F208&lt;&gt;"",COUNTIFS(Timetable!$F$5:$F$304,F208,Timetable!$C$5:$C$304,C208,Timetable!$D$5:$D$304,D208)&gt;1),"Teacher clash",IF(COUNTIF(Timetable!$I$5:$I$304,I208)&gt;1,"Class clash","OK")))</f>
        <v/>
      </c>
    </row>
    <row r="209" customFormat="false" ht="19.5" hidden="false" customHeight="true" outlineLevel="0" collapsed="false">
      <c r="A209" s="52"/>
      <c r="B209" s="52"/>
      <c r="C209" s="52"/>
      <c r="D209" s="52"/>
      <c r="E209" s="86"/>
      <c r="F209" s="52"/>
      <c r="G209" s="89" t="str">
        <f aca="false">IF(F209="","",IFERROR(INDEX(Teachers!$B$5:$B$304,MATCH(F209,Teachers!$A$5:$A$304,0)),""))</f>
        <v/>
      </c>
      <c r="H209" s="52"/>
      <c r="I209" s="89" t="str">
        <f aca="false">IF(A209="","",A209&amp;"|"&amp;B209&amp;"|"&amp;C209&amp;"|"&amp;D209)</f>
        <v/>
      </c>
      <c r="J209" s="85" t="str">
        <f aca="false">IF(A209="","",IF(AND(F209&lt;&gt;"",COUNTIFS(Timetable!$F$5:$F$304,F209,Timetable!$C$5:$C$304,C209,Timetable!$D$5:$D$304,D209)&gt;1),"Teacher clash",IF(COUNTIF(Timetable!$I$5:$I$304,I209)&gt;1,"Class clash","OK")))</f>
        <v/>
      </c>
    </row>
    <row r="210" customFormat="false" ht="19.5" hidden="false" customHeight="true" outlineLevel="0" collapsed="false">
      <c r="A210" s="52"/>
      <c r="B210" s="52"/>
      <c r="C210" s="52"/>
      <c r="D210" s="52"/>
      <c r="E210" s="86"/>
      <c r="F210" s="52"/>
      <c r="G210" s="89" t="str">
        <f aca="false">IF(F210="","",IFERROR(INDEX(Teachers!$B$5:$B$304,MATCH(F210,Teachers!$A$5:$A$304,0)),""))</f>
        <v/>
      </c>
      <c r="H210" s="52"/>
      <c r="I210" s="89" t="str">
        <f aca="false">IF(A210="","",A210&amp;"|"&amp;B210&amp;"|"&amp;C210&amp;"|"&amp;D210)</f>
        <v/>
      </c>
      <c r="J210" s="85" t="str">
        <f aca="false">IF(A210="","",IF(AND(F210&lt;&gt;"",COUNTIFS(Timetable!$F$5:$F$304,F210,Timetable!$C$5:$C$304,C210,Timetable!$D$5:$D$304,D210)&gt;1),"Teacher clash",IF(COUNTIF(Timetable!$I$5:$I$304,I210)&gt;1,"Class clash","OK")))</f>
        <v/>
      </c>
    </row>
    <row r="211" customFormat="false" ht="19.5" hidden="false" customHeight="true" outlineLevel="0" collapsed="false">
      <c r="A211" s="52"/>
      <c r="B211" s="52"/>
      <c r="C211" s="52"/>
      <c r="D211" s="52"/>
      <c r="E211" s="86"/>
      <c r="F211" s="52"/>
      <c r="G211" s="89" t="str">
        <f aca="false">IF(F211="","",IFERROR(INDEX(Teachers!$B$5:$B$304,MATCH(F211,Teachers!$A$5:$A$304,0)),""))</f>
        <v/>
      </c>
      <c r="H211" s="52"/>
      <c r="I211" s="89" t="str">
        <f aca="false">IF(A211="","",A211&amp;"|"&amp;B211&amp;"|"&amp;C211&amp;"|"&amp;D211)</f>
        <v/>
      </c>
      <c r="J211" s="85" t="str">
        <f aca="false">IF(A211="","",IF(AND(F211&lt;&gt;"",COUNTIFS(Timetable!$F$5:$F$304,F211,Timetable!$C$5:$C$304,C211,Timetable!$D$5:$D$304,D211)&gt;1),"Teacher clash",IF(COUNTIF(Timetable!$I$5:$I$304,I211)&gt;1,"Class clash","OK")))</f>
        <v/>
      </c>
    </row>
    <row r="212" customFormat="false" ht="19.5" hidden="false" customHeight="true" outlineLevel="0" collapsed="false">
      <c r="A212" s="52"/>
      <c r="B212" s="52"/>
      <c r="C212" s="52"/>
      <c r="D212" s="52"/>
      <c r="E212" s="86"/>
      <c r="F212" s="52"/>
      <c r="G212" s="89" t="str">
        <f aca="false">IF(F212="","",IFERROR(INDEX(Teachers!$B$5:$B$304,MATCH(F212,Teachers!$A$5:$A$304,0)),""))</f>
        <v/>
      </c>
      <c r="H212" s="52"/>
      <c r="I212" s="89" t="str">
        <f aca="false">IF(A212="","",A212&amp;"|"&amp;B212&amp;"|"&amp;C212&amp;"|"&amp;D212)</f>
        <v/>
      </c>
      <c r="J212" s="85" t="str">
        <f aca="false">IF(A212="","",IF(AND(F212&lt;&gt;"",COUNTIFS(Timetable!$F$5:$F$304,F212,Timetable!$C$5:$C$304,C212,Timetable!$D$5:$D$304,D212)&gt;1),"Teacher clash",IF(COUNTIF(Timetable!$I$5:$I$304,I212)&gt;1,"Class clash","OK")))</f>
        <v/>
      </c>
    </row>
    <row r="213" customFormat="false" ht="19.5" hidden="false" customHeight="true" outlineLevel="0" collapsed="false">
      <c r="A213" s="52"/>
      <c r="B213" s="52"/>
      <c r="C213" s="52"/>
      <c r="D213" s="52"/>
      <c r="E213" s="86"/>
      <c r="F213" s="52"/>
      <c r="G213" s="89" t="str">
        <f aca="false">IF(F213="","",IFERROR(INDEX(Teachers!$B$5:$B$304,MATCH(F213,Teachers!$A$5:$A$304,0)),""))</f>
        <v/>
      </c>
      <c r="H213" s="52"/>
      <c r="I213" s="89" t="str">
        <f aca="false">IF(A213="","",A213&amp;"|"&amp;B213&amp;"|"&amp;C213&amp;"|"&amp;D213)</f>
        <v/>
      </c>
      <c r="J213" s="85" t="str">
        <f aca="false">IF(A213="","",IF(AND(F213&lt;&gt;"",COUNTIFS(Timetable!$F$5:$F$304,F213,Timetable!$C$5:$C$304,C213,Timetable!$D$5:$D$304,D213)&gt;1),"Teacher clash",IF(COUNTIF(Timetable!$I$5:$I$304,I213)&gt;1,"Class clash","OK")))</f>
        <v/>
      </c>
    </row>
    <row r="214" customFormat="false" ht="19.5" hidden="false" customHeight="true" outlineLevel="0" collapsed="false">
      <c r="A214" s="52"/>
      <c r="B214" s="52"/>
      <c r="C214" s="52"/>
      <c r="D214" s="52"/>
      <c r="E214" s="86"/>
      <c r="F214" s="52"/>
      <c r="G214" s="89" t="str">
        <f aca="false">IF(F214="","",IFERROR(INDEX(Teachers!$B$5:$B$304,MATCH(F214,Teachers!$A$5:$A$304,0)),""))</f>
        <v/>
      </c>
      <c r="H214" s="52"/>
      <c r="I214" s="89" t="str">
        <f aca="false">IF(A214="","",A214&amp;"|"&amp;B214&amp;"|"&amp;C214&amp;"|"&amp;D214)</f>
        <v/>
      </c>
      <c r="J214" s="85" t="str">
        <f aca="false">IF(A214="","",IF(AND(F214&lt;&gt;"",COUNTIFS(Timetable!$F$5:$F$304,F214,Timetable!$C$5:$C$304,C214,Timetable!$D$5:$D$304,D214)&gt;1),"Teacher clash",IF(COUNTIF(Timetable!$I$5:$I$304,I214)&gt;1,"Class clash","OK")))</f>
        <v/>
      </c>
    </row>
    <row r="215" customFormat="false" ht="19.5" hidden="false" customHeight="true" outlineLevel="0" collapsed="false">
      <c r="A215" s="52"/>
      <c r="B215" s="52"/>
      <c r="C215" s="52"/>
      <c r="D215" s="52"/>
      <c r="E215" s="86"/>
      <c r="F215" s="52"/>
      <c r="G215" s="89" t="str">
        <f aca="false">IF(F215="","",IFERROR(INDEX(Teachers!$B$5:$B$304,MATCH(F215,Teachers!$A$5:$A$304,0)),""))</f>
        <v/>
      </c>
      <c r="H215" s="52"/>
      <c r="I215" s="89" t="str">
        <f aca="false">IF(A215="","",A215&amp;"|"&amp;B215&amp;"|"&amp;C215&amp;"|"&amp;D215)</f>
        <v/>
      </c>
      <c r="J215" s="85" t="str">
        <f aca="false">IF(A215="","",IF(AND(F215&lt;&gt;"",COUNTIFS(Timetable!$F$5:$F$304,F215,Timetable!$C$5:$C$304,C215,Timetable!$D$5:$D$304,D215)&gt;1),"Teacher clash",IF(COUNTIF(Timetable!$I$5:$I$304,I215)&gt;1,"Class clash","OK")))</f>
        <v/>
      </c>
    </row>
    <row r="216" customFormat="false" ht="19.5" hidden="false" customHeight="true" outlineLevel="0" collapsed="false">
      <c r="A216" s="52"/>
      <c r="B216" s="52"/>
      <c r="C216" s="52"/>
      <c r="D216" s="52"/>
      <c r="E216" s="86"/>
      <c r="F216" s="52"/>
      <c r="G216" s="89" t="str">
        <f aca="false">IF(F216="","",IFERROR(INDEX(Teachers!$B$5:$B$304,MATCH(F216,Teachers!$A$5:$A$304,0)),""))</f>
        <v/>
      </c>
      <c r="H216" s="52"/>
      <c r="I216" s="89" t="str">
        <f aca="false">IF(A216="","",A216&amp;"|"&amp;B216&amp;"|"&amp;C216&amp;"|"&amp;D216)</f>
        <v/>
      </c>
      <c r="J216" s="85" t="str">
        <f aca="false">IF(A216="","",IF(AND(F216&lt;&gt;"",COUNTIFS(Timetable!$F$5:$F$304,F216,Timetable!$C$5:$C$304,C216,Timetable!$D$5:$D$304,D216)&gt;1),"Teacher clash",IF(COUNTIF(Timetable!$I$5:$I$304,I216)&gt;1,"Class clash","OK")))</f>
        <v/>
      </c>
    </row>
    <row r="217" customFormat="false" ht="19.5" hidden="false" customHeight="true" outlineLevel="0" collapsed="false">
      <c r="A217" s="52"/>
      <c r="B217" s="52"/>
      <c r="C217" s="52"/>
      <c r="D217" s="52"/>
      <c r="E217" s="86"/>
      <c r="F217" s="52"/>
      <c r="G217" s="89" t="str">
        <f aca="false">IF(F217="","",IFERROR(INDEX(Teachers!$B$5:$B$304,MATCH(F217,Teachers!$A$5:$A$304,0)),""))</f>
        <v/>
      </c>
      <c r="H217" s="52"/>
      <c r="I217" s="89" t="str">
        <f aca="false">IF(A217="","",A217&amp;"|"&amp;B217&amp;"|"&amp;C217&amp;"|"&amp;D217)</f>
        <v/>
      </c>
      <c r="J217" s="85" t="str">
        <f aca="false">IF(A217="","",IF(AND(F217&lt;&gt;"",COUNTIFS(Timetable!$F$5:$F$304,F217,Timetable!$C$5:$C$304,C217,Timetable!$D$5:$D$304,D217)&gt;1),"Teacher clash",IF(COUNTIF(Timetable!$I$5:$I$304,I217)&gt;1,"Class clash","OK")))</f>
        <v/>
      </c>
    </row>
    <row r="218" customFormat="false" ht="19.5" hidden="false" customHeight="true" outlineLevel="0" collapsed="false">
      <c r="A218" s="52"/>
      <c r="B218" s="52"/>
      <c r="C218" s="52"/>
      <c r="D218" s="52"/>
      <c r="E218" s="86"/>
      <c r="F218" s="52"/>
      <c r="G218" s="89" t="str">
        <f aca="false">IF(F218="","",IFERROR(INDEX(Teachers!$B$5:$B$304,MATCH(F218,Teachers!$A$5:$A$304,0)),""))</f>
        <v/>
      </c>
      <c r="H218" s="52"/>
      <c r="I218" s="89" t="str">
        <f aca="false">IF(A218="","",A218&amp;"|"&amp;B218&amp;"|"&amp;C218&amp;"|"&amp;D218)</f>
        <v/>
      </c>
      <c r="J218" s="85" t="str">
        <f aca="false">IF(A218="","",IF(AND(F218&lt;&gt;"",COUNTIFS(Timetable!$F$5:$F$304,F218,Timetable!$C$5:$C$304,C218,Timetable!$D$5:$D$304,D218)&gt;1),"Teacher clash",IF(COUNTIF(Timetable!$I$5:$I$304,I218)&gt;1,"Class clash","OK")))</f>
        <v/>
      </c>
    </row>
    <row r="219" customFormat="false" ht="19.5" hidden="false" customHeight="true" outlineLevel="0" collapsed="false">
      <c r="A219" s="52"/>
      <c r="B219" s="52"/>
      <c r="C219" s="52"/>
      <c r="D219" s="52"/>
      <c r="E219" s="86"/>
      <c r="F219" s="52"/>
      <c r="G219" s="89" t="str">
        <f aca="false">IF(F219="","",IFERROR(INDEX(Teachers!$B$5:$B$304,MATCH(F219,Teachers!$A$5:$A$304,0)),""))</f>
        <v/>
      </c>
      <c r="H219" s="52"/>
      <c r="I219" s="89" t="str">
        <f aca="false">IF(A219="","",A219&amp;"|"&amp;B219&amp;"|"&amp;C219&amp;"|"&amp;D219)</f>
        <v/>
      </c>
      <c r="J219" s="85" t="str">
        <f aca="false">IF(A219="","",IF(AND(F219&lt;&gt;"",COUNTIFS(Timetable!$F$5:$F$304,F219,Timetable!$C$5:$C$304,C219,Timetable!$D$5:$D$304,D219)&gt;1),"Teacher clash",IF(COUNTIF(Timetable!$I$5:$I$304,I219)&gt;1,"Class clash","OK")))</f>
        <v/>
      </c>
    </row>
    <row r="220" customFormat="false" ht="19.5" hidden="false" customHeight="true" outlineLevel="0" collapsed="false">
      <c r="A220" s="52"/>
      <c r="B220" s="52"/>
      <c r="C220" s="52"/>
      <c r="D220" s="52"/>
      <c r="E220" s="86"/>
      <c r="F220" s="52"/>
      <c r="G220" s="89" t="str">
        <f aca="false">IF(F220="","",IFERROR(INDEX(Teachers!$B$5:$B$304,MATCH(F220,Teachers!$A$5:$A$304,0)),""))</f>
        <v/>
      </c>
      <c r="H220" s="52"/>
      <c r="I220" s="89" t="str">
        <f aca="false">IF(A220="","",A220&amp;"|"&amp;B220&amp;"|"&amp;C220&amp;"|"&amp;D220)</f>
        <v/>
      </c>
      <c r="J220" s="85" t="str">
        <f aca="false">IF(A220="","",IF(AND(F220&lt;&gt;"",COUNTIFS(Timetable!$F$5:$F$304,F220,Timetable!$C$5:$C$304,C220,Timetable!$D$5:$D$304,D220)&gt;1),"Teacher clash",IF(COUNTIF(Timetable!$I$5:$I$304,I220)&gt;1,"Class clash","OK")))</f>
        <v/>
      </c>
    </row>
    <row r="221" customFormat="false" ht="19.5" hidden="false" customHeight="true" outlineLevel="0" collapsed="false">
      <c r="A221" s="52"/>
      <c r="B221" s="52"/>
      <c r="C221" s="52"/>
      <c r="D221" s="52"/>
      <c r="E221" s="86"/>
      <c r="F221" s="52"/>
      <c r="G221" s="89" t="str">
        <f aca="false">IF(F221="","",IFERROR(INDEX(Teachers!$B$5:$B$304,MATCH(F221,Teachers!$A$5:$A$304,0)),""))</f>
        <v/>
      </c>
      <c r="H221" s="52"/>
      <c r="I221" s="89" t="str">
        <f aca="false">IF(A221="","",A221&amp;"|"&amp;B221&amp;"|"&amp;C221&amp;"|"&amp;D221)</f>
        <v/>
      </c>
      <c r="J221" s="85" t="str">
        <f aca="false">IF(A221="","",IF(AND(F221&lt;&gt;"",COUNTIFS(Timetable!$F$5:$F$304,F221,Timetable!$C$5:$C$304,C221,Timetable!$D$5:$D$304,D221)&gt;1),"Teacher clash",IF(COUNTIF(Timetable!$I$5:$I$304,I221)&gt;1,"Class clash","OK")))</f>
        <v/>
      </c>
    </row>
    <row r="222" customFormat="false" ht="19.5" hidden="false" customHeight="true" outlineLevel="0" collapsed="false">
      <c r="A222" s="52"/>
      <c r="B222" s="52"/>
      <c r="C222" s="52"/>
      <c r="D222" s="52"/>
      <c r="E222" s="86"/>
      <c r="F222" s="52"/>
      <c r="G222" s="89" t="str">
        <f aca="false">IF(F222="","",IFERROR(INDEX(Teachers!$B$5:$B$304,MATCH(F222,Teachers!$A$5:$A$304,0)),""))</f>
        <v/>
      </c>
      <c r="H222" s="52"/>
      <c r="I222" s="89" t="str">
        <f aca="false">IF(A222="","",A222&amp;"|"&amp;B222&amp;"|"&amp;C222&amp;"|"&amp;D222)</f>
        <v/>
      </c>
      <c r="J222" s="85" t="str">
        <f aca="false">IF(A222="","",IF(AND(F222&lt;&gt;"",COUNTIFS(Timetable!$F$5:$F$304,F222,Timetable!$C$5:$C$304,C222,Timetable!$D$5:$D$304,D222)&gt;1),"Teacher clash",IF(COUNTIF(Timetable!$I$5:$I$304,I222)&gt;1,"Class clash","OK")))</f>
        <v/>
      </c>
    </row>
    <row r="223" customFormat="false" ht="19.5" hidden="false" customHeight="true" outlineLevel="0" collapsed="false">
      <c r="A223" s="52"/>
      <c r="B223" s="52"/>
      <c r="C223" s="52"/>
      <c r="D223" s="52"/>
      <c r="E223" s="86"/>
      <c r="F223" s="52"/>
      <c r="G223" s="89" t="str">
        <f aca="false">IF(F223="","",IFERROR(INDEX(Teachers!$B$5:$B$304,MATCH(F223,Teachers!$A$5:$A$304,0)),""))</f>
        <v/>
      </c>
      <c r="H223" s="52"/>
      <c r="I223" s="89" t="str">
        <f aca="false">IF(A223="","",A223&amp;"|"&amp;B223&amp;"|"&amp;C223&amp;"|"&amp;D223)</f>
        <v/>
      </c>
      <c r="J223" s="85" t="str">
        <f aca="false">IF(A223="","",IF(AND(F223&lt;&gt;"",COUNTIFS(Timetable!$F$5:$F$304,F223,Timetable!$C$5:$C$304,C223,Timetable!$D$5:$D$304,D223)&gt;1),"Teacher clash",IF(COUNTIF(Timetable!$I$5:$I$304,I223)&gt;1,"Class clash","OK")))</f>
        <v/>
      </c>
    </row>
    <row r="224" customFormat="false" ht="19.5" hidden="false" customHeight="true" outlineLevel="0" collapsed="false">
      <c r="A224" s="52"/>
      <c r="B224" s="52"/>
      <c r="C224" s="52"/>
      <c r="D224" s="52"/>
      <c r="E224" s="86"/>
      <c r="F224" s="52"/>
      <c r="G224" s="89" t="str">
        <f aca="false">IF(F224="","",IFERROR(INDEX(Teachers!$B$5:$B$304,MATCH(F224,Teachers!$A$5:$A$304,0)),""))</f>
        <v/>
      </c>
      <c r="H224" s="52"/>
      <c r="I224" s="89" t="str">
        <f aca="false">IF(A224="","",A224&amp;"|"&amp;B224&amp;"|"&amp;C224&amp;"|"&amp;D224)</f>
        <v/>
      </c>
      <c r="J224" s="85" t="str">
        <f aca="false">IF(A224="","",IF(AND(F224&lt;&gt;"",COUNTIFS(Timetable!$F$5:$F$304,F224,Timetable!$C$5:$C$304,C224,Timetable!$D$5:$D$304,D224)&gt;1),"Teacher clash",IF(COUNTIF(Timetable!$I$5:$I$304,I224)&gt;1,"Class clash","OK")))</f>
        <v/>
      </c>
    </row>
    <row r="225" customFormat="false" ht="19.5" hidden="false" customHeight="true" outlineLevel="0" collapsed="false">
      <c r="A225" s="52"/>
      <c r="B225" s="52"/>
      <c r="C225" s="52"/>
      <c r="D225" s="52"/>
      <c r="E225" s="86"/>
      <c r="F225" s="52"/>
      <c r="G225" s="89" t="str">
        <f aca="false">IF(F225="","",IFERROR(INDEX(Teachers!$B$5:$B$304,MATCH(F225,Teachers!$A$5:$A$304,0)),""))</f>
        <v/>
      </c>
      <c r="H225" s="52"/>
      <c r="I225" s="89" t="str">
        <f aca="false">IF(A225="","",A225&amp;"|"&amp;B225&amp;"|"&amp;C225&amp;"|"&amp;D225)</f>
        <v/>
      </c>
      <c r="J225" s="85" t="str">
        <f aca="false">IF(A225="","",IF(AND(F225&lt;&gt;"",COUNTIFS(Timetable!$F$5:$F$304,F225,Timetable!$C$5:$C$304,C225,Timetable!$D$5:$D$304,D225)&gt;1),"Teacher clash",IF(COUNTIF(Timetable!$I$5:$I$304,I225)&gt;1,"Class clash","OK")))</f>
        <v/>
      </c>
    </row>
    <row r="226" customFormat="false" ht="19.5" hidden="false" customHeight="true" outlineLevel="0" collapsed="false">
      <c r="A226" s="52"/>
      <c r="B226" s="52"/>
      <c r="C226" s="52"/>
      <c r="D226" s="52"/>
      <c r="E226" s="86"/>
      <c r="F226" s="52"/>
      <c r="G226" s="89" t="str">
        <f aca="false">IF(F226="","",IFERROR(INDEX(Teachers!$B$5:$B$304,MATCH(F226,Teachers!$A$5:$A$304,0)),""))</f>
        <v/>
      </c>
      <c r="H226" s="52"/>
      <c r="I226" s="89" t="str">
        <f aca="false">IF(A226="","",A226&amp;"|"&amp;B226&amp;"|"&amp;C226&amp;"|"&amp;D226)</f>
        <v/>
      </c>
      <c r="J226" s="85" t="str">
        <f aca="false">IF(A226="","",IF(AND(F226&lt;&gt;"",COUNTIFS(Timetable!$F$5:$F$304,F226,Timetable!$C$5:$C$304,C226,Timetable!$D$5:$D$304,D226)&gt;1),"Teacher clash",IF(COUNTIF(Timetable!$I$5:$I$304,I226)&gt;1,"Class clash","OK")))</f>
        <v/>
      </c>
    </row>
    <row r="227" customFormat="false" ht="19.5" hidden="false" customHeight="true" outlineLevel="0" collapsed="false">
      <c r="A227" s="52"/>
      <c r="B227" s="52"/>
      <c r="C227" s="52"/>
      <c r="D227" s="52"/>
      <c r="E227" s="86"/>
      <c r="F227" s="52"/>
      <c r="G227" s="89" t="str">
        <f aca="false">IF(F227="","",IFERROR(INDEX(Teachers!$B$5:$B$304,MATCH(F227,Teachers!$A$5:$A$304,0)),""))</f>
        <v/>
      </c>
      <c r="H227" s="52"/>
      <c r="I227" s="89" t="str">
        <f aca="false">IF(A227="","",A227&amp;"|"&amp;B227&amp;"|"&amp;C227&amp;"|"&amp;D227)</f>
        <v/>
      </c>
      <c r="J227" s="85" t="str">
        <f aca="false">IF(A227="","",IF(AND(F227&lt;&gt;"",COUNTIFS(Timetable!$F$5:$F$304,F227,Timetable!$C$5:$C$304,C227,Timetable!$D$5:$D$304,D227)&gt;1),"Teacher clash",IF(COUNTIF(Timetable!$I$5:$I$304,I227)&gt;1,"Class clash","OK")))</f>
        <v/>
      </c>
    </row>
    <row r="228" customFormat="false" ht="19.5" hidden="false" customHeight="true" outlineLevel="0" collapsed="false">
      <c r="A228" s="52"/>
      <c r="B228" s="52"/>
      <c r="C228" s="52"/>
      <c r="D228" s="52"/>
      <c r="E228" s="86"/>
      <c r="F228" s="52"/>
      <c r="G228" s="89" t="str">
        <f aca="false">IF(F228="","",IFERROR(INDEX(Teachers!$B$5:$B$304,MATCH(F228,Teachers!$A$5:$A$304,0)),""))</f>
        <v/>
      </c>
      <c r="H228" s="52"/>
      <c r="I228" s="89" t="str">
        <f aca="false">IF(A228="","",A228&amp;"|"&amp;B228&amp;"|"&amp;C228&amp;"|"&amp;D228)</f>
        <v/>
      </c>
      <c r="J228" s="85" t="str">
        <f aca="false">IF(A228="","",IF(AND(F228&lt;&gt;"",COUNTIFS(Timetable!$F$5:$F$304,F228,Timetable!$C$5:$C$304,C228,Timetable!$D$5:$D$304,D228)&gt;1),"Teacher clash",IF(COUNTIF(Timetable!$I$5:$I$304,I228)&gt;1,"Class clash","OK")))</f>
        <v/>
      </c>
    </row>
    <row r="229" customFormat="false" ht="19.5" hidden="false" customHeight="true" outlineLevel="0" collapsed="false">
      <c r="A229" s="52"/>
      <c r="B229" s="52"/>
      <c r="C229" s="52"/>
      <c r="D229" s="52"/>
      <c r="E229" s="86"/>
      <c r="F229" s="52"/>
      <c r="G229" s="89" t="str">
        <f aca="false">IF(F229="","",IFERROR(INDEX(Teachers!$B$5:$B$304,MATCH(F229,Teachers!$A$5:$A$304,0)),""))</f>
        <v/>
      </c>
      <c r="H229" s="52"/>
      <c r="I229" s="89" t="str">
        <f aca="false">IF(A229="","",A229&amp;"|"&amp;B229&amp;"|"&amp;C229&amp;"|"&amp;D229)</f>
        <v/>
      </c>
      <c r="J229" s="85" t="str">
        <f aca="false">IF(A229="","",IF(AND(F229&lt;&gt;"",COUNTIFS(Timetable!$F$5:$F$304,F229,Timetable!$C$5:$C$304,C229,Timetable!$D$5:$D$304,D229)&gt;1),"Teacher clash",IF(COUNTIF(Timetable!$I$5:$I$304,I229)&gt;1,"Class clash","OK")))</f>
        <v/>
      </c>
    </row>
    <row r="230" customFormat="false" ht="19.5" hidden="false" customHeight="true" outlineLevel="0" collapsed="false">
      <c r="A230" s="52"/>
      <c r="B230" s="52"/>
      <c r="C230" s="52"/>
      <c r="D230" s="52"/>
      <c r="E230" s="86"/>
      <c r="F230" s="52"/>
      <c r="G230" s="89" t="str">
        <f aca="false">IF(F230="","",IFERROR(INDEX(Teachers!$B$5:$B$304,MATCH(F230,Teachers!$A$5:$A$304,0)),""))</f>
        <v/>
      </c>
      <c r="H230" s="52"/>
      <c r="I230" s="89" t="str">
        <f aca="false">IF(A230="","",A230&amp;"|"&amp;B230&amp;"|"&amp;C230&amp;"|"&amp;D230)</f>
        <v/>
      </c>
      <c r="J230" s="85" t="str">
        <f aca="false">IF(A230="","",IF(AND(F230&lt;&gt;"",COUNTIFS(Timetable!$F$5:$F$304,F230,Timetable!$C$5:$C$304,C230,Timetable!$D$5:$D$304,D230)&gt;1),"Teacher clash",IF(COUNTIF(Timetable!$I$5:$I$304,I230)&gt;1,"Class clash","OK")))</f>
        <v/>
      </c>
    </row>
    <row r="231" customFormat="false" ht="19.5" hidden="false" customHeight="true" outlineLevel="0" collapsed="false">
      <c r="A231" s="52"/>
      <c r="B231" s="52"/>
      <c r="C231" s="52"/>
      <c r="D231" s="52"/>
      <c r="E231" s="86"/>
      <c r="F231" s="52"/>
      <c r="G231" s="89" t="str">
        <f aca="false">IF(F231="","",IFERROR(INDEX(Teachers!$B$5:$B$304,MATCH(F231,Teachers!$A$5:$A$304,0)),""))</f>
        <v/>
      </c>
      <c r="H231" s="52"/>
      <c r="I231" s="89" t="str">
        <f aca="false">IF(A231="","",A231&amp;"|"&amp;B231&amp;"|"&amp;C231&amp;"|"&amp;D231)</f>
        <v/>
      </c>
      <c r="J231" s="85" t="str">
        <f aca="false">IF(A231="","",IF(AND(F231&lt;&gt;"",COUNTIFS(Timetable!$F$5:$F$304,F231,Timetable!$C$5:$C$304,C231,Timetable!$D$5:$D$304,D231)&gt;1),"Teacher clash",IF(COUNTIF(Timetable!$I$5:$I$304,I231)&gt;1,"Class clash","OK")))</f>
        <v/>
      </c>
    </row>
    <row r="232" customFormat="false" ht="19.5" hidden="false" customHeight="true" outlineLevel="0" collapsed="false">
      <c r="A232" s="52"/>
      <c r="B232" s="52"/>
      <c r="C232" s="52"/>
      <c r="D232" s="52"/>
      <c r="E232" s="86"/>
      <c r="F232" s="52"/>
      <c r="G232" s="89" t="str">
        <f aca="false">IF(F232="","",IFERROR(INDEX(Teachers!$B$5:$B$304,MATCH(F232,Teachers!$A$5:$A$304,0)),""))</f>
        <v/>
      </c>
      <c r="H232" s="52"/>
      <c r="I232" s="89" t="str">
        <f aca="false">IF(A232="","",A232&amp;"|"&amp;B232&amp;"|"&amp;C232&amp;"|"&amp;D232)</f>
        <v/>
      </c>
      <c r="J232" s="85" t="str">
        <f aca="false">IF(A232="","",IF(AND(F232&lt;&gt;"",COUNTIFS(Timetable!$F$5:$F$304,F232,Timetable!$C$5:$C$304,C232,Timetable!$D$5:$D$304,D232)&gt;1),"Teacher clash",IF(COUNTIF(Timetable!$I$5:$I$304,I232)&gt;1,"Class clash","OK")))</f>
        <v/>
      </c>
    </row>
    <row r="233" customFormat="false" ht="19.5" hidden="false" customHeight="true" outlineLevel="0" collapsed="false">
      <c r="A233" s="52"/>
      <c r="B233" s="52"/>
      <c r="C233" s="52"/>
      <c r="D233" s="52"/>
      <c r="E233" s="86"/>
      <c r="F233" s="52"/>
      <c r="G233" s="89" t="str">
        <f aca="false">IF(F233="","",IFERROR(INDEX(Teachers!$B$5:$B$304,MATCH(F233,Teachers!$A$5:$A$304,0)),""))</f>
        <v/>
      </c>
      <c r="H233" s="52"/>
      <c r="I233" s="89" t="str">
        <f aca="false">IF(A233="","",A233&amp;"|"&amp;B233&amp;"|"&amp;C233&amp;"|"&amp;D233)</f>
        <v/>
      </c>
      <c r="J233" s="85" t="str">
        <f aca="false">IF(A233="","",IF(AND(F233&lt;&gt;"",COUNTIFS(Timetable!$F$5:$F$304,F233,Timetable!$C$5:$C$304,C233,Timetable!$D$5:$D$304,D233)&gt;1),"Teacher clash",IF(COUNTIF(Timetable!$I$5:$I$304,I233)&gt;1,"Class clash","OK")))</f>
        <v/>
      </c>
    </row>
    <row r="234" customFormat="false" ht="19.5" hidden="false" customHeight="true" outlineLevel="0" collapsed="false">
      <c r="A234" s="52"/>
      <c r="B234" s="52"/>
      <c r="C234" s="52"/>
      <c r="D234" s="52"/>
      <c r="E234" s="86"/>
      <c r="F234" s="52"/>
      <c r="G234" s="89" t="str">
        <f aca="false">IF(F234="","",IFERROR(INDEX(Teachers!$B$5:$B$304,MATCH(F234,Teachers!$A$5:$A$304,0)),""))</f>
        <v/>
      </c>
      <c r="H234" s="52"/>
      <c r="I234" s="89" t="str">
        <f aca="false">IF(A234="","",A234&amp;"|"&amp;B234&amp;"|"&amp;C234&amp;"|"&amp;D234)</f>
        <v/>
      </c>
      <c r="J234" s="85" t="str">
        <f aca="false">IF(A234="","",IF(AND(F234&lt;&gt;"",COUNTIFS(Timetable!$F$5:$F$304,F234,Timetable!$C$5:$C$304,C234,Timetable!$D$5:$D$304,D234)&gt;1),"Teacher clash",IF(COUNTIF(Timetable!$I$5:$I$304,I234)&gt;1,"Class clash","OK")))</f>
        <v/>
      </c>
    </row>
    <row r="235" customFormat="false" ht="19.5" hidden="false" customHeight="true" outlineLevel="0" collapsed="false">
      <c r="A235" s="52"/>
      <c r="B235" s="52"/>
      <c r="C235" s="52"/>
      <c r="D235" s="52"/>
      <c r="E235" s="86"/>
      <c r="F235" s="52"/>
      <c r="G235" s="89" t="str">
        <f aca="false">IF(F235="","",IFERROR(INDEX(Teachers!$B$5:$B$304,MATCH(F235,Teachers!$A$5:$A$304,0)),""))</f>
        <v/>
      </c>
      <c r="H235" s="52"/>
      <c r="I235" s="89" t="str">
        <f aca="false">IF(A235="","",A235&amp;"|"&amp;B235&amp;"|"&amp;C235&amp;"|"&amp;D235)</f>
        <v/>
      </c>
      <c r="J235" s="85" t="str">
        <f aca="false">IF(A235="","",IF(AND(F235&lt;&gt;"",COUNTIFS(Timetable!$F$5:$F$304,F235,Timetable!$C$5:$C$304,C235,Timetable!$D$5:$D$304,D235)&gt;1),"Teacher clash",IF(COUNTIF(Timetable!$I$5:$I$304,I235)&gt;1,"Class clash","OK")))</f>
        <v/>
      </c>
    </row>
    <row r="236" customFormat="false" ht="19.5" hidden="false" customHeight="true" outlineLevel="0" collapsed="false">
      <c r="A236" s="52"/>
      <c r="B236" s="52"/>
      <c r="C236" s="52"/>
      <c r="D236" s="52"/>
      <c r="E236" s="86"/>
      <c r="F236" s="52"/>
      <c r="G236" s="89" t="str">
        <f aca="false">IF(F236="","",IFERROR(INDEX(Teachers!$B$5:$B$304,MATCH(F236,Teachers!$A$5:$A$304,0)),""))</f>
        <v/>
      </c>
      <c r="H236" s="52"/>
      <c r="I236" s="89" t="str">
        <f aca="false">IF(A236="","",A236&amp;"|"&amp;B236&amp;"|"&amp;C236&amp;"|"&amp;D236)</f>
        <v/>
      </c>
      <c r="J236" s="85" t="str">
        <f aca="false">IF(A236="","",IF(AND(F236&lt;&gt;"",COUNTIFS(Timetable!$F$5:$F$304,F236,Timetable!$C$5:$C$304,C236,Timetable!$D$5:$D$304,D236)&gt;1),"Teacher clash",IF(COUNTIF(Timetable!$I$5:$I$304,I236)&gt;1,"Class clash","OK")))</f>
        <v/>
      </c>
    </row>
    <row r="237" customFormat="false" ht="19.5" hidden="false" customHeight="true" outlineLevel="0" collapsed="false">
      <c r="A237" s="52"/>
      <c r="B237" s="52"/>
      <c r="C237" s="52"/>
      <c r="D237" s="52"/>
      <c r="E237" s="86"/>
      <c r="F237" s="52"/>
      <c r="G237" s="89" t="str">
        <f aca="false">IF(F237="","",IFERROR(INDEX(Teachers!$B$5:$B$304,MATCH(F237,Teachers!$A$5:$A$304,0)),""))</f>
        <v/>
      </c>
      <c r="H237" s="52"/>
      <c r="I237" s="89" t="str">
        <f aca="false">IF(A237="","",A237&amp;"|"&amp;B237&amp;"|"&amp;C237&amp;"|"&amp;D237)</f>
        <v/>
      </c>
      <c r="J237" s="85" t="str">
        <f aca="false">IF(A237="","",IF(AND(F237&lt;&gt;"",COUNTIFS(Timetable!$F$5:$F$304,F237,Timetable!$C$5:$C$304,C237,Timetable!$D$5:$D$304,D237)&gt;1),"Teacher clash",IF(COUNTIF(Timetable!$I$5:$I$304,I237)&gt;1,"Class clash","OK")))</f>
        <v/>
      </c>
    </row>
    <row r="238" customFormat="false" ht="19.5" hidden="false" customHeight="true" outlineLevel="0" collapsed="false">
      <c r="A238" s="52"/>
      <c r="B238" s="52"/>
      <c r="C238" s="52"/>
      <c r="D238" s="52"/>
      <c r="E238" s="86"/>
      <c r="F238" s="52"/>
      <c r="G238" s="89" t="str">
        <f aca="false">IF(F238="","",IFERROR(INDEX(Teachers!$B$5:$B$304,MATCH(F238,Teachers!$A$5:$A$304,0)),""))</f>
        <v/>
      </c>
      <c r="H238" s="52"/>
      <c r="I238" s="89" t="str">
        <f aca="false">IF(A238="","",A238&amp;"|"&amp;B238&amp;"|"&amp;C238&amp;"|"&amp;D238)</f>
        <v/>
      </c>
      <c r="J238" s="85" t="str">
        <f aca="false">IF(A238="","",IF(AND(F238&lt;&gt;"",COUNTIFS(Timetable!$F$5:$F$304,F238,Timetable!$C$5:$C$304,C238,Timetable!$D$5:$D$304,D238)&gt;1),"Teacher clash",IF(COUNTIF(Timetable!$I$5:$I$304,I238)&gt;1,"Class clash","OK")))</f>
        <v/>
      </c>
    </row>
    <row r="239" customFormat="false" ht="19.5" hidden="false" customHeight="true" outlineLevel="0" collapsed="false">
      <c r="A239" s="52"/>
      <c r="B239" s="52"/>
      <c r="C239" s="52"/>
      <c r="D239" s="52"/>
      <c r="E239" s="86"/>
      <c r="F239" s="52"/>
      <c r="G239" s="89" t="str">
        <f aca="false">IF(F239="","",IFERROR(INDEX(Teachers!$B$5:$B$304,MATCH(F239,Teachers!$A$5:$A$304,0)),""))</f>
        <v/>
      </c>
      <c r="H239" s="52"/>
      <c r="I239" s="89" t="str">
        <f aca="false">IF(A239="","",A239&amp;"|"&amp;B239&amp;"|"&amp;C239&amp;"|"&amp;D239)</f>
        <v/>
      </c>
      <c r="J239" s="85" t="str">
        <f aca="false">IF(A239="","",IF(AND(F239&lt;&gt;"",COUNTIFS(Timetable!$F$5:$F$304,F239,Timetable!$C$5:$C$304,C239,Timetable!$D$5:$D$304,D239)&gt;1),"Teacher clash",IF(COUNTIF(Timetable!$I$5:$I$304,I239)&gt;1,"Class clash","OK")))</f>
        <v/>
      </c>
    </row>
    <row r="240" customFormat="false" ht="19.5" hidden="false" customHeight="true" outlineLevel="0" collapsed="false">
      <c r="A240" s="52"/>
      <c r="B240" s="52"/>
      <c r="C240" s="52"/>
      <c r="D240" s="52"/>
      <c r="E240" s="86"/>
      <c r="F240" s="52"/>
      <c r="G240" s="89" t="str">
        <f aca="false">IF(F240="","",IFERROR(INDEX(Teachers!$B$5:$B$304,MATCH(F240,Teachers!$A$5:$A$304,0)),""))</f>
        <v/>
      </c>
      <c r="H240" s="52"/>
      <c r="I240" s="89" t="str">
        <f aca="false">IF(A240="","",A240&amp;"|"&amp;B240&amp;"|"&amp;C240&amp;"|"&amp;D240)</f>
        <v/>
      </c>
      <c r="J240" s="85" t="str">
        <f aca="false">IF(A240="","",IF(AND(F240&lt;&gt;"",COUNTIFS(Timetable!$F$5:$F$304,F240,Timetable!$C$5:$C$304,C240,Timetable!$D$5:$D$304,D240)&gt;1),"Teacher clash",IF(COUNTIF(Timetable!$I$5:$I$304,I240)&gt;1,"Class clash","OK")))</f>
        <v/>
      </c>
    </row>
    <row r="241" customFormat="false" ht="19.5" hidden="false" customHeight="true" outlineLevel="0" collapsed="false">
      <c r="A241" s="52"/>
      <c r="B241" s="52"/>
      <c r="C241" s="52"/>
      <c r="D241" s="52"/>
      <c r="E241" s="86"/>
      <c r="F241" s="52"/>
      <c r="G241" s="89" t="str">
        <f aca="false">IF(F241="","",IFERROR(INDEX(Teachers!$B$5:$B$304,MATCH(F241,Teachers!$A$5:$A$304,0)),""))</f>
        <v/>
      </c>
      <c r="H241" s="52"/>
      <c r="I241" s="89" t="str">
        <f aca="false">IF(A241="","",A241&amp;"|"&amp;B241&amp;"|"&amp;C241&amp;"|"&amp;D241)</f>
        <v/>
      </c>
      <c r="J241" s="85" t="str">
        <f aca="false">IF(A241="","",IF(AND(F241&lt;&gt;"",COUNTIFS(Timetable!$F$5:$F$304,F241,Timetable!$C$5:$C$304,C241,Timetable!$D$5:$D$304,D241)&gt;1),"Teacher clash",IF(COUNTIF(Timetable!$I$5:$I$304,I241)&gt;1,"Class clash","OK")))</f>
        <v/>
      </c>
    </row>
    <row r="242" customFormat="false" ht="19.5" hidden="false" customHeight="true" outlineLevel="0" collapsed="false">
      <c r="A242" s="52"/>
      <c r="B242" s="52"/>
      <c r="C242" s="52"/>
      <c r="D242" s="52"/>
      <c r="E242" s="86"/>
      <c r="F242" s="52"/>
      <c r="G242" s="89" t="str">
        <f aca="false">IF(F242="","",IFERROR(INDEX(Teachers!$B$5:$B$304,MATCH(F242,Teachers!$A$5:$A$304,0)),""))</f>
        <v/>
      </c>
      <c r="H242" s="52"/>
      <c r="I242" s="89" t="str">
        <f aca="false">IF(A242="","",A242&amp;"|"&amp;B242&amp;"|"&amp;C242&amp;"|"&amp;D242)</f>
        <v/>
      </c>
      <c r="J242" s="85" t="str">
        <f aca="false">IF(A242="","",IF(AND(F242&lt;&gt;"",COUNTIFS(Timetable!$F$5:$F$304,F242,Timetable!$C$5:$C$304,C242,Timetable!$D$5:$D$304,D242)&gt;1),"Teacher clash",IF(COUNTIF(Timetable!$I$5:$I$304,I242)&gt;1,"Class clash","OK")))</f>
        <v/>
      </c>
    </row>
    <row r="243" customFormat="false" ht="19.5" hidden="false" customHeight="true" outlineLevel="0" collapsed="false">
      <c r="A243" s="52"/>
      <c r="B243" s="52"/>
      <c r="C243" s="52"/>
      <c r="D243" s="52"/>
      <c r="E243" s="86"/>
      <c r="F243" s="52"/>
      <c r="G243" s="89" t="str">
        <f aca="false">IF(F243="","",IFERROR(INDEX(Teachers!$B$5:$B$304,MATCH(F243,Teachers!$A$5:$A$304,0)),""))</f>
        <v/>
      </c>
      <c r="H243" s="52"/>
      <c r="I243" s="89" t="str">
        <f aca="false">IF(A243="","",A243&amp;"|"&amp;B243&amp;"|"&amp;C243&amp;"|"&amp;D243)</f>
        <v/>
      </c>
      <c r="J243" s="85" t="str">
        <f aca="false">IF(A243="","",IF(AND(F243&lt;&gt;"",COUNTIFS(Timetable!$F$5:$F$304,F243,Timetable!$C$5:$C$304,C243,Timetable!$D$5:$D$304,D243)&gt;1),"Teacher clash",IF(COUNTIF(Timetable!$I$5:$I$304,I243)&gt;1,"Class clash","OK")))</f>
        <v/>
      </c>
    </row>
    <row r="244" customFormat="false" ht="19.5" hidden="false" customHeight="true" outlineLevel="0" collapsed="false">
      <c r="A244" s="52"/>
      <c r="B244" s="52"/>
      <c r="C244" s="52"/>
      <c r="D244" s="52"/>
      <c r="E244" s="86"/>
      <c r="F244" s="52"/>
      <c r="G244" s="89" t="str">
        <f aca="false">IF(F244="","",IFERROR(INDEX(Teachers!$B$5:$B$304,MATCH(F244,Teachers!$A$5:$A$304,0)),""))</f>
        <v/>
      </c>
      <c r="H244" s="52"/>
      <c r="I244" s="89" t="str">
        <f aca="false">IF(A244="","",A244&amp;"|"&amp;B244&amp;"|"&amp;C244&amp;"|"&amp;D244)</f>
        <v/>
      </c>
      <c r="J244" s="85" t="str">
        <f aca="false">IF(A244="","",IF(AND(F244&lt;&gt;"",COUNTIFS(Timetable!$F$5:$F$304,F244,Timetable!$C$5:$C$304,C244,Timetable!$D$5:$D$304,D244)&gt;1),"Teacher clash",IF(COUNTIF(Timetable!$I$5:$I$304,I244)&gt;1,"Class clash","OK")))</f>
        <v/>
      </c>
    </row>
    <row r="245" customFormat="false" ht="19.5" hidden="false" customHeight="true" outlineLevel="0" collapsed="false">
      <c r="A245" s="52"/>
      <c r="B245" s="52"/>
      <c r="C245" s="52"/>
      <c r="D245" s="52"/>
      <c r="E245" s="86"/>
      <c r="F245" s="52"/>
      <c r="G245" s="89" t="str">
        <f aca="false">IF(F245="","",IFERROR(INDEX(Teachers!$B$5:$B$304,MATCH(F245,Teachers!$A$5:$A$304,0)),""))</f>
        <v/>
      </c>
      <c r="H245" s="52"/>
      <c r="I245" s="89" t="str">
        <f aca="false">IF(A245="","",A245&amp;"|"&amp;B245&amp;"|"&amp;C245&amp;"|"&amp;D245)</f>
        <v/>
      </c>
      <c r="J245" s="85" t="str">
        <f aca="false">IF(A245="","",IF(AND(F245&lt;&gt;"",COUNTIFS(Timetable!$F$5:$F$304,F245,Timetable!$C$5:$C$304,C245,Timetable!$D$5:$D$304,D245)&gt;1),"Teacher clash",IF(COUNTIF(Timetable!$I$5:$I$304,I245)&gt;1,"Class clash","OK")))</f>
        <v/>
      </c>
    </row>
    <row r="246" customFormat="false" ht="19.5" hidden="false" customHeight="true" outlineLevel="0" collapsed="false">
      <c r="A246" s="52"/>
      <c r="B246" s="52"/>
      <c r="C246" s="52"/>
      <c r="D246" s="52"/>
      <c r="E246" s="86"/>
      <c r="F246" s="52"/>
      <c r="G246" s="89" t="str">
        <f aca="false">IF(F246="","",IFERROR(INDEX(Teachers!$B$5:$B$304,MATCH(F246,Teachers!$A$5:$A$304,0)),""))</f>
        <v/>
      </c>
      <c r="H246" s="52"/>
      <c r="I246" s="89" t="str">
        <f aca="false">IF(A246="","",A246&amp;"|"&amp;B246&amp;"|"&amp;C246&amp;"|"&amp;D246)</f>
        <v/>
      </c>
      <c r="J246" s="85" t="str">
        <f aca="false">IF(A246="","",IF(AND(F246&lt;&gt;"",COUNTIFS(Timetable!$F$5:$F$304,F246,Timetable!$C$5:$C$304,C246,Timetable!$D$5:$D$304,D246)&gt;1),"Teacher clash",IF(COUNTIF(Timetable!$I$5:$I$304,I246)&gt;1,"Class clash","OK")))</f>
        <v/>
      </c>
    </row>
    <row r="247" customFormat="false" ht="19.5" hidden="false" customHeight="true" outlineLevel="0" collapsed="false">
      <c r="A247" s="52"/>
      <c r="B247" s="52"/>
      <c r="C247" s="52"/>
      <c r="D247" s="52"/>
      <c r="E247" s="86"/>
      <c r="F247" s="52"/>
      <c r="G247" s="89" t="str">
        <f aca="false">IF(F247="","",IFERROR(INDEX(Teachers!$B$5:$B$304,MATCH(F247,Teachers!$A$5:$A$304,0)),""))</f>
        <v/>
      </c>
      <c r="H247" s="52"/>
      <c r="I247" s="89" t="str">
        <f aca="false">IF(A247="","",A247&amp;"|"&amp;B247&amp;"|"&amp;C247&amp;"|"&amp;D247)</f>
        <v/>
      </c>
      <c r="J247" s="85" t="str">
        <f aca="false">IF(A247="","",IF(AND(F247&lt;&gt;"",COUNTIFS(Timetable!$F$5:$F$304,F247,Timetable!$C$5:$C$304,C247,Timetable!$D$5:$D$304,D247)&gt;1),"Teacher clash",IF(COUNTIF(Timetable!$I$5:$I$304,I247)&gt;1,"Class clash","OK")))</f>
        <v/>
      </c>
    </row>
    <row r="248" customFormat="false" ht="19.5" hidden="false" customHeight="true" outlineLevel="0" collapsed="false">
      <c r="A248" s="52"/>
      <c r="B248" s="52"/>
      <c r="C248" s="52"/>
      <c r="D248" s="52"/>
      <c r="E248" s="86"/>
      <c r="F248" s="52"/>
      <c r="G248" s="89" t="str">
        <f aca="false">IF(F248="","",IFERROR(INDEX(Teachers!$B$5:$B$304,MATCH(F248,Teachers!$A$5:$A$304,0)),""))</f>
        <v/>
      </c>
      <c r="H248" s="52"/>
      <c r="I248" s="89" t="str">
        <f aca="false">IF(A248="","",A248&amp;"|"&amp;B248&amp;"|"&amp;C248&amp;"|"&amp;D248)</f>
        <v/>
      </c>
      <c r="J248" s="85" t="str">
        <f aca="false">IF(A248="","",IF(AND(F248&lt;&gt;"",COUNTIFS(Timetable!$F$5:$F$304,F248,Timetable!$C$5:$C$304,C248,Timetable!$D$5:$D$304,D248)&gt;1),"Teacher clash",IF(COUNTIF(Timetable!$I$5:$I$304,I248)&gt;1,"Class clash","OK")))</f>
        <v/>
      </c>
    </row>
    <row r="249" customFormat="false" ht="19.5" hidden="false" customHeight="true" outlineLevel="0" collapsed="false">
      <c r="A249" s="52"/>
      <c r="B249" s="52"/>
      <c r="C249" s="52"/>
      <c r="D249" s="52"/>
      <c r="E249" s="86"/>
      <c r="F249" s="52"/>
      <c r="G249" s="89" t="str">
        <f aca="false">IF(F249="","",IFERROR(INDEX(Teachers!$B$5:$B$304,MATCH(F249,Teachers!$A$5:$A$304,0)),""))</f>
        <v/>
      </c>
      <c r="H249" s="52"/>
      <c r="I249" s="89" t="str">
        <f aca="false">IF(A249="","",A249&amp;"|"&amp;B249&amp;"|"&amp;C249&amp;"|"&amp;D249)</f>
        <v/>
      </c>
      <c r="J249" s="85" t="str">
        <f aca="false">IF(A249="","",IF(AND(F249&lt;&gt;"",COUNTIFS(Timetable!$F$5:$F$304,F249,Timetable!$C$5:$C$304,C249,Timetable!$D$5:$D$304,D249)&gt;1),"Teacher clash",IF(COUNTIF(Timetable!$I$5:$I$304,I249)&gt;1,"Class clash","OK")))</f>
        <v/>
      </c>
    </row>
    <row r="250" customFormat="false" ht="19.5" hidden="false" customHeight="true" outlineLevel="0" collapsed="false">
      <c r="A250" s="52"/>
      <c r="B250" s="52"/>
      <c r="C250" s="52"/>
      <c r="D250" s="52"/>
      <c r="E250" s="86"/>
      <c r="F250" s="52"/>
      <c r="G250" s="89" t="str">
        <f aca="false">IF(F250="","",IFERROR(INDEX(Teachers!$B$5:$B$304,MATCH(F250,Teachers!$A$5:$A$304,0)),""))</f>
        <v/>
      </c>
      <c r="H250" s="52"/>
      <c r="I250" s="89" t="str">
        <f aca="false">IF(A250="","",A250&amp;"|"&amp;B250&amp;"|"&amp;C250&amp;"|"&amp;D250)</f>
        <v/>
      </c>
      <c r="J250" s="85" t="str">
        <f aca="false">IF(A250="","",IF(AND(F250&lt;&gt;"",COUNTIFS(Timetable!$F$5:$F$304,F250,Timetable!$C$5:$C$304,C250,Timetable!$D$5:$D$304,D250)&gt;1),"Teacher clash",IF(COUNTIF(Timetable!$I$5:$I$304,I250)&gt;1,"Class clash","OK")))</f>
        <v/>
      </c>
    </row>
    <row r="251" customFormat="false" ht="19.5" hidden="false" customHeight="true" outlineLevel="0" collapsed="false">
      <c r="A251" s="52"/>
      <c r="B251" s="52"/>
      <c r="C251" s="52"/>
      <c r="D251" s="52"/>
      <c r="E251" s="86"/>
      <c r="F251" s="52"/>
      <c r="G251" s="89" t="str">
        <f aca="false">IF(F251="","",IFERROR(INDEX(Teachers!$B$5:$B$304,MATCH(F251,Teachers!$A$5:$A$304,0)),""))</f>
        <v/>
      </c>
      <c r="H251" s="52"/>
      <c r="I251" s="89" t="str">
        <f aca="false">IF(A251="","",A251&amp;"|"&amp;B251&amp;"|"&amp;C251&amp;"|"&amp;D251)</f>
        <v/>
      </c>
      <c r="J251" s="85" t="str">
        <f aca="false">IF(A251="","",IF(AND(F251&lt;&gt;"",COUNTIFS(Timetable!$F$5:$F$304,F251,Timetable!$C$5:$C$304,C251,Timetable!$D$5:$D$304,D251)&gt;1),"Teacher clash",IF(COUNTIF(Timetable!$I$5:$I$304,I251)&gt;1,"Class clash","OK")))</f>
        <v/>
      </c>
    </row>
    <row r="252" customFormat="false" ht="19.5" hidden="false" customHeight="true" outlineLevel="0" collapsed="false">
      <c r="A252" s="52"/>
      <c r="B252" s="52"/>
      <c r="C252" s="52"/>
      <c r="D252" s="52"/>
      <c r="E252" s="86"/>
      <c r="F252" s="52"/>
      <c r="G252" s="89" t="str">
        <f aca="false">IF(F252="","",IFERROR(INDEX(Teachers!$B$5:$B$304,MATCH(F252,Teachers!$A$5:$A$304,0)),""))</f>
        <v/>
      </c>
      <c r="H252" s="52"/>
      <c r="I252" s="89" t="str">
        <f aca="false">IF(A252="","",A252&amp;"|"&amp;B252&amp;"|"&amp;C252&amp;"|"&amp;D252)</f>
        <v/>
      </c>
      <c r="J252" s="85" t="str">
        <f aca="false">IF(A252="","",IF(AND(F252&lt;&gt;"",COUNTIFS(Timetable!$F$5:$F$304,F252,Timetable!$C$5:$C$304,C252,Timetable!$D$5:$D$304,D252)&gt;1),"Teacher clash",IF(COUNTIF(Timetable!$I$5:$I$304,I252)&gt;1,"Class clash","OK")))</f>
        <v/>
      </c>
    </row>
    <row r="253" customFormat="false" ht="19.5" hidden="false" customHeight="true" outlineLevel="0" collapsed="false">
      <c r="A253" s="52"/>
      <c r="B253" s="52"/>
      <c r="C253" s="52"/>
      <c r="D253" s="52"/>
      <c r="E253" s="86"/>
      <c r="F253" s="52"/>
      <c r="G253" s="89" t="str">
        <f aca="false">IF(F253="","",IFERROR(INDEX(Teachers!$B$5:$B$304,MATCH(F253,Teachers!$A$5:$A$304,0)),""))</f>
        <v/>
      </c>
      <c r="H253" s="52"/>
      <c r="I253" s="89" t="str">
        <f aca="false">IF(A253="","",A253&amp;"|"&amp;B253&amp;"|"&amp;C253&amp;"|"&amp;D253)</f>
        <v/>
      </c>
      <c r="J253" s="85" t="str">
        <f aca="false">IF(A253="","",IF(AND(F253&lt;&gt;"",COUNTIFS(Timetable!$F$5:$F$304,F253,Timetable!$C$5:$C$304,C253,Timetable!$D$5:$D$304,D253)&gt;1),"Teacher clash",IF(COUNTIF(Timetable!$I$5:$I$304,I253)&gt;1,"Class clash","OK")))</f>
        <v/>
      </c>
    </row>
    <row r="254" customFormat="false" ht="19.5" hidden="false" customHeight="true" outlineLevel="0" collapsed="false">
      <c r="A254" s="52"/>
      <c r="B254" s="52"/>
      <c r="C254" s="52"/>
      <c r="D254" s="52"/>
      <c r="E254" s="86"/>
      <c r="F254" s="52"/>
      <c r="G254" s="89" t="str">
        <f aca="false">IF(F254="","",IFERROR(INDEX(Teachers!$B$5:$B$304,MATCH(F254,Teachers!$A$5:$A$304,0)),""))</f>
        <v/>
      </c>
      <c r="H254" s="52"/>
      <c r="I254" s="89" t="str">
        <f aca="false">IF(A254="","",A254&amp;"|"&amp;B254&amp;"|"&amp;C254&amp;"|"&amp;D254)</f>
        <v/>
      </c>
      <c r="J254" s="85" t="str">
        <f aca="false">IF(A254="","",IF(AND(F254&lt;&gt;"",COUNTIFS(Timetable!$F$5:$F$304,F254,Timetable!$C$5:$C$304,C254,Timetable!$D$5:$D$304,D254)&gt;1),"Teacher clash",IF(COUNTIF(Timetable!$I$5:$I$304,I254)&gt;1,"Class clash","OK")))</f>
        <v/>
      </c>
    </row>
    <row r="255" customFormat="false" ht="19.5" hidden="false" customHeight="true" outlineLevel="0" collapsed="false">
      <c r="A255" s="52"/>
      <c r="B255" s="52"/>
      <c r="C255" s="52"/>
      <c r="D255" s="52"/>
      <c r="E255" s="86"/>
      <c r="F255" s="52"/>
      <c r="G255" s="89" t="str">
        <f aca="false">IF(F255="","",IFERROR(INDEX(Teachers!$B$5:$B$304,MATCH(F255,Teachers!$A$5:$A$304,0)),""))</f>
        <v/>
      </c>
      <c r="H255" s="52"/>
      <c r="I255" s="89" t="str">
        <f aca="false">IF(A255="","",A255&amp;"|"&amp;B255&amp;"|"&amp;C255&amp;"|"&amp;D255)</f>
        <v/>
      </c>
      <c r="J255" s="85" t="str">
        <f aca="false">IF(A255="","",IF(AND(F255&lt;&gt;"",COUNTIFS(Timetable!$F$5:$F$304,F255,Timetable!$C$5:$C$304,C255,Timetable!$D$5:$D$304,D255)&gt;1),"Teacher clash",IF(COUNTIF(Timetable!$I$5:$I$304,I255)&gt;1,"Class clash","OK")))</f>
        <v/>
      </c>
    </row>
    <row r="256" customFormat="false" ht="19.5" hidden="false" customHeight="true" outlineLevel="0" collapsed="false">
      <c r="A256" s="52"/>
      <c r="B256" s="52"/>
      <c r="C256" s="52"/>
      <c r="D256" s="52"/>
      <c r="E256" s="86"/>
      <c r="F256" s="52"/>
      <c r="G256" s="89" t="str">
        <f aca="false">IF(F256="","",IFERROR(INDEX(Teachers!$B$5:$B$304,MATCH(F256,Teachers!$A$5:$A$304,0)),""))</f>
        <v/>
      </c>
      <c r="H256" s="52"/>
      <c r="I256" s="89" t="str">
        <f aca="false">IF(A256="","",A256&amp;"|"&amp;B256&amp;"|"&amp;C256&amp;"|"&amp;D256)</f>
        <v/>
      </c>
      <c r="J256" s="85" t="str">
        <f aca="false">IF(A256="","",IF(AND(F256&lt;&gt;"",COUNTIFS(Timetable!$F$5:$F$304,F256,Timetable!$C$5:$C$304,C256,Timetable!$D$5:$D$304,D256)&gt;1),"Teacher clash",IF(COUNTIF(Timetable!$I$5:$I$304,I256)&gt;1,"Class clash","OK")))</f>
        <v/>
      </c>
    </row>
    <row r="257" customFormat="false" ht="19.5" hidden="false" customHeight="true" outlineLevel="0" collapsed="false">
      <c r="A257" s="52"/>
      <c r="B257" s="52"/>
      <c r="C257" s="52"/>
      <c r="D257" s="52"/>
      <c r="E257" s="86"/>
      <c r="F257" s="52"/>
      <c r="G257" s="89" t="str">
        <f aca="false">IF(F257="","",IFERROR(INDEX(Teachers!$B$5:$B$304,MATCH(F257,Teachers!$A$5:$A$304,0)),""))</f>
        <v/>
      </c>
      <c r="H257" s="52"/>
      <c r="I257" s="89" t="str">
        <f aca="false">IF(A257="","",A257&amp;"|"&amp;B257&amp;"|"&amp;C257&amp;"|"&amp;D257)</f>
        <v/>
      </c>
      <c r="J257" s="85" t="str">
        <f aca="false">IF(A257="","",IF(AND(F257&lt;&gt;"",COUNTIFS(Timetable!$F$5:$F$304,F257,Timetable!$C$5:$C$304,C257,Timetable!$D$5:$D$304,D257)&gt;1),"Teacher clash",IF(COUNTIF(Timetable!$I$5:$I$304,I257)&gt;1,"Class clash","OK")))</f>
        <v/>
      </c>
    </row>
    <row r="258" customFormat="false" ht="19.5" hidden="false" customHeight="true" outlineLevel="0" collapsed="false">
      <c r="A258" s="52"/>
      <c r="B258" s="52"/>
      <c r="C258" s="52"/>
      <c r="D258" s="52"/>
      <c r="E258" s="86"/>
      <c r="F258" s="52"/>
      <c r="G258" s="89" t="str">
        <f aca="false">IF(F258="","",IFERROR(INDEX(Teachers!$B$5:$B$304,MATCH(F258,Teachers!$A$5:$A$304,0)),""))</f>
        <v/>
      </c>
      <c r="H258" s="52"/>
      <c r="I258" s="89" t="str">
        <f aca="false">IF(A258="","",A258&amp;"|"&amp;B258&amp;"|"&amp;C258&amp;"|"&amp;D258)</f>
        <v/>
      </c>
      <c r="J258" s="85" t="str">
        <f aca="false">IF(A258="","",IF(AND(F258&lt;&gt;"",COUNTIFS(Timetable!$F$5:$F$304,F258,Timetable!$C$5:$C$304,C258,Timetable!$D$5:$D$304,D258)&gt;1),"Teacher clash",IF(COUNTIF(Timetable!$I$5:$I$304,I258)&gt;1,"Class clash","OK")))</f>
        <v/>
      </c>
    </row>
    <row r="259" customFormat="false" ht="19.5" hidden="false" customHeight="true" outlineLevel="0" collapsed="false">
      <c r="A259" s="52"/>
      <c r="B259" s="52"/>
      <c r="C259" s="52"/>
      <c r="D259" s="52"/>
      <c r="E259" s="86"/>
      <c r="F259" s="52"/>
      <c r="G259" s="89" t="str">
        <f aca="false">IF(F259="","",IFERROR(INDEX(Teachers!$B$5:$B$304,MATCH(F259,Teachers!$A$5:$A$304,0)),""))</f>
        <v/>
      </c>
      <c r="H259" s="52"/>
      <c r="I259" s="89" t="str">
        <f aca="false">IF(A259="","",A259&amp;"|"&amp;B259&amp;"|"&amp;C259&amp;"|"&amp;D259)</f>
        <v/>
      </c>
      <c r="J259" s="85" t="str">
        <f aca="false">IF(A259="","",IF(AND(F259&lt;&gt;"",COUNTIFS(Timetable!$F$5:$F$304,F259,Timetable!$C$5:$C$304,C259,Timetable!$D$5:$D$304,D259)&gt;1),"Teacher clash",IF(COUNTIF(Timetable!$I$5:$I$304,I259)&gt;1,"Class clash","OK")))</f>
        <v/>
      </c>
    </row>
    <row r="260" customFormat="false" ht="19.5" hidden="false" customHeight="true" outlineLevel="0" collapsed="false">
      <c r="A260" s="52"/>
      <c r="B260" s="52"/>
      <c r="C260" s="52"/>
      <c r="D260" s="52"/>
      <c r="E260" s="86"/>
      <c r="F260" s="52"/>
      <c r="G260" s="89" t="str">
        <f aca="false">IF(F260="","",IFERROR(INDEX(Teachers!$B$5:$B$304,MATCH(F260,Teachers!$A$5:$A$304,0)),""))</f>
        <v/>
      </c>
      <c r="H260" s="52"/>
      <c r="I260" s="89" t="str">
        <f aca="false">IF(A260="","",A260&amp;"|"&amp;B260&amp;"|"&amp;C260&amp;"|"&amp;D260)</f>
        <v/>
      </c>
      <c r="J260" s="85" t="str">
        <f aca="false">IF(A260="","",IF(AND(F260&lt;&gt;"",COUNTIFS(Timetable!$F$5:$F$304,F260,Timetable!$C$5:$C$304,C260,Timetable!$D$5:$D$304,D260)&gt;1),"Teacher clash",IF(COUNTIF(Timetable!$I$5:$I$304,I260)&gt;1,"Class clash","OK")))</f>
        <v/>
      </c>
    </row>
    <row r="261" customFormat="false" ht="19.5" hidden="false" customHeight="true" outlineLevel="0" collapsed="false">
      <c r="A261" s="52"/>
      <c r="B261" s="52"/>
      <c r="C261" s="52"/>
      <c r="D261" s="52"/>
      <c r="E261" s="86"/>
      <c r="F261" s="52"/>
      <c r="G261" s="89" t="str">
        <f aca="false">IF(F261="","",IFERROR(INDEX(Teachers!$B$5:$B$304,MATCH(F261,Teachers!$A$5:$A$304,0)),""))</f>
        <v/>
      </c>
      <c r="H261" s="52"/>
      <c r="I261" s="89" t="str">
        <f aca="false">IF(A261="","",A261&amp;"|"&amp;B261&amp;"|"&amp;C261&amp;"|"&amp;D261)</f>
        <v/>
      </c>
      <c r="J261" s="85" t="str">
        <f aca="false">IF(A261="","",IF(AND(F261&lt;&gt;"",COUNTIFS(Timetable!$F$5:$F$304,F261,Timetable!$C$5:$C$304,C261,Timetable!$D$5:$D$304,D261)&gt;1),"Teacher clash",IF(COUNTIF(Timetable!$I$5:$I$304,I261)&gt;1,"Class clash","OK")))</f>
        <v/>
      </c>
    </row>
    <row r="262" customFormat="false" ht="19.5" hidden="false" customHeight="true" outlineLevel="0" collapsed="false">
      <c r="A262" s="52"/>
      <c r="B262" s="52"/>
      <c r="C262" s="52"/>
      <c r="D262" s="52"/>
      <c r="E262" s="86"/>
      <c r="F262" s="52"/>
      <c r="G262" s="89" t="str">
        <f aca="false">IF(F262="","",IFERROR(INDEX(Teachers!$B$5:$B$304,MATCH(F262,Teachers!$A$5:$A$304,0)),""))</f>
        <v/>
      </c>
      <c r="H262" s="52"/>
      <c r="I262" s="89" t="str">
        <f aca="false">IF(A262="","",A262&amp;"|"&amp;B262&amp;"|"&amp;C262&amp;"|"&amp;D262)</f>
        <v/>
      </c>
      <c r="J262" s="85" t="str">
        <f aca="false">IF(A262="","",IF(AND(F262&lt;&gt;"",COUNTIFS(Timetable!$F$5:$F$304,F262,Timetable!$C$5:$C$304,C262,Timetable!$D$5:$D$304,D262)&gt;1),"Teacher clash",IF(COUNTIF(Timetable!$I$5:$I$304,I262)&gt;1,"Class clash","OK")))</f>
        <v/>
      </c>
    </row>
    <row r="263" customFormat="false" ht="19.5" hidden="false" customHeight="true" outlineLevel="0" collapsed="false">
      <c r="A263" s="52"/>
      <c r="B263" s="52"/>
      <c r="C263" s="52"/>
      <c r="D263" s="52"/>
      <c r="E263" s="86"/>
      <c r="F263" s="52"/>
      <c r="G263" s="89" t="str">
        <f aca="false">IF(F263="","",IFERROR(INDEX(Teachers!$B$5:$B$304,MATCH(F263,Teachers!$A$5:$A$304,0)),""))</f>
        <v/>
      </c>
      <c r="H263" s="52"/>
      <c r="I263" s="89" t="str">
        <f aca="false">IF(A263="","",A263&amp;"|"&amp;B263&amp;"|"&amp;C263&amp;"|"&amp;D263)</f>
        <v/>
      </c>
      <c r="J263" s="85" t="str">
        <f aca="false">IF(A263="","",IF(AND(F263&lt;&gt;"",COUNTIFS(Timetable!$F$5:$F$304,F263,Timetable!$C$5:$C$304,C263,Timetable!$D$5:$D$304,D263)&gt;1),"Teacher clash",IF(COUNTIF(Timetable!$I$5:$I$304,I263)&gt;1,"Class clash","OK")))</f>
        <v/>
      </c>
    </row>
    <row r="264" customFormat="false" ht="19.5" hidden="false" customHeight="true" outlineLevel="0" collapsed="false">
      <c r="A264" s="52"/>
      <c r="B264" s="52"/>
      <c r="C264" s="52"/>
      <c r="D264" s="52"/>
      <c r="E264" s="86"/>
      <c r="F264" s="52"/>
      <c r="G264" s="89" t="str">
        <f aca="false">IF(F264="","",IFERROR(INDEX(Teachers!$B$5:$B$304,MATCH(F264,Teachers!$A$5:$A$304,0)),""))</f>
        <v/>
      </c>
      <c r="H264" s="52"/>
      <c r="I264" s="89" t="str">
        <f aca="false">IF(A264="","",A264&amp;"|"&amp;B264&amp;"|"&amp;C264&amp;"|"&amp;D264)</f>
        <v/>
      </c>
      <c r="J264" s="85" t="str">
        <f aca="false">IF(A264="","",IF(AND(F264&lt;&gt;"",COUNTIFS(Timetable!$F$5:$F$304,F264,Timetable!$C$5:$C$304,C264,Timetable!$D$5:$D$304,D264)&gt;1),"Teacher clash",IF(COUNTIF(Timetable!$I$5:$I$304,I264)&gt;1,"Class clash","OK")))</f>
        <v/>
      </c>
    </row>
    <row r="265" customFormat="false" ht="19.5" hidden="false" customHeight="true" outlineLevel="0" collapsed="false">
      <c r="A265" s="52"/>
      <c r="B265" s="52"/>
      <c r="C265" s="52"/>
      <c r="D265" s="52"/>
      <c r="E265" s="86"/>
      <c r="F265" s="52"/>
      <c r="G265" s="89" t="str">
        <f aca="false">IF(F265="","",IFERROR(INDEX(Teachers!$B$5:$B$304,MATCH(F265,Teachers!$A$5:$A$304,0)),""))</f>
        <v/>
      </c>
      <c r="H265" s="52"/>
      <c r="I265" s="89" t="str">
        <f aca="false">IF(A265="","",A265&amp;"|"&amp;B265&amp;"|"&amp;C265&amp;"|"&amp;D265)</f>
        <v/>
      </c>
      <c r="J265" s="85" t="str">
        <f aca="false">IF(A265="","",IF(AND(F265&lt;&gt;"",COUNTIFS(Timetable!$F$5:$F$304,F265,Timetable!$C$5:$C$304,C265,Timetable!$D$5:$D$304,D265)&gt;1),"Teacher clash",IF(COUNTIF(Timetable!$I$5:$I$304,I265)&gt;1,"Class clash","OK")))</f>
        <v/>
      </c>
    </row>
    <row r="266" customFormat="false" ht="19.5" hidden="false" customHeight="true" outlineLevel="0" collapsed="false">
      <c r="A266" s="52"/>
      <c r="B266" s="52"/>
      <c r="C266" s="52"/>
      <c r="D266" s="52"/>
      <c r="E266" s="86"/>
      <c r="F266" s="52"/>
      <c r="G266" s="89" t="str">
        <f aca="false">IF(F266="","",IFERROR(INDEX(Teachers!$B$5:$B$304,MATCH(F266,Teachers!$A$5:$A$304,0)),""))</f>
        <v/>
      </c>
      <c r="H266" s="52"/>
      <c r="I266" s="89" t="str">
        <f aca="false">IF(A266="","",A266&amp;"|"&amp;B266&amp;"|"&amp;C266&amp;"|"&amp;D266)</f>
        <v/>
      </c>
      <c r="J266" s="85" t="str">
        <f aca="false">IF(A266="","",IF(AND(F266&lt;&gt;"",COUNTIFS(Timetable!$F$5:$F$304,F266,Timetable!$C$5:$C$304,C266,Timetable!$D$5:$D$304,D266)&gt;1),"Teacher clash",IF(COUNTIF(Timetable!$I$5:$I$304,I266)&gt;1,"Class clash","OK")))</f>
        <v/>
      </c>
    </row>
    <row r="267" customFormat="false" ht="19.5" hidden="false" customHeight="true" outlineLevel="0" collapsed="false">
      <c r="A267" s="52"/>
      <c r="B267" s="52"/>
      <c r="C267" s="52"/>
      <c r="D267" s="52"/>
      <c r="E267" s="86"/>
      <c r="F267" s="52"/>
      <c r="G267" s="89" t="str">
        <f aca="false">IF(F267="","",IFERROR(INDEX(Teachers!$B$5:$B$304,MATCH(F267,Teachers!$A$5:$A$304,0)),""))</f>
        <v/>
      </c>
      <c r="H267" s="52"/>
      <c r="I267" s="89" t="str">
        <f aca="false">IF(A267="","",A267&amp;"|"&amp;B267&amp;"|"&amp;C267&amp;"|"&amp;D267)</f>
        <v/>
      </c>
      <c r="J267" s="85" t="str">
        <f aca="false">IF(A267="","",IF(AND(F267&lt;&gt;"",COUNTIFS(Timetable!$F$5:$F$304,F267,Timetable!$C$5:$C$304,C267,Timetable!$D$5:$D$304,D267)&gt;1),"Teacher clash",IF(COUNTIF(Timetable!$I$5:$I$304,I267)&gt;1,"Class clash","OK")))</f>
        <v/>
      </c>
    </row>
    <row r="268" customFormat="false" ht="19.5" hidden="false" customHeight="true" outlineLevel="0" collapsed="false">
      <c r="A268" s="52"/>
      <c r="B268" s="52"/>
      <c r="C268" s="52"/>
      <c r="D268" s="52"/>
      <c r="E268" s="86"/>
      <c r="F268" s="52"/>
      <c r="G268" s="89" t="str">
        <f aca="false">IF(F268="","",IFERROR(INDEX(Teachers!$B$5:$B$304,MATCH(F268,Teachers!$A$5:$A$304,0)),""))</f>
        <v/>
      </c>
      <c r="H268" s="52"/>
      <c r="I268" s="89" t="str">
        <f aca="false">IF(A268="","",A268&amp;"|"&amp;B268&amp;"|"&amp;C268&amp;"|"&amp;D268)</f>
        <v/>
      </c>
      <c r="J268" s="85" t="str">
        <f aca="false">IF(A268="","",IF(AND(F268&lt;&gt;"",COUNTIFS(Timetable!$F$5:$F$304,F268,Timetable!$C$5:$C$304,C268,Timetable!$D$5:$D$304,D268)&gt;1),"Teacher clash",IF(COUNTIF(Timetable!$I$5:$I$304,I268)&gt;1,"Class clash","OK")))</f>
        <v/>
      </c>
    </row>
    <row r="269" customFormat="false" ht="19.5" hidden="false" customHeight="true" outlineLevel="0" collapsed="false">
      <c r="A269" s="52"/>
      <c r="B269" s="52"/>
      <c r="C269" s="52"/>
      <c r="D269" s="52"/>
      <c r="E269" s="86"/>
      <c r="F269" s="52"/>
      <c r="G269" s="89" t="str">
        <f aca="false">IF(F269="","",IFERROR(INDEX(Teachers!$B$5:$B$304,MATCH(F269,Teachers!$A$5:$A$304,0)),""))</f>
        <v/>
      </c>
      <c r="H269" s="52"/>
      <c r="I269" s="89" t="str">
        <f aca="false">IF(A269="","",A269&amp;"|"&amp;B269&amp;"|"&amp;C269&amp;"|"&amp;D269)</f>
        <v/>
      </c>
      <c r="J269" s="85" t="str">
        <f aca="false">IF(A269="","",IF(AND(F269&lt;&gt;"",COUNTIFS(Timetable!$F$5:$F$304,F269,Timetable!$C$5:$C$304,C269,Timetable!$D$5:$D$304,D269)&gt;1),"Teacher clash",IF(COUNTIF(Timetable!$I$5:$I$304,I269)&gt;1,"Class clash","OK")))</f>
        <v/>
      </c>
    </row>
    <row r="270" customFormat="false" ht="19.5" hidden="false" customHeight="true" outlineLevel="0" collapsed="false">
      <c r="A270" s="52"/>
      <c r="B270" s="52"/>
      <c r="C270" s="52"/>
      <c r="D270" s="52"/>
      <c r="E270" s="86"/>
      <c r="F270" s="52"/>
      <c r="G270" s="89" t="str">
        <f aca="false">IF(F270="","",IFERROR(INDEX(Teachers!$B$5:$B$304,MATCH(F270,Teachers!$A$5:$A$304,0)),""))</f>
        <v/>
      </c>
      <c r="H270" s="52"/>
      <c r="I270" s="89" t="str">
        <f aca="false">IF(A270="","",A270&amp;"|"&amp;B270&amp;"|"&amp;C270&amp;"|"&amp;D270)</f>
        <v/>
      </c>
      <c r="J270" s="85" t="str">
        <f aca="false">IF(A270="","",IF(AND(F270&lt;&gt;"",COUNTIFS(Timetable!$F$5:$F$304,F270,Timetable!$C$5:$C$304,C270,Timetable!$D$5:$D$304,D270)&gt;1),"Teacher clash",IF(COUNTIF(Timetable!$I$5:$I$304,I270)&gt;1,"Class clash","OK")))</f>
        <v/>
      </c>
    </row>
    <row r="271" customFormat="false" ht="19.5" hidden="false" customHeight="true" outlineLevel="0" collapsed="false">
      <c r="A271" s="52"/>
      <c r="B271" s="52"/>
      <c r="C271" s="52"/>
      <c r="D271" s="52"/>
      <c r="E271" s="86"/>
      <c r="F271" s="52"/>
      <c r="G271" s="89" t="str">
        <f aca="false">IF(F271="","",IFERROR(INDEX(Teachers!$B$5:$B$304,MATCH(F271,Teachers!$A$5:$A$304,0)),""))</f>
        <v/>
      </c>
      <c r="H271" s="52"/>
      <c r="I271" s="89" t="str">
        <f aca="false">IF(A271="","",A271&amp;"|"&amp;B271&amp;"|"&amp;C271&amp;"|"&amp;D271)</f>
        <v/>
      </c>
      <c r="J271" s="85" t="str">
        <f aca="false">IF(A271="","",IF(AND(F271&lt;&gt;"",COUNTIFS(Timetable!$F$5:$F$304,F271,Timetable!$C$5:$C$304,C271,Timetable!$D$5:$D$304,D271)&gt;1),"Teacher clash",IF(COUNTIF(Timetable!$I$5:$I$304,I271)&gt;1,"Class clash","OK")))</f>
        <v/>
      </c>
    </row>
    <row r="272" customFormat="false" ht="19.5" hidden="false" customHeight="true" outlineLevel="0" collapsed="false">
      <c r="A272" s="52"/>
      <c r="B272" s="52"/>
      <c r="C272" s="52"/>
      <c r="D272" s="52"/>
      <c r="E272" s="86"/>
      <c r="F272" s="52"/>
      <c r="G272" s="89" t="str">
        <f aca="false">IF(F272="","",IFERROR(INDEX(Teachers!$B$5:$B$304,MATCH(F272,Teachers!$A$5:$A$304,0)),""))</f>
        <v/>
      </c>
      <c r="H272" s="52"/>
      <c r="I272" s="89" t="str">
        <f aca="false">IF(A272="","",A272&amp;"|"&amp;B272&amp;"|"&amp;C272&amp;"|"&amp;D272)</f>
        <v/>
      </c>
      <c r="J272" s="85" t="str">
        <f aca="false">IF(A272="","",IF(AND(F272&lt;&gt;"",COUNTIFS(Timetable!$F$5:$F$304,F272,Timetable!$C$5:$C$304,C272,Timetable!$D$5:$D$304,D272)&gt;1),"Teacher clash",IF(COUNTIF(Timetable!$I$5:$I$304,I272)&gt;1,"Class clash","OK")))</f>
        <v/>
      </c>
    </row>
    <row r="273" customFormat="false" ht="19.5" hidden="false" customHeight="true" outlineLevel="0" collapsed="false">
      <c r="A273" s="52"/>
      <c r="B273" s="52"/>
      <c r="C273" s="52"/>
      <c r="D273" s="52"/>
      <c r="E273" s="86"/>
      <c r="F273" s="52"/>
      <c r="G273" s="89" t="str">
        <f aca="false">IF(F273="","",IFERROR(INDEX(Teachers!$B$5:$B$304,MATCH(F273,Teachers!$A$5:$A$304,0)),""))</f>
        <v/>
      </c>
      <c r="H273" s="52"/>
      <c r="I273" s="89" t="str">
        <f aca="false">IF(A273="","",A273&amp;"|"&amp;B273&amp;"|"&amp;C273&amp;"|"&amp;D273)</f>
        <v/>
      </c>
      <c r="J273" s="85" t="str">
        <f aca="false">IF(A273="","",IF(AND(F273&lt;&gt;"",COUNTIFS(Timetable!$F$5:$F$304,F273,Timetable!$C$5:$C$304,C273,Timetable!$D$5:$D$304,D273)&gt;1),"Teacher clash",IF(COUNTIF(Timetable!$I$5:$I$304,I273)&gt;1,"Class clash","OK")))</f>
        <v/>
      </c>
    </row>
    <row r="274" customFormat="false" ht="19.5" hidden="false" customHeight="true" outlineLevel="0" collapsed="false">
      <c r="A274" s="52"/>
      <c r="B274" s="52"/>
      <c r="C274" s="52"/>
      <c r="D274" s="52"/>
      <c r="E274" s="86"/>
      <c r="F274" s="52"/>
      <c r="G274" s="89" t="str">
        <f aca="false">IF(F274="","",IFERROR(INDEX(Teachers!$B$5:$B$304,MATCH(F274,Teachers!$A$5:$A$304,0)),""))</f>
        <v/>
      </c>
      <c r="H274" s="52"/>
      <c r="I274" s="89" t="str">
        <f aca="false">IF(A274="","",A274&amp;"|"&amp;B274&amp;"|"&amp;C274&amp;"|"&amp;D274)</f>
        <v/>
      </c>
      <c r="J274" s="85" t="str">
        <f aca="false">IF(A274="","",IF(AND(F274&lt;&gt;"",COUNTIFS(Timetable!$F$5:$F$304,F274,Timetable!$C$5:$C$304,C274,Timetable!$D$5:$D$304,D274)&gt;1),"Teacher clash",IF(COUNTIF(Timetable!$I$5:$I$304,I274)&gt;1,"Class clash","OK")))</f>
        <v/>
      </c>
    </row>
    <row r="275" customFormat="false" ht="19.5" hidden="false" customHeight="true" outlineLevel="0" collapsed="false">
      <c r="A275" s="52"/>
      <c r="B275" s="52"/>
      <c r="C275" s="52"/>
      <c r="D275" s="52"/>
      <c r="E275" s="86"/>
      <c r="F275" s="52"/>
      <c r="G275" s="89" t="str">
        <f aca="false">IF(F275="","",IFERROR(INDEX(Teachers!$B$5:$B$304,MATCH(F275,Teachers!$A$5:$A$304,0)),""))</f>
        <v/>
      </c>
      <c r="H275" s="52"/>
      <c r="I275" s="89" t="str">
        <f aca="false">IF(A275="","",A275&amp;"|"&amp;B275&amp;"|"&amp;C275&amp;"|"&amp;D275)</f>
        <v/>
      </c>
      <c r="J275" s="85" t="str">
        <f aca="false">IF(A275="","",IF(AND(F275&lt;&gt;"",COUNTIFS(Timetable!$F$5:$F$304,F275,Timetable!$C$5:$C$304,C275,Timetable!$D$5:$D$304,D275)&gt;1),"Teacher clash",IF(COUNTIF(Timetable!$I$5:$I$304,I275)&gt;1,"Class clash","OK")))</f>
        <v/>
      </c>
    </row>
    <row r="276" customFormat="false" ht="19.5" hidden="false" customHeight="true" outlineLevel="0" collapsed="false">
      <c r="A276" s="52"/>
      <c r="B276" s="52"/>
      <c r="C276" s="52"/>
      <c r="D276" s="52"/>
      <c r="E276" s="86"/>
      <c r="F276" s="52"/>
      <c r="G276" s="89" t="str">
        <f aca="false">IF(F276="","",IFERROR(INDEX(Teachers!$B$5:$B$304,MATCH(F276,Teachers!$A$5:$A$304,0)),""))</f>
        <v/>
      </c>
      <c r="H276" s="52"/>
      <c r="I276" s="89" t="str">
        <f aca="false">IF(A276="","",A276&amp;"|"&amp;B276&amp;"|"&amp;C276&amp;"|"&amp;D276)</f>
        <v/>
      </c>
      <c r="J276" s="85" t="str">
        <f aca="false">IF(A276="","",IF(AND(F276&lt;&gt;"",COUNTIFS(Timetable!$F$5:$F$304,F276,Timetable!$C$5:$C$304,C276,Timetable!$D$5:$D$304,D276)&gt;1),"Teacher clash",IF(COUNTIF(Timetable!$I$5:$I$304,I276)&gt;1,"Class clash","OK")))</f>
        <v/>
      </c>
    </row>
    <row r="277" customFormat="false" ht="19.5" hidden="false" customHeight="true" outlineLevel="0" collapsed="false">
      <c r="A277" s="52"/>
      <c r="B277" s="52"/>
      <c r="C277" s="52"/>
      <c r="D277" s="52"/>
      <c r="E277" s="86"/>
      <c r="F277" s="52"/>
      <c r="G277" s="89" t="str">
        <f aca="false">IF(F277="","",IFERROR(INDEX(Teachers!$B$5:$B$304,MATCH(F277,Teachers!$A$5:$A$304,0)),""))</f>
        <v/>
      </c>
      <c r="H277" s="52"/>
      <c r="I277" s="89" t="str">
        <f aca="false">IF(A277="","",A277&amp;"|"&amp;B277&amp;"|"&amp;C277&amp;"|"&amp;D277)</f>
        <v/>
      </c>
      <c r="J277" s="85" t="str">
        <f aca="false">IF(A277="","",IF(AND(F277&lt;&gt;"",COUNTIFS(Timetable!$F$5:$F$304,F277,Timetable!$C$5:$C$304,C277,Timetable!$D$5:$D$304,D277)&gt;1),"Teacher clash",IF(COUNTIF(Timetable!$I$5:$I$304,I277)&gt;1,"Class clash","OK")))</f>
        <v/>
      </c>
    </row>
    <row r="278" customFormat="false" ht="19.5" hidden="false" customHeight="true" outlineLevel="0" collapsed="false">
      <c r="A278" s="52"/>
      <c r="B278" s="52"/>
      <c r="C278" s="52"/>
      <c r="D278" s="52"/>
      <c r="E278" s="86"/>
      <c r="F278" s="52"/>
      <c r="G278" s="89" t="str">
        <f aca="false">IF(F278="","",IFERROR(INDEX(Teachers!$B$5:$B$304,MATCH(F278,Teachers!$A$5:$A$304,0)),""))</f>
        <v/>
      </c>
      <c r="H278" s="52"/>
      <c r="I278" s="89" t="str">
        <f aca="false">IF(A278="","",A278&amp;"|"&amp;B278&amp;"|"&amp;C278&amp;"|"&amp;D278)</f>
        <v/>
      </c>
      <c r="J278" s="85" t="str">
        <f aca="false">IF(A278="","",IF(AND(F278&lt;&gt;"",COUNTIFS(Timetable!$F$5:$F$304,F278,Timetable!$C$5:$C$304,C278,Timetable!$D$5:$D$304,D278)&gt;1),"Teacher clash",IF(COUNTIF(Timetable!$I$5:$I$304,I278)&gt;1,"Class clash","OK")))</f>
        <v/>
      </c>
    </row>
    <row r="279" customFormat="false" ht="19.5" hidden="false" customHeight="true" outlineLevel="0" collapsed="false">
      <c r="A279" s="52"/>
      <c r="B279" s="52"/>
      <c r="C279" s="52"/>
      <c r="D279" s="52"/>
      <c r="E279" s="86"/>
      <c r="F279" s="52"/>
      <c r="G279" s="89" t="str">
        <f aca="false">IF(F279="","",IFERROR(INDEX(Teachers!$B$5:$B$304,MATCH(F279,Teachers!$A$5:$A$304,0)),""))</f>
        <v/>
      </c>
      <c r="H279" s="52"/>
      <c r="I279" s="89" t="str">
        <f aca="false">IF(A279="","",A279&amp;"|"&amp;B279&amp;"|"&amp;C279&amp;"|"&amp;D279)</f>
        <v/>
      </c>
      <c r="J279" s="85" t="str">
        <f aca="false">IF(A279="","",IF(AND(F279&lt;&gt;"",COUNTIFS(Timetable!$F$5:$F$304,F279,Timetable!$C$5:$C$304,C279,Timetable!$D$5:$D$304,D279)&gt;1),"Teacher clash",IF(COUNTIF(Timetable!$I$5:$I$304,I279)&gt;1,"Class clash","OK")))</f>
        <v/>
      </c>
    </row>
    <row r="280" customFormat="false" ht="19.5" hidden="false" customHeight="true" outlineLevel="0" collapsed="false">
      <c r="A280" s="52"/>
      <c r="B280" s="52"/>
      <c r="C280" s="52"/>
      <c r="D280" s="52"/>
      <c r="E280" s="86"/>
      <c r="F280" s="52"/>
      <c r="G280" s="89" t="str">
        <f aca="false">IF(F280="","",IFERROR(INDEX(Teachers!$B$5:$B$304,MATCH(F280,Teachers!$A$5:$A$304,0)),""))</f>
        <v/>
      </c>
      <c r="H280" s="52"/>
      <c r="I280" s="89" t="str">
        <f aca="false">IF(A280="","",A280&amp;"|"&amp;B280&amp;"|"&amp;C280&amp;"|"&amp;D280)</f>
        <v/>
      </c>
      <c r="J280" s="85" t="str">
        <f aca="false">IF(A280="","",IF(AND(F280&lt;&gt;"",COUNTIFS(Timetable!$F$5:$F$304,F280,Timetable!$C$5:$C$304,C280,Timetable!$D$5:$D$304,D280)&gt;1),"Teacher clash",IF(COUNTIF(Timetable!$I$5:$I$304,I280)&gt;1,"Class clash","OK")))</f>
        <v/>
      </c>
    </row>
    <row r="281" customFormat="false" ht="19.5" hidden="false" customHeight="true" outlineLevel="0" collapsed="false">
      <c r="A281" s="52"/>
      <c r="B281" s="52"/>
      <c r="C281" s="52"/>
      <c r="D281" s="52"/>
      <c r="E281" s="86"/>
      <c r="F281" s="52"/>
      <c r="G281" s="89" t="str">
        <f aca="false">IF(F281="","",IFERROR(INDEX(Teachers!$B$5:$B$304,MATCH(F281,Teachers!$A$5:$A$304,0)),""))</f>
        <v/>
      </c>
      <c r="H281" s="52"/>
      <c r="I281" s="89" t="str">
        <f aca="false">IF(A281="","",A281&amp;"|"&amp;B281&amp;"|"&amp;C281&amp;"|"&amp;D281)</f>
        <v/>
      </c>
      <c r="J281" s="85" t="str">
        <f aca="false">IF(A281="","",IF(AND(F281&lt;&gt;"",COUNTIFS(Timetable!$F$5:$F$304,F281,Timetable!$C$5:$C$304,C281,Timetable!$D$5:$D$304,D281)&gt;1),"Teacher clash",IF(COUNTIF(Timetable!$I$5:$I$304,I281)&gt;1,"Class clash","OK")))</f>
        <v/>
      </c>
    </row>
    <row r="282" customFormat="false" ht="19.5" hidden="false" customHeight="true" outlineLevel="0" collapsed="false">
      <c r="A282" s="52"/>
      <c r="B282" s="52"/>
      <c r="C282" s="52"/>
      <c r="D282" s="52"/>
      <c r="E282" s="86"/>
      <c r="F282" s="52"/>
      <c r="G282" s="89" t="str">
        <f aca="false">IF(F282="","",IFERROR(INDEX(Teachers!$B$5:$B$304,MATCH(F282,Teachers!$A$5:$A$304,0)),""))</f>
        <v/>
      </c>
      <c r="H282" s="52"/>
      <c r="I282" s="89" t="str">
        <f aca="false">IF(A282="","",A282&amp;"|"&amp;B282&amp;"|"&amp;C282&amp;"|"&amp;D282)</f>
        <v/>
      </c>
      <c r="J282" s="85" t="str">
        <f aca="false">IF(A282="","",IF(AND(F282&lt;&gt;"",COUNTIFS(Timetable!$F$5:$F$304,F282,Timetable!$C$5:$C$304,C282,Timetable!$D$5:$D$304,D282)&gt;1),"Teacher clash",IF(COUNTIF(Timetable!$I$5:$I$304,I282)&gt;1,"Class clash","OK")))</f>
        <v/>
      </c>
    </row>
    <row r="283" customFormat="false" ht="19.5" hidden="false" customHeight="true" outlineLevel="0" collapsed="false">
      <c r="A283" s="52"/>
      <c r="B283" s="52"/>
      <c r="C283" s="52"/>
      <c r="D283" s="52"/>
      <c r="E283" s="86"/>
      <c r="F283" s="52"/>
      <c r="G283" s="89" t="str">
        <f aca="false">IF(F283="","",IFERROR(INDEX(Teachers!$B$5:$B$304,MATCH(F283,Teachers!$A$5:$A$304,0)),""))</f>
        <v/>
      </c>
      <c r="H283" s="52"/>
      <c r="I283" s="89" t="str">
        <f aca="false">IF(A283="","",A283&amp;"|"&amp;B283&amp;"|"&amp;C283&amp;"|"&amp;D283)</f>
        <v/>
      </c>
      <c r="J283" s="85" t="str">
        <f aca="false">IF(A283="","",IF(AND(F283&lt;&gt;"",COUNTIFS(Timetable!$F$5:$F$304,F283,Timetable!$C$5:$C$304,C283,Timetable!$D$5:$D$304,D283)&gt;1),"Teacher clash",IF(COUNTIF(Timetable!$I$5:$I$304,I283)&gt;1,"Class clash","OK")))</f>
        <v/>
      </c>
    </row>
    <row r="284" customFormat="false" ht="19.5" hidden="false" customHeight="true" outlineLevel="0" collapsed="false">
      <c r="A284" s="52"/>
      <c r="B284" s="52"/>
      <c r="C284" s="52"/>
      <c r="D284" s="52"/>
      <c r="E284" s="86"/>
      <c r="F284" s="52"/>
      <c r="G284" s="89" t="str">
        <f aca="false">IF(F284="","",IFERROR(INDEX(Teachers!$B$5:$B$304,MATCH(F284,Teachers!$A$5:$A$304,0)),""))</f>
        <v/>
      </c>
      <c r="H284" s="52"/>
      <c r="I284" s="89" t="str">
        <f aca="false">IF(A284="","",A284&amp;"|"&amp;B284&amp;"|"&amp;C284&amp;"|"&amp;D284)</f>
        <v/>
      </c>
      <c r="J284" s="85" t="str">
        <f aca="false">IF(A284="","",IF(AND(F284&lt;&gt;"",COUNTIFS(Timetable!$F$5:$F$304,F284,Timetable!$C$5:$C$304,C284,Timetable!$D$5:$D$304,D284)&gt;1),"Teacher clash",IF(COUNTIF(Timetable!$I$5:$I$304,I284)&gt;1,"Class clash","OK")))</f>
        <v/>
      </c>
    </row>
    <row r="285" customFormat="false" ht="19.5" hidden="false" customHeight="true" outlineLevel="0" collapsed="false">
      <c r="A285" s="52"/>
      <c r="B285" s="52"/>
      <c r="C285" s="52"/>
      <c r="D285" s="52"/>
      <c r="E285" s="86"/>
      <c r="F285" s="52"/>
      <c r="G285" s="89" t="str">
        <f aca="false">IF(F285="","",IFERROR(INDEX(Teachers!$B$5:$B$304,MATCH(F285,Teachers!$A$5:$A$304,0)),""))</f>
        <v/>
      </c>
      <c r="H285" s="52"/>
      <c r="I285" s="89" t="str">
        <f aca="false">IF(A285="","",A285&amp;"|"&amp;B285&amp;"|"&amp;C285&amp;"|"&amp;D285)</f>
        <v/>
      </c>
      <c r="J285" s="85" t="str">
        <f aca="false">IF(A285="","",IF(AND(F285&lt;&gt;"",COUNTIFS(Timetable!$F$5:$F$304,F285,Timetable!$C$5:$C$304,C285,Timetable!$D$5:$D$304,D285)&gt;1),"Teacher clash",IF(COUNTIF(Timetable!$I$5:$I$304,I285)&gt;1,"Class clash","OK")))</f>
        <v/>
      </c>
    </row>
    <row r="286" customFormat="false" ht="19.5" hidden="false" customHeight="true" outlineLevel="0" collapsed="false">
      <c r="A286" s="52"/>
      <c r="B286" s="52"/>
      <c r="C286" s="52"/>
      <c r="D286" s="52"/>
      <c r="E286" s="86"/>
      <c r="F286" s="52"/>
      <c r="G286" s="89" t="str">
        <f aca="false">IF(F286="","",IFERROR(INDEX(Teachers!$B$5:$B$304,MATCH(F286,Teachers!$A$5:$A$304,0)),""))</f>
        <v/>
      </c>
      <c r="H286" s="52"/>
      <c r="I286" s="89" t="str">
        <f aca="false">IF(A286="","",A286&amp;"|"&amp;B286&amp;"|"&amp;C286&amp;"|"&amp;D286)</f>
        <v/>
      </c>
      <c r="J286" s="85" t="str">
        <f aca="false">IF(A286="","",IF(AND(F286&lt;&gt;"",COUNTIFS(Timetable!$F$5:$F$304,F286,Timetable!$C$5:$C$304,C286,Timetable!$D$5:$D$304,D286)&gt;1),"Teacher clash",IF(COUNTIF(Timetable!$I$5:$I$304,I286)&gt;1,"Class clash","OK")))</f>
        <v/>
      </c>
    </row>
    <row r="287" customFormat="false" ht="19.5" hidden="false" customHeight="true" outlineLevel="0" collapsed="false">
      <c r="A287" s="52"/>
      <c r="B287" s="52"/>
      <c r="C287" s="52"/>
      <c r="D287" s="52"/>
      <c r="E287" s="86"/>
      <c r="F287" s="52"/>
      <c r="G287" s="89" t="str">
        <f aca="false">IF(F287="","",IFERROR(INDEX(Teachers!$B$5:$B$304,MATCH(F287,Teachers!$A$5:$A$304,0)),""))</f>
        <v/>
      </c>
      <c r="H287" s="52"/>
      <c r="I287" s="89" t="str">
        <f aca="false">IF(A287="","",A287&amp;"|"&amp;B287&amp;"|"&amp;C287&amp;"|"&amp;D287)</f>
        <v/>
      </c>
      <c r="J287" s="85" t="str">
        <f aca="false">IF(A287="","",IF(AND(F287&lt;&gt;"",COUNTIFS(Timetable!$F$5:$F$304,F287,Timetable!$C$5:$C$304,C287,Timetable!$D$5:$D$304,D287)&gt;1),"Teacher clash",IF(COUNTIF(Timetable!$I$5:$I$304,I287)&gt;1,"Class clash","OK")))</f>
        <v/>
      </c>
    </row>
    <row r="288" customFormat="false" ht="19.5" hidden="false" customHeight="true" outlineLevel="0" collapsed="false">
      <c r="A288" s="52"/>
      <c r="B288" s="52"/>
      <c r="C288" s="52"/>
      <c r="D288" s="52"/>
      <c r="E288" s="86"/>
      <c r="F288" s="52"/>
      <c r="G288" s="89" t="str">
        <f aca="false">IF(F288="","",IFERROR(INDEX(Teachers!$B$5:$B$304,MATCH(F288,Teachers!$A$5:$A$304,0)),""))</f>
        <v/>
      </c>
      <c r="H288" s="52"/>
      <c r="I288" s="89" t="str">
        <f aca="false">IF(A288="","",A288&amp;"|"&amp;B288&amp;"|"&amp;C288&amp;"|"&amp;D288)</f>
        <v/>
      </c>
      <c r="J288" s="85" t="str">
        <f aca="false">IF(A288="","",IF(AND(F288&lt;&gt;"",COUNTIFS(Timetable!$F$5:$F$304,F288,Timetable!$C$5:$C$304,C288,Timetable!$D$5:$D$304,D288)&gt;1),"Teacher clash",IF(COUNTIF(Timetable!$I$5:$I$304,I288)&gt;1,"Class clash","OK")))</f>
        <v/>
      </c>
    </row>
    <row r="289" customFormat="false" ht="19.5" hidden="false" customHeight="true" outlineLevel="0" collapsed="false">
      <c r="A289" s="52"/>
      <c r="B289" s="52"/>
      <c r="C289" s="52"/>
      <c r="D289" s="52"/>
      <c r="E289" s="86"/>
      <c r="F289" s="52"/>
      <c r="G289" s="89" t="str">
        <f aca="false">IF(F289="","",IFERROR(INDEX(Teachers!$B$5:$B$304,MATCH(F289,Teachers!$A$5:$A$304,0)),""))</f>
        <v/>
      </c>
      <c r="H289" s="52"/>
      <c r="I289" s="89" t="str">
        <f aca="false">IF(A289="","",A289&amp;"|"&amp;B289&amp;"|"&amp;C289&amp;"|"&amp;D289)</f>
        <v/>
      </c>
      <c r="J289" s="85" t="str">
        <f aca="false">IF(A289="","",IF(AND(F289&lt;&gt;"",COUNTIFS(Timetable!$F$5:$F$304,F289,Timetable!$C$5:$C$304,C289,Timetable!$D$5:$D$304,D289)&gt;1),"Teacher clash",IF(COUNTIF(Timetable!$I$5:$I$304,I289)&gt;1,"Class clash","OK")))</f>
        <v/>
      </c>
    </row>
    <row r="290" customFormat="false" ht="19.5" hidden="false" customHeight="true" outlineLevel="0" collapsed="false">
      <c r="A290" s="52"/>
      <c r="B290" s="52"/>
      <c r="C290" s="52"/>
      <c r="D290" s="52"/>
      <c r="E290" s="86"/>
      <c r="F290" s="52"/>
      <c r="G290" s="89" t="str">
        <f aca="false">IF(F290="","",IFERROR(INDEX(Teachers!$B$5:$B$304,MATCH(F290,Teachers!$A$5:$A$304,0)),""))</f>
        <v/>
      </c>
      <c r="H290" s="52"/>
      <c r="I290" s="89" t="str">
        <f aca="false">IF(A290="","",A290&amp;"|"&amp;B290&amp;"|"&amp;C290&amp;"|"&amp;D290)</f>
        <v/>
      </c>
      <c r="J290" s="85" t="str">
        <f aca="false">IF(A290="","",IF(AND(F290&lt;&gt;"",COUNTIFS(Timetable!$F$5:$F$304,F290,Timetable!$C$5:$C$304,C290,Timetable!$D$5:$D$304,D290)&gt;1),"Teacher clash",IF(COUNTIF(Timetable!$I$5:$I$304,I290)&gt;1,"Class clash","OK")))</f>
        <v/>
      </c>
    </row>
    <row r="291" customFormat="false" ht="19.5" hidden="false" customHeight="true" outlineLevel="0" collapsed="false">
      <c r="A291" s="52"/>
      <c r="B291" s="52"/>
      <c r="C291" s="52"/>
      <c r="D291" s="52"/>
      <c r="E291" s="86"/>
      <c r="F291" s="52"/>
      <c r="G291" s="89" t="str">
        <f aca="false">IF(F291="","",IFERROR(INDEX(Teachers!$B$5:$B$304,MATCH(F291,Teachers!$A$5:$A$304,0)),""))</f>
        <v/>
      </c>
      <c r="H291" s="52"/>
      <c r="I291" s="89" t="str">
        <f aca="false">IF(A291="","",A291&amp;"|"&amp;B291&amp;"|"&amp;C291&amp;"|"&amp;D291)</f>
        <v/>
      </c>
      <c r="J291" s="85" t="str">
        <f aca="false">IF(A291="","",IF(AND(F291&lt;&gt;"",COUNTIFS(Timetable!$F$5:$F$304,F291,Timetable!$C$5:$C$304,C291,Timetable!$D$5:$D$304,D291)&gt;1),"Teacher clash",IF(COUNTIF(Timetable!$I$5:$I$304,I291)&gt;1,"Class clash","OK")))</f>
        <v/>
      </c>
    </row>
    <row r="292" customFormat="false" ht="19.5" hidden="false" customHeight="true" outlineLevel="0" collapsed="false">
      <c r="A292" s="52"/>
      <c r="B292" s="52"/>
      <c r="C292" s="52"/>
      <c r="D292" s="52"/>
      <c r="E292" s="86"/>
      <c r="F292" s="52"/>
      <c r="G292" s="89" t="str">
        <f aca="false">IF(F292="","",IFERROR(INDEX(Teachers!$B$5:$B$304,MATCH(F292,Teachers!$A$5:$A$304,0)),""))</f>
        <v/>
      </c>
      <c r="H292" s="52"/>
      <c r="I292" s="89" t="str">
        <f aca="false">IF(A292="","",A292&amp;"|"&amp;B292&amp;"|"&amp;C292&amp;"|"&amp;D292)</f>
        <v/>
      </c>
      <c r="J292" s="85" t="str">
        <f aca="false">IF(A292="","",IF(AND(F292&lt;&gt;"",COUNTIFS(Timetable!$F$5:$F$304,F292,Timetable!$C$5:$C$304,C292,Timetable!$D$5:$D$304,D292)&gt;1),"Teacher clash",IF(COUNTIF(Timetable!$I$5:$I$304,I292)&gt;1,"Class clash","OK")))</f>
        <v/>
      </c>
    </row>
    <row r="293" customFormat="false" ht="19.5" hidden="false" customHeight="true" outlineLevel="0" collapsed="false">
      <c r="A293" s="52"/>
      <c r="B293" s="52"/>
      <c r="C293" s="52"/>
      <c r="D293" s="52"/>
      <c r="E293" s="86"/>
      <c r="F293" s="52"/>
      <c r="G293" s="89" t="str">
        <f aca="false">IF(F293="","",IFERROR(INDEX(Teachers!$B$5:$B$304,MATCH(F293,Teachers!$A$5:$A$304,0)),""))</f>
        <v/>
      </c>
      <c r="H293" s="52"/>
      <c r="I293" s="89" t="str">
        <f aca="false">IF(A293="","",A293&amp;"|"&amp;B293&amp;"|"&amp;C293&amp;"|"&amp;D293)</f>
        <v/>
      </c>
      <c r="J293" s="85" t="str">
        <f aca="false">IF(A293="","",IF(AND(F293&lt;&gt;"",COUNTIFS(Timetable!$F$5:$F$304,F293,Timetable!$C$5:$C$304,C293,Timetable!$D$5:$D$304,D293)&gt;1),"Teacher clash",IF(COUNTIF(Timetable!$I$5:$I$304,I293)&gt;1,"Class clash","OK")))</f>
        <v/>
      </c>
    </row>
    <row r="294" customFormat="false" ht="19.5" hidden="false" customHeight="true" outlineLevel="0" collapsed="false">
      <c r="A294" s="52"/>
      <c r="B294" s="52"/>
      <c r="C294" s="52"/>
      <c r="D294" s="52"/>
      <c r="E294" s="86"/>
      <c r="F294" s="52"/>
      <c r="G294" s="89" t="str">
        <f aca="false">IF(F294="","",IFERROR(INDEX(Teachers!$B$5:$B$304,MATCH(F294,Teachers!$A$5:$A$304,0)),""))</f>
        <v/>
      </c>
      <c r="H294" s="52"/>
      <c r="I294" s="89" t="str">
        <f aca="false">IF(A294="","",A294&amp;"|"&amp;B294&amp;"|"&amp;C294&amp;"|"&amp;D294)</f>
        <v/>
      </c>
      <c r="J294" s="85" t="str">
        <f aca="false">IF(A294="","",IF(AND(F294&lt;&gt;"",COUNTIFS(Timetable!$F$5:$F$304,F294,Timetable!$C$5:$C$304,C294,Timetable!$D$5:$D$304,D294)&gt;1),"Teacher clash",IF(COUNTIF(Timetable!$I$5:$I$304,I294)&gt;1,"Class clash","OK")))</f>
        <v/>
      </c>
    </row>
    <row r="295" customFormat="false" ht="19.5" hidden="false" customHeight="true" outlineLevel="0" collapsed="false">
      <c r="A295" s="52"/>
      <c r="B295" s="52"/>
      <c r="C295" s="52"/>
      <c r="D295" s="52"/>
      <c r="E295" s="86"/>
      <c r="F295" s="52"/>
      <c r="G295" s="89" t="str">
        <f aca="false">IF(F295="","",IFERROR(INDEX(Teachers!$B$5:$B$304,MATCH(F295,Teachers!$A$5:$A$304,0)),""))</f>
        <v/>
      </c>
      <c r="H295" s="52"/>
      <c r="I295" s="89" t="str">
        <f aca="false">IF(A295="","",A295&amp;"|"&amp;B295&amp;"|"&amp;C295&amp;"|"&amp;D295)</f>
        <v/>
      </c>
      <c r="J295" s="85" t="str">
        <f aca="false">IF(A295="","",IF(AND(F295&lt;&gt;"",COUNTIFS(Timetable!$F$5:$F$304,F295,Timetable!$C$5:$C$304,C295,Timetable!$D$5:$D$304,D295)&gt;1),"Teacher clash",IF(COUNTIF(Timetable!$I$5:$I$304,I295)&gt;1,"Class clash","OK")))</f>
        <v/>
      </c>
    </row>
    <row r="296" customFormat="false" ht="19.5" hidden="false" customHeight="true" outlineLevel="0" collapsed="false">
      <c r="A296" s="52"/>
      <c r="B296" s="52"/>
      <c r="C296" s="52"/>
      <c r="D296" s="52"/>
      <c r="E296" s="86"/>
      <c r="F296" s="52"/>
      <c r="G296" s="89" t="str">
        <f aca="false">IF(F296="","",IFERROR(INDEX(Teachers!$B$5:$B$304,MATCH(F296,Teachers!$A$5:$A$304,0)),""))</f>
        <v/>
      </c>
      <c r="H296" s="52"/>
      <c r="I296" s="89" t="str">
        <f aca="false">IF(A296="","",A296&amp;"|"&amp;B296&amp;"|"&amp;C296&amp;"|"&amp;D296)</f>
        <v/>
      </c>
      <c r="J296" s="85" t="str">
        <f aca="false">IF(A296="","",IF(AND(F296&lt;&gt;"",COUNTIFS(Timetable!$F$5:$F$304,F296,Timetable!$C$5:$C$304,C296,Timetable!$D$5:$D$304,D296)&gt;1),"Teacher clash",IF(COUNTIF(Timetable!$I$5:$I$304,I296)&gt;1,"Class clash","OK")))</f>
        <v/>
      </c>
    </row>
    <row r="297" customFormat="false" ht="19.5" hidden="false" customHeight="true" outlineLevel="0" collapsed="false">
      <c r="A297" s="52"/>
      <c r="B297" s="52"/>
      <c r="C297" s="52"/>
      <c r="D297" s="52"/>
      <c r="E297" s="86"/>
      <c r="F297" s="52"/>
      <c r="G297" s="89" t="str">
        <f aca="false">IF(F297="","",IFERROR(INDEX(Teachers!$B$5:$B$304,MATCH(F297,Teachers!$A$5:$A$304,0)),""))</f>
        <v/>
      </c>
      <c r="H297" s="52"/>
      <c r="I297" s="89" t="str">
        <f aca="false">IF(A297="","",A297&amp;"|"&amp;B297&amp;"|"&amp;C297&amp;"|"&amp;D297)</f>
        <v/>
      </c>
      <c r="J297" s="85" t="str">
        <f aca="false">IF(A297="","",IF(AND(F297&lt;&gt;"",COUNTIFS(Timetable!$F$5:$F$304,F297,Timetable!$C$5:$C$304,C297,Timetable!$D$5:$D$304,D297)&gt;1),"Teacher clash",IF(COUNTIF(Timetable!$I$5:$I$304,I297)&gt;1,"Class clash","OK")))</f>
        <v/>
      </c>
    </row>
    <row r="298" customFormat="false" ht="19.5" hidden="false" customHeight="true" outlineLevel="0" collapsed="false">
      <c r="A298" s="52"/>
      <c r="B298" s="52"/>
      <c r="C298" s="52"/>
      <c r="D298" s="52"/>
      <c r="E298" s="86"/>
      <c r="F298" s="52"/>
      <c r="G298" s="89" t="str">
        <f aca="false">IF(F298="","",IFERROR(INDEX(Teachers!$B$5:$B$304,MATCH(F298,Teachers!$A$5:$A$304,0)),""))</f>
        <v/>
      </c>
      <c r="H298" s="52"/>
      <c r="I298" s="89" t="str">
        <f aca="false">IF(A298="","",A298&amp;"|"&amp;B298&amp;"|"&amp;C298&amp;"|"&amp;D298)</f>
        <v/>
      </c>
      <c r="J298" s="85" t="str">
        <f aca="false">IF(A298="","",IF(AND(F298&lt;&gt;"",COUNTIFS(Timetable!$F$5:$F$304,F298,Timetable!$C$5:$C$304,C298,Timetable!$D$5:$D$304,D298)&gt;1),"Teacher clash",IF(COUNTIF(Timetable!$I$5:$I$304,I298)&gt;1,"Class clash","OK")))</f>
        <v/>
      </c>
    </row>
    <row r="299" customFormat="false" ht="19.5" hidden="false" customHeight="true" outlineLevel="0" collapsed="false">
      <c r="A299" s="52"/>
      <c r="B299" s="52"/>
      <c r="C299" s="52"/>
      <c r="D299" s="52"/>
      <c r="E299" s="86"/>
      <c r="F299" s="52"/>
      <c r="G299" s="89" t="str">
        <f aca="false">IF(F299="","",IFERROR(INDEX(Teachers!$B$5:$B$304,MATCH(F299,Teachers!$A$5:$A$304,0)),""))</f>
        <v/>
      </c>
      <c r="H299" s="52"/>
      <c r="I299" s="89" t="str">
        <f aca="false">IF(A299="","",A299&amp;"|"&amp;B299&amp;"|"&amp;C299&amp;"|"&amp;D299)</f>
        <v/>
      </c>
      <c r="J299" s="85" t="str">
        <f aca="false">IF(A299="","",IF(AND(F299&lt;&gt;"",COUNTIFS(Timetable!$F$5:$F$304,F299,Timetable!$C$5:$C$304,C299,Timetable!$D$5:$D$304,D299)&gt;1),"Teacher clash",IF(COUNTIF(Timetable!$I$5:$I$304,I299)&gt;1,"Class clash","OK")))</f>
        <v/>
      </c>
    </row>
    <row r="300" customFormat="false" ht="19.5" hidden="false" customHeight="true" outlineLevel="0" collapsed="false">
      <c r="A300" s="52"/>
      <c r="B300" s="52"/>
      <c r="C300" s="52"/>
      <c r="D300" s="52"/>
      <c r="E300" s="86"/>
      <c r="F300" s="52"/>
      <c r="G300" s="89" t="str">
        <f aca="false">IF(F300="","",IFERROR(INDEX(Teachers!$B$5:$B$304,MATCH(F300,Teachers!$A$5:$A$304,0)),""))</f>
        <v/>
      </c>
      <c r="H300" s="52"/>
      <c r="I300" s="89" t="str">
        <f aca="false">IF(A300="","",A300&amp;"|"&amp;B300&amp;"|"&amp;C300&amp;"|"&amp;D300)</f>
        <v/>
      </c>
      <c r="J300" s="85" t="str">
        <f aca="false">IF(A300="","",IF(AND(F300&lt;&gt;"",COUNTIFS(Timetable!$F$5:$F$304,F300,Timetable!$C$5:$C$304,C300,Timetable!$D$5:$D$304,D300)&gt;1),"Teacher clash",IF(COUNTIF(Timetable!$I$5:$I$304,I300)&gt;1,"Class clash","OK")))</f>
        <v/>
      </c>
    </row>
    <row r="301" customFormat="false" ht="19.5" hidden="false" customHeight="true" outlineLevel="0" collapsed="false">
      <c r="A301" s="52"/>
      <c r="B301" s="52"/>
      <c r="C301" s="52"/>
      <c r="D301" s="52"/>
      <c r="E301" s="86"/>
      <c r="F301" s="52"/>
      <c r="G301" s="89" t="str">
        <f aca="false">IF(F301="","",IFERROR(INDEX(Teachers!$B$5:$B$304,MATCH(F301,Teachers!$A$5:$A$304,0)),""))</f>
        <v/>
      </c>
      <c r="H301" s="52"/>
      <c r="I301" s="89" t="str">
        <f aca="false">IF(A301="","",A301&amp;"|"&amp;B301&amp;"|"&amp;C301&amp;"|"&amp;D301)</f>
        <v/>
      </c>
      <c r="J301" s="85" t="str">
        <f aca="false">IF(A301="","",IF(AND(F301&lt;&gt;"",COUNTIFS(Timetable!$F$5:$F$304,F301,Timetable!$C$5:$C$304,C301,Timetable!$D$5:$D$304,D301)&gt;1),"Teacher clash",IF(COUNTIF(Timetable!$I$5:$I$304,I301)&gt;1,"Class clash","OK")))</f>
        <v/>
      </c>
    </row>
    <row r="302" customFormat="false" ht="19.5" hidden="false" customHeight="true" outlineLevel="0" collapsed="false">
      <c r="A302" s="52"/>
      <c r="B302" s="52"/>
      <c r="C302" s="52"/>
      <c r="D302" s="52"/>
      <c r="E302" s="86"/>
      <c r="F302" s="52"/>
      <c r="G302" s="89" t="str">
        <f aca="false">IF(F302="","",IFERROR(INDEX(Teachers!$B$5:$B$304,MATCH(F302,Teachers!$A$5:$A$304,0)),""))</f>
        <v/>
      </c>
      <c r="H302" s="52"/>
      <c r="I302" s="89" t="str">
        <f aca="false">IF(A302="","",A302&amp;"|"&amp;B302&amp;"|"&amp;C302&amp;"|"&amp;D302)</f>
        <v/>
      </c>
      <c r="J302" s="85" t="str">
        <f aca="false">IF(A302="","",IF(AND(F302&lt;&gt;"",COUNTIFS(Timetable!$F$5:$F$304,F302,Timetable!$C$5:$C$304,C302,Timetable!$D$5:$D$304,D302)&gt;1),"Teacher clash",IF(COUNTIF(Timetable!$I$5:$I$304,I302)&gt;1,"Class clash","OK")))</f>
        <v/>
      </c>
    </row>
    <row r="303" customFormat="false" ht="19.5" hidden="false" customHeight="true" outlineLevel="0" collapsed="false">
      <c r="A303" s="52"/>
      <c r="B303" s="52"/>
      <c r="C303" s="52"/>
      <c r="D303" s="52"/>
      <c r="E303" s="86"/>
      <c r="F303" s="52"/>
      <c r="G303" s="89" t="str">
        <f aca="false">IF(F303="","",IFERROR(INDEX(Teachers!$B$5:$B$304,MATCH(F303,Teachers!$A$5:$A$304,0)),""))</f>
        <v/>
      </c>
      <c r="H303" s="52"/>
      <c r="I303" s="89" t="str">
        <f aca="false">IF(A303="","",A303&amp;"|"&amp;B303&amp;"|"&amp;C303&amp;"|"&amp;D303)</f>
        <v/>
      </c>
      <c r="J303" s="85" t="str">
        <f aca="false">IF(A303="","",IF(AND(F303&lt;&gt;"",COUNTIFS(Timetable!$F$5:$F$304,F303,Timetable!$C$5:$C$304,C303,Timetable!$D$5:$D$304,D303)&gt;1),"Teacher clash",IF(COUNTIF(Timetable!$I$5:$I$304,I303)&gt;1,"Class clash","OK")))</f>
        <v/>
      </c>
    </row>
    <row r="304" customFormat="false" ht="19.5" hidden="false" customHeight="true" outlineLevel="0" collapsed="false">
      <c r="A304" s="52"/>
      <c r="B304" s="52"/>
      <c r="C304" s="52"/>
      <c r="D304" s="52"/>
      <c r="E304" s="86"/>
      <c r="F304" s="52"/>
      <c r="G304" s="89" t="str">
        <f aca="false">IF(F304="","",IFERROR(INDEX(Teachers!$B$5:$B$304,MATCH(F304,Teachers!$A$5:$A$304,0)),""))</f>
        <v/>
      </c>
      <c r="H304" s="52"/>
      <c r="I304" s="89" t="str">
        <f aca="false">IF(A304="","",A304&amp;"|"&amp;B304&amp;"|"&amp;C304&amp;"|"&amp;D304)</f>
        <v/>
      </c>
      <c r="J304" s="85" t="str">
        <f aca="false">IF(A304="","",IF(AND(F304&lt;&gt;"",COUNTIFS(Timetable!$F$5:$F$304,F304,Timetable!$C$5:$C$304,C304,Timetable!$D$5:$D$304,D304)&gt;1),"Teacher clash",IF(COUNTIF(Timetable!$I$5:$I$304,I304)&gt;1,"Class clash","OK")))</f>
        <v/>
      </c>
    </row>
  </sheetData>
  <mergeCells count="3">
    <mergeCell ref="A1:J1"/>
    <mergeCell ref="A2:J2"/>
    <mergeCell ref="A3:J3"/>
  </mergeCells>
  <conditionalFormatting sqref="A5:J304">
    <cfRule type="expression" priority="2" aboveAverage="0" equalAverage="0" bottom="0" percent="0" rank="0" text="" dxfId="0">
      <formula>AND(MOD(ROW(),2)=0,$A5&lt;&gt;"")</formula>
    </cfRule>
  </conditionalFormatting>
  <conditionalFormatting sqref="J5:J304">
    <cfRule type="expression" priority="3" aboveAverage="0" equalAverage="0" bottom="0" percent="0" rank="0" text="" dxfId="6">
      <formula>$J5="OK"</formula>
    </cfRule>
    <cfRule type="expression" priority="4" aboveAverage="0" equalAverage="0" bottom="0" percent="0" rank="0" text="" dxfId="7">
      <formula>$J5="Teacher clash"</formula>
    </cfRule>
    <cfRule type="expression" priority="5" aboveAverage="0" equalAverage="0" bottom="0" percent="0" rank="0" text="" dxfId="7">
      <formula>$J5="Class clash"</formula>
    </cfRule>
  </conditionalFormatting>
  <dataValidations count="6">
    <dataValidation allowBlank="true" error="Pick a School ID from the Schools tab." errorStyle="stop" errorTitle="Invalid entry" operator="between" showDropDown="false" showErrorMessage="true" showInputMessage="false" sqref="A5:A304" type="list">
      <formula1>Schools!$A$5:$A$304</formula1>
      <formula2>0</formula2>
    </dataValidation>
    <dataValidation allowBlank="true" error="Choose from the list." errorStyle="stop" errorTitle="Invalid entry" operator="between" showDropDown="false" showErrorMessage="true" showInputMessage="false" sqref="B5:B304" type="list">
      <formula1>Settings!$B$11:$B$30</formula1>
      <formula2>0</formula2>
    </dataValidation>
    <dataValidation allowBlank="true" error="Choose from the list." errorStyle="stop" errorTitle="Invalid entry" operator="between" showDropDown="false" showErrorMessage="true" showInputMessage="false" sqref="C5:C304" type="list">
      <formula1>"Mon,Tue,Wed,Thu,Fri"</formula1>
      <formula2>0</formula2>
    </dataValidation>
    <dataValidation allowBlank="true" error="Choose from the list." errorStyle="stop" errorTitle="Invalid entry" operator="between" showDropDown="false" showErrorMessage="true" showInputMessage="false" sqref="D5:D304" type="list">
      <formula1>"1,2,3,4,5,6,7,8"</formula1>
      <formula2>0</formula2>
    </dataValidation>
    <dataValidation allowBlank="true" error="Choose from the list." errorStyle="stop" errorTitle="Invalid entry" operator="between" showDropDown="false" showErrorMessage="true" showInputMessage="false" sqref="E5:E304" type="list">
      <formula1>Settings!$C$11:$C$25</formula1>
      <formula2>0</formula2>
    </dataValidation>
    <dataValidation allowBlank="true" error="Pick a Teacher ID from the Teachers tab." errorStyle="stop" errorTitle="Invalid entry" operator="between" showDropDown="false" showErrorMessage="true" showInputMessage="false" sqref="F5:F304" type="list">
      <formula1>Teachers!$A$5:$A$304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9F3E"/>
    <pageSetUpPr fitToPage="true"/>
  </sheetPr>
  <dimension ref="A1:E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3" min="3" style="1" width="26"/>
    <col collapsed="false" customWidth="true" hidden="false" outlineLevel="0" max="4" min="4" style="1" width="12"/>
    <col collapsed="false" customWidth="true" hidden="false" outlineLevel="0" max="5" min="5" style="1" width="16"/>
  </cols>
  <sheetData>
    <row r="1" customFormat="false" ht="42" hidden="false" customHeight="true" outlineLevel="0" collapsed="false">
      <c r="A1" s="2" t="s">
        <v>375</v>
      </c>
      <c r="B1" s="2"/>
      <c r="C1" s="2"/>
      <c r="D1" s="2"/>
      <c r="E1" s="2"/>
    </row>
    <row r="2" customFormat="false" ht="19.5" hidden="false" customHeight="true" outlineLevel="0" collapsed="false">
      <c r="A2" s="3" t="s">
        <v>376</v>
      </c>
      <c r="B2" s="3"/>
      <c r="C2" s="3"/>
      <c r="D2" s="3"/>
      <c r="E2" s="3"/>
    </row>
    <row r="3" customFormat="false" ht="3.75" hidden="false" customHeight="true" outlineLevel="0" collapsed="false">
      <c r="A3" s="4"/>
      <c r="B3" s="4"/>
      <c r="C3" s="4"/>
      <c r="D3" s="4"/>
      <c r="E3" s="4"/>
    </row>
    <row r="4" customFormat="false" ht="33.75" hidden="false" customHeight="true" outlineLevel="0" collapsed="false">
      <c r="A4" s="15" t="s">
        <v>352</v>
      </c>
      <c r="B4" s="15" t="s">
        <v>371</v>
      </c>
      <c r="C4" s="15" t="s">
        <v>377</v>
      </c>
      <c r="D4" s="15" t="s">
        <v>99</v>
      </c>
      <c r="E4" s="15" t="s">
        <v>378</v>
      </c>
    </row>
    <row r="5" customFormat="false" ht="19.5" hidden="false" customHeight="true" outlineLevel="0" collapsed="false">
      <c r="A5" s="90" t="n">
        <v>46296</v>
      </c>
      <c r="B5" s="87" t="s">
        <v>324</v>
      </c>
      <c r="C5" s="88" t="str">
        <f aca="false">IF(B5="","",IFERROR(INDEX(Teachers!$B$5:$B$304,MATCH(B5,Teachers!$A$5:$A$304,0)),"ID not found"))</f>
        <v>John Sesay</v>
      </c>
      <c r="D5" s="83" t="str">
        <f aca="false">IF(B5="","",IFERROR(INDEX(Teachers!$E$5:$E$304,MATCH(B5,Teachers!$A$5:$A$304,0)),""))</f>
        <v>SCH01</v>
      </c>
      <c r="E5" s="87" t="s">
        <v>355</v>
      </c>
    </row>
    <row r="6" customFormat="false" ht="19.5" hidden="false" customHeight="true" outlineLevel="0" collapsed="false">
      <c r="A6" s="91"/>
      <c r="B6" s="52"/>
      <c r="C6" s="89" t="str">
        <f aca="false">IF(B6="","",IFERROR(INDEX(Teachers!$B$5:$B$304,MATCH(B6,Teachers!$A$5:$A$304,0)),"ID not found"))</f>
        <v/>
      </c>
      <c r="D6" s="85" t="str">
        <f aca="false">IF(B6="","",IFERROR(INDEX(Teachers!$E$5:$E$304,MATCH(B6,Teachers!$A$5:$A$304,0)),""))</f>
        <v/>
      </c>
      <c r="E6" s="52"/>
    </row>
    <row r="7" customFormat="false" ht="19.5" hidden="false" customHeight="true" outlineLevel="0" collapsed="false">
      <c r="A7" s="91"/>
      <c r="B7" s="52"/>
      <c r="C7" s="89" t="str">
        <f aca="false">IF(B7="","",IFERROR(INDEX(Teachers!$B$5:$B$304,MATCH(B7,Teachers!$A$5:$A$304,0)),"ID not found"))</f>
        <v/>
      </c>
      <c r="D7" s="85" t="str">
        <f aca="false">IF(B7="","",IFERROR(INDEX(Teachers!$E$5:$E$304,MATCH(B7,Teachers!$A$5:$A$304,0)),""))</f>
        <v/>
      </c>
      <c r="E7" s="52"/>
    </row>
    <row r="8" customFormat="false" ht="19.5" hidden="false" customHeight="true" outlineLevel="0" collapsed="false">
      <c r="A8" s="91"/>
      <c r="B8" s="52"/>
      <c r="C8" s="89" t="str">
        <f aca="false">IF(B8="","",IFERROR(INDEX(Teachers!$B$5:$B$304,MATCH(B8,Teachers!$A$5:$A$304,0)),"ID not found"))</f>
        <v/>
      </c>
      <c r="D8" s="85" t="str">
        <f aca="false">IF(B8="","",IFERROR(INDEX(Teachers!$E$5:$E$304,MATCH(B8,Teachers!$A$5:$A$304,0)),""))</f>
        <v/>
      </c>
      <c r="E8" s="52"/>
    </row>
    <row r="9" customFormat="false" ht="19.5" hidden="false" customHeight="true" outlineLevel="0" collapsed="false">
      <c r="A9" s="91"/>
      <c r="B9" s="52"/>
      <c r="C9" s="89" t="str">
        <f aca="false">IF(B9="","",IFERROR(INDEX(Teachers!$B$5:$B$304,MATCH(B9,Teachers!$A$5:$A$304,0)),"ID not found"))</f>
        <v/>
      </c>
      <c r="D9" s="85" t="str">
        <f aca="false">IF(B9="","",IFERROR(INDEX(Teachers!$E$5:$E$304,MATCH(B9,Teachers!$A$5:$A$304,0)),""))</f>
        <v/>
      </c>
      <c r="E9" s="52"/>
    </row>
    <row r="10" customFormat="false" ht="19.5" hidden="false" customHeight="true" outlineLevel="0" collapsed="false">
      <c r="A10" s="91"/>
      <c r="B10" s="52"/>
      <c r="C10" s="89" t="str">
        <f aca="false">IF(B10="","",IFERROR(INDEX(Teachers!$B$5:$B$304,MATCH(B10,Teachers!$A$5:$A$304,0)),"ID not found"))</f>
        <v/>
      </c>
      <c r="D10" s="85" t="str">
        <f aca="false">IF(B10="","",IFERROR(INDEX(Teachers!$E$5:$E$304,MATCH(B10,Teachers!$A$5:$A$304,0)),""))</f>
        <v/>
      </c>
      <c r="E10" s="52"/>
    </row>
    <row r="11" customFormat="false" ht="19.5" hidden="false" customHeight="true" outlineLevel="0" collapsed="false">
      <c r="A11" s="91"/>
      <c r="B11" s="52"/>
      <c r="C11" s="89" t="str">
        <f aca="false">IF(B11="","",IFERROR(INDEX(Teachers!$B$5:$B$304,MATCH(B11,Teachers!$A$5:$A$304,0)),"ID not found"))</f>
        <v/>
      </c>
      <c r="D11" s="85" t="str">
        <f aca="false">IF(B11="","",IFERROR(INDEX(Teachers!$E$5:$E$304,MATCH(B11,Teachers!$A$5:$A$304,0)),""))</f>
        <v/>
      </c>
      <c r="E11" s="52"/>
    </row>
    <row r="12" customFormat="false" ht="19.5" hidden="false" customHeight="true" outlineLevel="0" collapsed="false">
      <c r="A12" s="91"/>
      <c r="B12" s="52"/>
      <c r="C12" s="89" t="str">
        <f aca="false">IF(B12="","",IFERROR(INDEX(Teachers!$B$5:$B$304,MATCH(B12,Teachers!$A$5:$A$304,0)),"ID not found"))</f>
        <v/>
      </c>
      <c r="D12" s="85" t="str">
        <f aca="false">IF(B12="","",IFERROR(INDEX(Teachers!$E$5:$E$304,MATCH(B12,Teachers!$A$5:$A$304,0)),""))</f>
        <v/>
      </c>
      <c r="E12" s="52"/>
    </row>
    <row r="13" customFormat="false" ht="19.5" hidden="false" customHeight="true" outlineLevel="0" collapsed="false">
      <c r="A13" s="91"/>
      <c r="B13" s="52"/>
      <c r="C13" s="89" t="str">
        <f aca="false">IF(B13="","",IFERROR(INDEX(Teachers!$B$5:$B$304,MATCH(B13,Teachers!$A$5:$A$304,0)),"ID not found"))</f>
        <v/>
      </c>
      <c r="D13" s="85" t="str">
        <f aca="false">IF(B13="","",IFERROR(INDEX(Teachers!$E$5:$E$304,MATCH(B13,Teachers!$A$5:$A$304,0)),""))</f>
        <v/>
      </c>
      <c r="E13" s="52"/>
    </row>
    <row r="14" customFormat="false" ht="19.5" hidden="false" customHeight="true" outlineLevel="0" collapsed="false">
      <c r="A14" s="91"/>
      <c r="B14" s="52"/>
      <c r="C14" s="89" t="str">
        <f aca="false">IF(B14="","",IFERROR(INDEX(Teachers!$B$5:$B$304,MATCH(B14,Teachers!$A$5:$A$304,0)),"ID not found"))</f>
        <v/>
      </c>
      <c r="D14" s="85" t="str">
        <f aca="false">IF(B14="","",IFERROR(INDEX(Teachers!$E$5:$E$304,MATCH(B14,Teachers!$A$5:$A$304,0)),""))</f>
        <v/>
      </c>
      <c r="E14" s="52"/>
    </row>
    <row r="15" customFormat="false" ht="19.5" hidden="false" customHeight="true" outlineLevel="0" collapsed="false">
      <c r="A15" s="91"/>
      <c r="B15" s="52"/>
      <c r="C15" s="89" t="str">
        <f aca="false">IF(B15="","",IFERROR(INDEX(Teachers!$B$5:$B$304,MATCH(B15,Teachers!$A$5:$A$304,0)),"ID not found"))</f>
        <v/>
      </c>
      <c r="D15" s="85" t="str">
        <f aca="false">IF(B15="","",IFERROR(INDEX(Teachers!$E$5:$E$304,MATCH(B15,Teachers!$A$5:$A$304,0)),""))</f>
        <v/>
      </c>
      <c r="E15" s="52"/>
    </row>
    <row r="16" customFormat="false" ht="19.5" hidden="false" customHeight="true" outlineLevel="0" collapsed="false">
      <c r="A16" s="91"/>
      <c r="B16" s="52"/>
      <c r="C16" s="89" t="str">
        <f aca="false">IF(B16="","",IFERROR(INDEX(Teachers!$B$5:$B$304,MATCH(B16,Teachers!$A$5:$A$304,0)),"ID not found"))</f>
        <v/>
      </c>
      <c r="D16" s="85" t="str">
        <f aca="false">IF(B16="","",IFERROR(INDEX(Teachers!$E$5:$E$304,MATCH(B16,Teachers!$A$5:$A$304,0)),""))</f>
        <v/>
      </c>
      <c r="E16" s="52"/>
    </row>
    <row r="17" customFormat="false" ht="19.5" hidden="false" customHeight="true" outlineLevel="0" collapsed="false">
      <c r="A17" s="91"/>
      <c r="B17" s="52"/>
      <c r="C17" s="89" t="str">
        <f aca="false">IF(B17="","",IFERROR(INDEX(Teachers!$B$5:$B$304,MATCH(B17,Teachers!$A$5:$A$304,0)),"ID not found"))</f>
        <v/>
      </c>
      <c r="D17" s="85" t="str">
        <f aca="false">IF(B17="","",IFERROR(INDEX(Teachers!$E$5:$E$304,MATCH(B17,Teachers!$A$5:$A$304,0)),""))</f>
        <v/>
      </c>
      <c r="E17" s="52"/>
    </row>
    <row r="18" customFormat="false" ht="19.5" hidden="false" customHeight="true" outlineLevel="0" collapsed="false">
      <c r="A18" s="91"/>
      <c r="B18" s="52"/>
      <c r="C18" s="89" t="str">
        <f aca="false">IF(B18="","",IFERROR(INDEX(Teachers!$B$5:$B$304,MATCH(B18,Teachers!$A$5:$A$304,0)),"ID not found"))</f>
        <v/>
      </c>
      <c r="D18" s="85" t="str">
        <f aca="false">IF(B18="","",IFERROR(INDEX(Teachers!$E$5:$E$304,MATCH(B18,Teachers!$A$5:$A$304,0)),""))</f>
        <v/>
      </c>
      <c r="E18" s="52"/>
    </row>
    <row r="19" customFormat="false" ht="19.5" hidden="false" customHeight="true" outlineLevel="0" collapsed="false">
      <c r="A19" s="91"/>
      <c r="B19" s="52"/>
      <c r="C19" s="89" t="str">
        <f aca="false">IF(B19="","",IFERROR(INDEX(Teachers!$B$5:$B$304,MATCH(B19,Teachers!$A$5:$A$304,0)),"ID not found"))</f>
        <v/>
      </c>
      <c r="D19" s="85" t="str">
        <f aca="false">IF(B19="","",IFERROR(INDEX(Teachers!$E$5:$E$304,MATCH(B19,Teachers!$A$5:$A$304,0)),""))</f>
        <v/>
      </c>
      <c r="E19" s="52"/>
    </row>
    <row r="20" customFormat="false" ht="19.5" hidden="false" customHeight="true" outlineLevel="0" collapsed="false">
      <c r="A20" s="91"/>
      <c r="B20" s="52"/>
      <c r="C20" s="89" t="str">
        <f aca="false">IF(B20="","",IFERROR(INDEX(Teachers!$B$5:$B$304,MATCH(B20,Teachers!$A$5:$A$304,0)),"ID not found"))</f>
        <v/>
      </c>
      <c r="D20" s="85" t="str">
        <f aca="false">IF(B20="","",IFERROR(INDEX(Teachers!$E$5:$E$304,MATCH(B20,Teachers!$A$5:$A$304,0)),""))</f>
        <v/>
      </c>
      <c r="E20" s="52"/>
    </row>
    <row r="21" customFormat="false" ht="19.5" hidden="false" customHeight="true" outlineLevel="0" collapsed="false">
      <c r="A21" s="91"/>
      <c r="B21" s="52"/>
      <c r="C21" s="89" t="str">
        <f aca="false">IF(B21="","",IFERROR(INDEX(Teachers!$B$5:$B$304,MATCH(B21,Teachers!$A$5:$A$304,0)),"ID not found"))</f>
        <v/>
      </c>
      <c r="D21" s="85" t="str">
        <f aca="false">IF(B21="","",IFERROR(INDEX(Teachers!$E$5:$E$304,MATCH(B21,Teachers!$A$5:$A$304,0)),""))</f>
        <v/>
      </c>
      <c r="E21" s="52"/>
    </row>
    <row r="22" customFormat="false" ht="19.5" hidden="false" customHeight="true" outlineLevel="0" collapsed="false">
      <c r="A22" s="91"/>
      <c r="B22" s="52"/>
      <c r="C22" s="89" t="str">
        <f aca="false">IF(B22="","",IFERROR(INDEX(Teachers!$B$5:$B$304,MATCH(B22,Teachers!$A$5:$A$304,0)),"ID not found"))</f>
        <v/>
      </c>
      <c r="D22" s="85" t="str">
        <f aca="false">IF(B22="","",IFERROR(INDEX(Teachers!$E$5:$E$304,MATCH(B22,Teachers!$A$5:$A$304,0)),""))</f>
        <v/>
      </c>
      <c r="E22" s="52"/>
    </row>
    <row r="23" customFormat="false" ht="19.5" hidden="false" customHeight="true" outlineLevel="0" collapsed="false">
      <c r="A23" s="91"/>
      <c r="B23" s="52"/>
      <c r="C23" s="89" t="str">
        <f aca="false">IF(B23="","",IFERROR(INDEX(Teachers!$B$5:$B$304,MATCH(B23,Teachers!$A$5:$A$304,0)),"ID not found"))</f>
        <v/>
      </c>
      <c r="D23" s="85" t="str">
        <f aca="false">IF(B23="","",IFERROR(INDEX(Teachers!$E$5:$E$304,MATCH(B23,Teachers!$A$5:$A$304,0)),""))</f>
        <v/>
      </c>
      <c r="E23" s="52"/>
    </row>
    <row r="24" customFormat="false" ht="19.5" hidden="false" customHeight="true" outlineLevel="0" collapsed="false">
      <c r="A24" s="91"/>
      <c r="B24" s="52"/>
      <c r="C24" s="89" t="str">
        <f aca="false">IF(B24="","",IFERROR(INDEX(Teachers!$B$5:$B$304,MATCH(B24,Teachers!$A$5:$A$304,0)),"ID not found"))</f>
        <v/>
      </c>
      <c r="D24" s="85" t="str">
        <f aca="false">IF(B24="","",IFERROR(INDEX(Teachers!$E$5:$E$304,MATCH(B24,Teachers!$A$5:$A$304,0)),""))</f>
        <v/>
      </c>
      <c r="E24" s="52"/>
    </row>
    <row r="25" customFormat="false" ht="19.5" hidden="false" customHeight="true" outlineLevel="0" collapsed="false">
      <c r="A25" s="91"/>
      <c r="B25" s="52"/>
      <c r="C25" s="89" t="str">
        <f aca="false">IF(B25="","",IFERROR(INDEX(Teachers!$B$5:$B$304,MATCH(B25,Teachers!$A$5:$A$304,0)),"ID not found"))</f>
        <v/>
      </c>
      <c r="D25" s="85" t="str">
        <f aca="false">IF(B25="","",IFERROR(INDEX(Teachers!$E$5:$E$304,MATCH(B25,Teachers!$A$5:$A$304,0)),""))</f>
        <v/>
      </c>
      <c r="E25" s="52"/>
    </row>
    <row r="26" customFormat="false" ht="19.5" hidden="false" customHeight="true" outlineLevel="0" collapsed="false">
      <c r="A26" s="91"/>
      <c r="B26" s="52"/>
      <c r="C26" s="89" t="str">
        <f aca="false">IF(B26="","",IFERROR(INDEX(Teachers!$B$5:$B$304,MATCH(B26,Teachers!$A$5:$A$304,0)),"ID not found"))</f>
        <v/>
      </c>
      <c r="D26" s="85" t="str">
        <f aca="false">IF(B26="","",IFERROR(INDEX(Teachers!$E$5:$E$304,MATCH(B26,Teachers!$A$5:$A$304,0)),""))</f>
        <v/>
      </c>
      <c r="E26" s="52"/>
    </row>
    <row r="27" customFormat="false" ht="19.5" hidden="false" customHeight="true" outlineLevel="0" collapsed="false">
      <c r="A27" s="91"/>
      <c r="B27" s="52"/>
      <c r="C27" s="89" t="str">
        <f aca="false">IF(B27="","",IFERROR(INDEX(Teachers!$B$5:$B$304,MATCH(B27,Teachers!$A$5:$A$304,0)),"ID not found"))</f>
        <v/>
      </c>
      <c r="D27" s="85" t="str">
        <f aca="false">IF(B27="","",IFERROR(INDEX(Teachers!$E$5:$E$304,MATCH(B27,Teachers!$A$5:$A$304,0)),""))</f>
        <v/>
      </c>
      <c r="E27" s="52"/>
    </row>
    <row r="28" customFormat="false" ht="19.5" hidden="false" customHeight="true" outlineLevel="0" collapsed="false">
      <c r="A28" s="91"/>
      <c r="B28" s="52"/>
      <c r="C28" s="89" t="str">
        <f aca="false">IF(B28="","",IFERROR(INDEX(Teachers!$B$5:$B$304,MATCH(B28,Teachers!$A$5:$A$304,0)),"ID not found"))</f>
        <v/>
      </c>
      <c r="D28" s="85" t="str">
        <f aca="false">IF(B28="","",IFERROR(INDEX(Teachers!$E$5:$E$304,MATCH(B28,Teachers!$A$5:$A$304,0)),""))</f>
        <v/>
      </c>
      <c r="E28" s="52"/>
    </row>
    <row r="29" customFormat="false" ht="19.5" hidden="false" customHeight="true" outlineLevel="0" collapsed="false">
      <c r="A29" s="91"/>
      <c r="B29" s="52"/>
      <c r="C29" s="89" t="str">
        <f aca="false">IF(B29="","",IFERROR(INDEX(Teachers!$B$5:$B$304,MATCH(B29,Teachers!$A$5:$A$304,0)),"ID not found"))</f>
        <v/>
      </c>
      <c r="D29" s="85" t="str">
        <f aca="false">IF(B29="","",IFERROR(INDEX(Teachers!$E$5:$E$304,MATCH(B29,Teachers!$A$5:$A$304,0)),""))</f>
        <v/>
      </c>
      <c r="E29" s="52"/>
    </row>
    <row r="30" customFormat="false" ht="19.5" hidden="false" customHeight="true" outlineLevel="0" collapsed="false">
      <c r="A30" s="91"/>
      <c r="B30" s="52"/>
      <c r="C30" s="89" t="str">
        <f aca="false">IF(B30="","",IFERROR(INDEX(Teachers!$B$5:$B$304,MATCH(B30,Teachers!$A$5:$A$304,0)),"ID not found"))</f>
        <v/>
      </c>
      <c r="D30" s="85" t="str">
        <f aca="false">IF(B30="","",IFERROR(INDEX(Teachers!$E$5:$E$304,MATCH(B30,Teachers!$A$5:$A$304,0)),""))</f>
        <v/>
      </c>
      <c r="E30" s="52"/>
    </row>
    <row r="31" customFormat="false" ht="19.5" hidden="false" customHeight="true" outlineLevel="0" collapsed="false">
      <c r="A31" s="91"/>
      <c r="B31" s="52"/>
      <c r="C31" s="89" t="str">
        <f aca="false">IF(B31="","",IFERROR(INDEX(Teachers!$B$5:$B$304,MATCH(B31,Teachers!$A$5:$A$304,0)),"ID not found"))</f>
        <v/>
      </c>
      <c r="D31" s="85" t="str">
        <f aca="false">IF(B31="","",IFERROR(INDEX(Teachers!$E$5:$E$304,MATCH(B31,Teachers!$A$5:$A$304,0)),""))</f>
        <v/>
      </c>
      <c r="E31" s="52"/>
    </row>
    <row r="32" customFormat="false" ht="19.5" hidden="false" customHeight="true" outlineLevel="0" collapsed="false">
      <c r="A32" s="91"/>
      <c r="B32" s="52"/>
      <c r="C32" s="89" t="str">
        <f aca="false">IF(B32="","",IFERROR(INDEX(Teachers!$B$5:$B$304,MATCH(B32,Teachers!$A$5:$A$304,0)),"ID not found"))</f>
        <v/>
      </c>
      <c r="D32" s="85" t="str">
        <f aca="false">IF(B32="","",IFERROR(INDEX(Teachers!$E$5:$E$304,MATCH(B32,Teachers!$A$5:$A$304,0)),""))</f>
        <v/>
      </c>
      <c r="E32" s="52"/>
    </row>
    <row r="33" customFormat="false" ht="19.5" hidden="false" customHeight="true" outlineLevel="0" collapsed="false">
      <c r="A33" s="91"/>
      <c r="B33" s="52"/>
      <c r="C33" s="89" t="str">
        <f aca="false">IF(B33="","",IFERROR(INDEX(Teachers!$B$5:$B$304,MATCH(B33,Teachers!$A$5:$A$304,0)),"ID not found"))</f>
        <v/>
      </c>
      <c r="D33" s="85" t="str">
        <f aca="false">IF(B33="","",IFERROR(INDEX(Teachers!$E$5:$E$304,MATCH(B33,Teachers!$A$5:$A$304,0)),""))</f>
        <v/>
      </c>
      <c r="E33" s="52"/>
    </row>
    <row r="34" customFormat="false" ht="19.5" hidden="false" customHeight="true" outlineLevel="0" collapsed="false">
      <c r="A34" s="91"/>
      <c r="B34" s="52"/>
      <c r="C34" s="89" t="str">
        <f aca="false">IF(B34="","",IFERROR(INDEX(Teachers!$B$5:$B$304,MATCH(B34,Teachers!$A$5:$A$304,0)),"ID not found"))</f>
        <v/>
      </c>
      <c r="D34" s="85" t="str">
        <f aca="false">IF(B34="","",IFERROR(INDEX(Teachers!$E$5:$E$304,MATCH(B34,Teachers!$A$5:$A$304,0)),""))</f>
        <v/>
      </c>
      <c r="E34" s="52"/>
    </row>
    <row r="35" customFormat="false" ht="19.5" hidden="false" customHeight="true" outlineLevel="0" collapsed="false">
      <c r="A35" s="91"/>
      <c r="B35" s="52"/>
      <c r="C35" s="89" t="str">
        <f aca="false">IF(B35="","",IFERROR(INDEX(Teachers!$B$5:$B$304,MATCH(B35,Teachers!$A$5:$A$304,0)),"ID not found"))</f>
        <v/>
      </c>
      <c r="D35" s="85" t="str">
        <f aca="false">IF(B35="","",IFERROR(INDEX(Teachers!$E$5:$E$304,MATCH(B35,Teachers!$A$5:$A$304,0)),""))</f>
        <v/>
      </c>
      <c r="E35" s="52"/>
    </row>
    <row r="36" customFormat="false" ht="19.5" hidden="false" customHeight="true" outlineLevel="0" collapsed="false">
      <c r="A36" s="91"/>
      <c r="B36" s="52"/>
      <c r="C36" s="89" t="str">
        <f aca="false">IF(B36="","",IFERROR(INDEX(Teachers!$B$5:$B$304,MATCH(B36,Teachers!$A$5:$A$304,0)),"ID not found"))</f>
        <v/>
      </c>
      <c r="D36" s="85" t="str">
        <f aca="false">IF(B36="","",IFERROR(INDEX(Teachers!$E$5:$E$304,MATCH(B36,Teachers!$A$5:$A$304,0)),""))</f>
        <v/>
      </c>
      <c r="E36" s="52"/>
    </row>
    <row r="37" customFormat="false" ht="19.5" hidden="false" customHeight="true" outlineLevel="0" collapsed="false">
      <c r="A37" s="91"/>
      <c r="B37" s="52"/>
      <c r="C37" s="89" t="str">
        <f aca="false">IF(B37="","",IFERROR(INDEX(Teachers!$B$5:$B$304,MATCH(B37,Teachers!$A$5:$A$304,0)),"ID not found"))</f>
        <v/>
      </c>
      <c r="D37" s="85" t="str">
        <f aca="false">IF(B37="","",IFERROR(INDEX(Teachers!$E$5:$E$304,MATCH(B37,Teachers!$A$5:$A$304,0)),""))</f>
        <v/>
      </c>
      <c r="E37" s="52"/>
    </row>
    <row r="38" customFormat="false" ht="19.5" hidden="false" customHeight="true" outlineLevel="0" collapsed="false">
      <c r="A38" s="91"/>
      <c r="B38" s="52"/>
      <c r="C38" s="89" t="str">
        <f aca="false">IF(B38="","",IFERROR(INDEX(Teachers!$B$5:$B$304,MATCH(B38,Teachers!$A$5:$A$304,0)),"ID not found"))</f>
        <v/>
      </c>
      <c r="D38" s="85" t="str">
        <f aca="false">IF(B38="","",IFERROR(INDEX(Teachers!$E$5:$E$304,MATCH(B38,Teachers!$A$5:$A$304,0)),""))</f>
        <v/>
      </c>
      <c r="E38" s="52"/>
    </row>
    <row r="39" customFormat="false" ht="19.5" hidden="false" customHeight="true" outlineLevel="0" collapsed="false">
      <c r="A39" s="91"/>
      <c r="B39" s="52"/>
      <c r="C39" s="89" t="str">
        <f aca="false">IF(B39="","",IFERROR(INDEX(Teachers!$B$5:$B$304,MATCH(B39,Teachers!$A$5:$A$304,0)),"ID not found"))</f>
        <v/>
      </c>
      <c r="D39" s="85" t="str">
        <f aca="false">IF(B39="","",IFERROR(INDEX(Teachers!$E$5:$E$304,MATCH(B39,Teachers!$A$5:$A$304,0)),""))</f>
        <v/>
      </c>
      <c r="E39" s="52"/>
    </row>
    <row r="40" customFormat="false" ht="19.5" hidden="false" customHeight="true" outlineLevel="0" collapsed="false">
      <c r="A40" s="91"/>
      <c r="B40" s="52"/>
      <c r="C40" s="89" t="str">
        <f aca="false">IF(B40="","",IFERROR(INDEX(Teachers!$B$5:$B$304,MATCH(B40,Teachers!$A$5:$A$304,0)),"ID not found"))</f>
        <v/>
      </c>
      <c r="D40" s="85" t="str">
        <f aca="false">IF(B40="","",IFERROR(INDEX(Teachers!$E$5:$E$304,MATCH(B40,Teachers!$A$5:$A$304,0)),""))</f>
        <v/>
      </c>
      <c r="E40" s="52"/>
    </row>
    <row r="41" customFormat="false" ht="19.5" hidden="false" customHeight="true" outlineLevel="0" collapsed="false">
      <c r="A41" s="91"/>
      <c r="B41" s="52"/>
      <c r="C41" s="89" t="str">
        <f aca="false">IF(B41="","",IFERROR(INDEX(Teachers!$B$5:$B$304,MATCH(B41,Teachers!$A$5:$A$304,0)),"ID not found"))</f>
        <v/>
      </c>
      <c r="D41" s="85" t="str">
        <f aca="false">IF(B41="","",IFERROR(INDEX(Teachers!$E$5:$E$304,MATCH(B41,Teachers!$A$5:$A$304,0)),""))</f>
        <v/>
      </c>
      <c r="E41" s="52"/>
    </row>
    <row r="42" customFormat="false" ht="19.5" hidden="false" customHeight="true" outlineLevel="0" collapsed="false">
      <c r="A42" s="91"/>
      <c r="B42" s="52"/>
      <c r="C42" s="89" t="str">
        <f aca="false">IF(B42="","",IFERROR(INDEX(Teachers!$B$5:$B$304,MATCH(B42,Teachers!$A$5:$A$304,0)),"ID not found"))</f>
        <v/>
      </c>
      <c r="D42" s="85" t="str">
        <f aca="false">IF(B42="","",IFERROR(INDEX(Teachers!$E$5:$E$304,MATCH(B42,Teachers!$A$5:$A$304,0)),""))</f>
        <v/>
      </c>
      <c r="E42" s="52"/>
    </row>
    <row r="43" customFormat="false" ht="19.5" hidden="false" customHeight="true" outlineLevel="0" collapsed="false">
      <c r="A43" s="91"/>
      <c r="B43" s="52"/>
      <c r="C43" s="89" t="str">
        <f aca="false">IF(B43="","",IFERROR(INDEX(Teachers!$B$5:$B$304,MATCH(B43,Teachers!$A$5:$A$304,0)),"ID not found"))</f>
        <v/>
      </c>
      <c r="D43" s="85" t="str">
        <f aca="false">IF(B43="","",IFERROR(INDEX(Teachers!$E$5:$E$304,MATCH(B43,Teachers!$A$5:$A$304,0)),""))</f>
        <v/>
      </c>
      <c r="E43" s="52"/>
    </row>
    <row r="44" customFormat="false" ht="19.5" hidden="false" customHeight="true" outlineLevel="0" collapsed="false">
      <c r="A44" s="91"/>
      <c r="B44" s="52"/>
      <c r="C44" s="89" t="str">
        <f aca="false">IF(B44="","",IFERROR(INDEX(Teachers!$B$5:$B$304,MATCH(B44,Teachers!$A$5:$A$304,0)),"ID not found"))</f>
        <v/>
      </c>
      <c r="D44" s="85" t="str">
        <f aca="false">IF(B44="","",IFERROR(INDEX(Teachers!$E$5:$E$304,MATCH(B44,Teachers!$A$5:$A$304,0)),""))</f>
        <v/>
      </c>
      <c r="E44" s="52"/>
    </row>
    <row r="45" customFormat="false" ht="19.5" hidden="false" customHeight="true" outlineLevel="0" collapsed="false">
      <c r="A45" s="91"/>
      <c r="B45" s="52"/>
      <c r="C45" s="89" t="str">
        <f aca="false">IF(B45="","",IFERROR(INDEX(Teachers!$B$5:$B$304,MATCH(B45,Teachers!$A$5:$A$304,0)),"ID not found"))</f>
        <v/>
      </c>
      <c r="D45" s="85" t="str">
        <f aca="false">IF(B45="","",IFERROR(INDEX(Teachers!$E$5:$E$304,MATCH(B45,Teachers!$A$5:$A$304,0)),""))</f>
        <v/>
      </c>
      <c r="E45" s="52"/>
    </row>
    <row r="46" customFormat="false" ht="19.5" hidden="false" customHeight="true" outlineLevel="0" collapsed="false">
      <c r="A46" s="91"/>
      <c r="B46" s="52"/>
      <c r="C46" s="89" t="str">
        <f aca="false">IF(B46="","",IFERROR(INDEX(Teachers!$B$5:$B$304,MATCH(B46,Teachers!$A$5:$A$304,0)),"ID not found"))</f>
        <v/>
      </c>
      <c r="D46" s="85" t="str">
        <f aca="false">IF(B46="","",IFERROR(INDEX(Teachers!$E$5:$E$304,MATCH(B46,Teachers!$A$5:$A$304,0)),""))</f>
        <v/>
      </c>
      <c r="E46" s="52"/>
    </row>
    <row r="47" customFormat="false" ht="19.5" hidden="false" customHeight="true" outlineLevel="0" collapsed="false">
      <c r="A47" s="91"/>
      <c r="B47" s="52"/>
      <c r="C47" s="89" t="str">
        <f aca="false">IF(B47="","",IFERROR(INDEX(Teachers!$B$5:$B$304,MATCH(B47,Teachers!$A$5:$A$304,0)),"ID not found"))</f>
        <v/>
      </c>
      <c r="D47" s="85" t="str">
        <f aca="false">IF(B47="","",IFERROR(INDEX(Teachers!$E$5:$E$304,MATCH(B47,Teachers!$A$5:$A$304,0)),""))</f>
        <v/>
      </c>
      <c r="E47" s="52"/>
    </row>
    <row r="48" customFormat="false" ht="19.5" hidden="false" customHeight="true" outlineLevel="0" collapsed="false">
      <c r="A48" s="91"/>
      <c r="B48" s="52"/>
      <c r="C48" s="89" t="str">
        <f aca="false">IF(B48="","",IFERROR(INDEX(Teachers!$B$5:$B$304,MATCH(B48,Teachers!$A$5:$A$304,0)),"ID not found"))</f>
        <v/>
      </c>
      <c r="D48" s="85" t="str">
        <f aca="false">IF(B48="","",IFERROR(INDEX(Teachers!$E$5:$E$304,MATCH(B48,Teachers!$A$5:$A$304,0)),""))</f>
        <v/>
      </c>
      <c r="E48" s="52"/>
    </row>
    <row r="49" customFormat="false" ht="19.5" hidden="false" customHeight="true" outlineLevel="0" collapsed="false">
      <c r="A49" s="91"/>
      <c r="B49" s="52"/>
      <c r="C49" s="89" t="str">
        <f aca="false">IF(B49="","",IFERROR(INDEX(Teachers!$B$5:$B$304,MATCH(B49,Teachers!$A$5:$A$304,0)),"ID not found"))</f>
        <v/>
      </c>
      <c r="D49" s="85" t="str">
        <f aca="false">IF(B49="","",IFERROR(INDEX(Teachers!$E$5:$E$304,MATCH(B49,Teachers!$A$5:$A$304,0)),""))</f>
        <v/>
      </c>
      <c r="E49" s="52"/>
    </row>
    <row r="50" customFormat="false" ht="19.5" hidden="false" customHeight="true" outlineLevel="0" collapsed="false">
      <c r="A50" s="91"/>
      <c r="B50" s="52"/>
      <c r="C50" s="89" t="str">
        <f aca="false">IF(B50="","",IFERROR(INDEX(Teachers!$B$5:$B$304,MATCH(B50,Teachers!$A$5:$A$304,0)),"ID not found"))</f>
        <v/>
      </c>
      <c r="D50" s="85" t="str">
        <f aca="false">IF(B50="","",IFERROR(INDEX(Teachers!$E$5:$E$304,MATCH(B50,Teachers!$A$5:$A$304,0)),""))</f>
        <v/>
      </c>
      <c r="E50" s="52"/>
    </row>
    <row r="51" customFormat="false" ht="19.5" hidden="false" customHeight="true" outlineLevel="0" collapsed="false">
      <c r="A51" s="91"/>
      <c r="B51" s="52"/>
      <c r="C51" s="89" t="str">
        <f aca="false">IF(B51="","",IFERROR(INDEX(Teachers!$B$5:$B$304,MATCH(B51,Teachers!$A$5:$A$304,0)),"ID not found"))</f>
        <v/>
      </c>
      <c r="D51" s="85" t="str">
        <f aca="false">IF(B51="","",IFERROR(INDEX(Teachers!$E$5:$E$304,MATCH(B51,Teachers!$A$5:$A$304,0)),""))</f>
        <v/>
      </c>
      <c r="E51" s="52"/>
    </row>
    <row r="52" customFormat="false" ht="19.5" hidden="false" customHeight="true" outlineLevel="0" collapsed="false">
      <c r="A52" s="91"/>
      <c r="B52" s="52"/>
      <c r="C52" s="89" t="str">
        <f aca="false">IF(B52="","",IFERROR(INDEX(Teachers!$B$5:$B$304,MATCH(B52,Teachers!$A$5:$A$304,0)),"ID not found"))</f>
        <v/>
      </c>
      <c r="D52" s="85" t="str">
        <f aca="false">IF(B52="","",IFERROR(INDEX(Teachers!$E$5:$E$304,MATCH(B52,Teachers!$A$5:$A$304,0)),""))</f>
        <v/>
      </c>
      <c r="E52" s="52"/>
    </row>
    <row r="53" customFormat="false" ht="19.5" hidden="false" customHeight="true" outlineLevel="0" collapsed="false">
      <c r="A53" s="91"/>
      <c r="B53" s="52"/>
      <c r="C53" s="89" t="str">
        <f aca="false">IF(B53="","",IFERROR(INDEX(Teachers!$B$5:$B$304,MATCH(B53,Teachers!$A$5:$A$304,0)),"ID not found"))</f>
        <v/>
      </c>
      <c r="D53" s="85" t="str">
        <f aca="false">IF(B53="","",IFERROR(INDEX(Teachers!$E$5:$E$304,MATCH(B53,Teachers!$A$5:$A$304,0)),""))</f>
        <v/>
      </c>
      <c r="E53" s="52"/>
    </row>
    <row r="54" customFormat="false" ht="19.5" hidden="false" customHeight="true" outlineLevel="0" collapsed="false">
      <c r="A54" s="91"/>
      <c r="B54" s="52"/>
      <c r="C54" s="89" t="str">
        <f aca="false">IF(B54="","",IFERROR(INDEX(Teachers!$B$5:$B$304,MATCH(B54,Teachers!$A$5:$A$304,0)),"ID not found"))</f>
        <v/>
      </c>
      <c r="D54" s="85" t="str">
        <f aca="false">IF(B54="","",IFERROR(INDEX(Teachers!$E$5:$E$304,MATCH(B54,Teachers!$A$5:$A$304,0)),""))</f>
        <v/>
      </c>
      <c r="E54" s="52"/>
    </row>
    <row r="55" customFormat="false" ht="19.5" hidden="false" customHeight="true" outlineLevel="0" collapsed="false">
      <c r="A55" s="91"/>
      <c r="B55" s="52"/>
      <c r="C55" s="89" t="str">
        <f aca="false">IF(B55="","",IFERROR(INDEX(Teachers!$B$5:$B$304,MATCH(B55,Teachers!$A$5:$A$304,0)),"ID not found"))</f>
        <v/>
      </c>
      <c r="D55" s="85" t="str">
        <f aca="false">IF(B55="","",IFERROR(INDEX(Teachers!$E$5:$E$304,MATCH(B55,Teachers!$A$5:$A$304,0)),""))</f>
        <v/>
      </c>
      <c r="E55" s="52"/>
    </row>
    <row r="56" customFormat="false" ht="19.5" hidden="false" customHeight="true" outlineLevel="0" collapsed="false">
      <c r="A56" s="91"/>
      <c r="B56" s="52"/>
      <c r="C56" s="89" t="str">
        <f aca="false">IF(B56="","",IFERROR(INDEX(Teachers!$B$5:$B$304,MATCH(B56,Teachers!$A$5:$A$304,0)),"ID not found"))</f>
        <v/>
      </c>
      <c r="D56" s="85" t="str">
        <f aca="false">IF(B56="","",IFERROR(INDEX(Teachers!$E$5:$E$304,MATCH(B56,Teachers!$A$5:$A$304,0)),""))</f>
        <v/>
      </c>
      <c r="E56" s="52"/>
    </row>
    <row r="57" customFormat="false" ht="19.5" hidden="false" customHeight="true" outlineLevel="0" collapsed="false">
      <c r="A57" s="91"/>
      <c r="B57" s="52"/>
      <c r="C57" s="89" t="str">
        <f aca="false">IF(B57="","",IFERROR(INDEX(Teachers!$B$5:$B$304,MATCH(B57,Teachers!$A$5:$A$304,0)),"ID not found"))</f>
        <v/>
      </c>
      <c r="D57" s="85" t="str">
        <f aca="false">IF(B57="","",IFERROR(INDEX(Teachers!$E$5:$E$304,MATCH(B57,Teachers!$A$5:$A$304,0)),""))</f>
        <v/>
      </c>
      <c r="E57" s="52"/>
    </row>
    <row r="58" customFormat="false" ht="19.5" hidden="false" customHeight="true" outlineLevel="0" collapsed="false">
      <c r="A58" s="91"/>
      <c r="B58" s="52"/>
      <c r="C58" s="89" t="str">
        <f aca="false">IF(B58="","",IFERROR(INDEX(Teachers!$B$5:$B$304,MATCH(B58,Teachers!$A$5:$A$304,0)),"ID not found"))</f>
        <v/>
      </c>
      <c r="D58" s="85" t="str">
        <f aca="false">IF(B58="","",IFERROR(INDEX(Teachers!$E$5:$E$304,MATCH(B58,Teachers!$A$5:$A$304,0)),""))</f>
        <v/>
      </c>
      <c r="E58" s="52"/>
    </row>
    <row r="59" customFormat="false" ht="19.5" hidden="false" customHeight="true" outlineLevel="0" collapsed="false">
      <c r="A59" s="91"/>
      <c r="B59" s="52"/>
      <c r="C59" s="89" t="str">
        <f aca="false">IF(B59="","",IFERROR(INDEX(Teachers!$B$5:$B$304,MATCH(B59,Teachers!$A$5:$A$304,0)),"ID not found"))</f>
        <v/>
      </c>
      <c r="D59" s="85" t="str">
        <f aca="false">IF(B59="","",IFERROR(INDEX(Teachers!$E$5:$E$304,MATCH(B59,Teachers!$A$5:$A$304,0)),""))</f>
        <v/>
      </c>
      <c r="E59" s="52"/>
    </row>
    <row r="60" customFormat="false" ht="19.5" hidden="false" customHeight="true" outlineLevel="0" collapsed="false">
      <c r="A60" s="91"/>
      <c r="B60" s="52"/>
      <c r="C60" s="89" t="str">
        <f aca="false">IF(B60="","",IFERROR(INDEX(Teachers!$B$5:$B$304,MATCH(B60,Teachers!$A$5:$A$304,0)),"ID not found"))</f>
        <v/>
      </c>
      <c r="D60" s="85" t="str">
        <f aca="false">IF(B60="","",IFERROR(INDEX(Teachers!$E$5:$E$304,MATCH(B60,Teachers!$A$5:$A$304,0)),""))</f>
        <v/>
      </c>
      <c r="E60" s="52"/>
    </row>
    <row r="61" customFormat="false" ht="19.5" hidden="false" customHeight="true" outlineLevel="0" collapsed="false">
      <c r="A61" s="91"/>
      <c r="B61" s="52"/>
      <c r="C61" s="89" t="str">
        <f aca="false">IF(B61="","",IFERROR(INDEX(Teachers!$B$5:$B$304,MATCH(B61,Teachers!$A$5:$A$304,0)),"ID not found"))</f>
        <v/>
      </c>
      <c r="D61" s="85" t="str">
        <f aca="false">IF(B61="","",IFERROR(INDEX(Teachers!$E$5:$E$304,MATCH(B61,Teachers!$A$5:$A$304,0)),""))</f>
        <v/>
      </c>
      <c r="E61" s="52"/>
    </row>
    <row r="62" customFormat="false" ht="19.5" hidden="false" customHeight="true" outlineLevel="0" collapsed="false">
      <c r="A62" s="91"/>
      <c r="B62" s="52"/>
      <c r="C62" s="89" t="str">
        <f aca="false">IF(B62="","",IFERROR(INDEX(Teachers!$B$5:$B$304,MATCH(B62,Teachers!$A$5:$A$304,0)),"ID not found"))</f>
        <v/>
      </c>
      <c r="D62" s="85" t="str">
        <f aca="false">IF(B62="","",IFERROR(INDEX(Teachers!$E$5:$E$304,MATCH(B62,Teachers!$A$5:$A$304,0)),""))</f>
        <v/>
      </c>
      <c r="E62" s="52"/>
    </row>
    <row r="63" customFormat="false" ht="19.5" hidden="false" customHeight="true" outlineLevel="0" collapsed="false">
      <c r="A63" s="91"/>
      <c r="B63" s="52"/>
      <c r="C63" s="89" t="str">
        <f aca="false">IF(B63="","",IFERROR(INDEX(Teachers!$B$5:$B$304,MATCH(B63,Teachers!$A$5:$A$304,0)),"ID not found"))</f>
        <v/>
      </c>
      <c r="D63" s="85" t="str">
        <f aca="false">IF(B63="","",IFERROR(INDEX(Teachers!$E$5:$E$304,MATCH(B63,Teachers!$A$5:$A$304,0)),""))</f>
        <v/>
      </c>
      <c r="E63" s="52"/>
    </row>
    <row r="64" customFormat="false" ht="19.5" hidden="false" customHeight="true" outlineLevel="0" collapsed="false">
      <c r="A64" s="91"/>
      <c r="B64" s="52"/>
      <c r="C64" s="89" t="str">
        <f aca="false">IF(B64="","",IFERROR(INDEX(Teachers!$B$5:$B$304,MATCH(B64,Teachers!$A$5:$A$304,0)),"ID not found"))</f>
        <v/>
      </c>
      <c r="D64" s="85" t="str">
        <f aca="false">IF(B64="","",IFERROR(INDEX(Teachers!$E$5:$E$304,MATCH(B64,Teachers!$A$5:$A$304,0)),""))</f>
        <v/>
      </c>
      <c r="E64" s="52"/>
    </row>
    <row r="65" customFormat="false" ht="19.5" hidden="false" customHeight="true" outlineLevel="0" collapsed="false">
      <c r="A65" s="91"/>
      <c r="B65" s="52"/>
      <c r="C65" s="89" t="str">
        <f aca="false">IF(B65="","",IFERROR(INDEX(Teachers!$B$5:$B$304,MATCH(B65,Teachers!$A$5:$A$304,0)),"ID not found"))</f>
        <v/>
      </c>
      <c r="D65" s="85" t="str">
        <f aca="false">IF(B65="","",IFERROR(INDEX(Teachers!$E$5:$E$304,MATCH(B65,Teachers!$A$5:$A$304,0)),""))</f>
        <v/>
      </c>
      <c r="E65" s="52"/>
    </row>
    <row r="66" customFormat="false" ht="19.5" hidden="false" customHeight="true" outlineLevel="0" collapsed="false">
      <c r="A66" s="91"/>
      <c r="B66" s="52"/>
      <c r="C66" s="89" t="str">
        <f aca="false">IF(B66="","",IFERROR(INDEX(Teachers!$B$5:$B$304,MATCH(B66,Teachers!$A$5:$A$304,0)),"ID not found"))</f>
        <v/>
      </c>
      <c r="D66" s="85" t="str">
        <f aca="false">IF(B66="","",IFERROR(INDEX(Teachers!$E$5:$E$304,MATCH(B66,Teachers!$A$5:$A$304,0)),""))</f>
        <v/>
      </c>
      <c r="E66" s="52"/>
    </row>
    <row r="67" customFormat="false" ht="19.5" hidden="false" customHeight="true" outlineLevel="0" collapsed="false">
      <c r="A67" s="91"/>
      <c r="B67" s="52"/>
      <c r="C67" s="89" t="str">
        <f aca="false">IF(B67="","",IFERROR(INDEX(Teachers!$B$5:$B$304,MATCH(B67,Teachers!$A$5:$A$304,0)),"ID not found"))</f>
        <v/>
      </c>
      <c r="D67" s="85" t="str">
        <f aca="false">IF(B67="","",IFERROR(INDEX(Teachers!$E$5:$E$304,MATCH(B67,Teachers!$A$5:$A$304,0)),""))</f>
        <v/>
      </c>
      <c r="E67" s="52"/>
    </row>
    <row r="68" customFormat="false" ht="19.5" hidden="false" customHeight="true" outlineLevel="0" collapsed="false">
      <c r="A68" s="91"/>
      <c r="B68" s="52"/>
      <c r="C68" s="89" t="str">
        <f aca="false">IF(B68="","",IFERROR(INDEX(Teachers!$B$5:$B$304,MATCH(B68,Teachers!$A$5:$A$304,0)),"ID not found"))</f>
        <v/>
      </c>
      <c r="D68" s="85" t="str">
        <f aca="false">IF(B68="","",IFERROR(INDEX(Teachers!$E$5:$E$304,MATCH(B68,Teachers!$A$5:$A$304,0)),""))</f>
        <v/>
      </c>
      <c r="E68" s="52"/>
    </row>
    <row r="69" customFormat="false" ht="19.5" hidden="false" customHeight="true" outlineLevel="0" collapsed="false">
      <c r="A69" s="91"/>
      <c r="B69" s="52"/>
      <c r="C69" s="89" t="str">
        <f aca="false">IF(B69="","",IFERROR(INDEX(Teachers!$B$5:$B$304,MATCH(B69,Teachers!$A$5:$A$304,0)),"ID not found"))</f>
        <v/>
      </c>
      <c r="D69" s="85" t="str">
        <f aca="false">IF(B69="","",IFERROR(INDEX(Teachers!$E$5:$E$304,MATCH(B69,Teachers!$A$5:$A$304,0)),""))</f>
        <v/>
      </c>
      <c r="E69" s="52"/>
    </row>
    <row r="70" customFormat="false" ht="19.5" hidden="false" customHeight="true" outlineLevel="0" collapsed="false">
      <c r="A70" s="91"/>
      <c r="B70" s="52"/>
      <c r="C70" s="89" t="str">
        <f aca="false">IF(B70="","",IFERROR(INDEX(Teachers!$B$5:$B$304,MATCH(B70,Teachers!$A$5:$A$304,0)),"ID not found"))</f>
        <v/>
      </c>
      <c r="D70" s="85" t="str">
        <f aca="false">IF(B70="","",IFERROR(INDEX(Teachers!$E$5:$E$304,MATCH(B70,Teachers!$A$5:$A$304,0)),""))</f>
        <v/>
      </c>
      <c r="E70" s="52"/>
    </row>
    <row r="71" customFormat="false" ht="19.5" hidden="false" customHeight="true" outlineLevel="0" collapsed="false">
      <c r="A71" s="91"/>
      <c r="B71" s="52"/>
      <c r="C71" s="89" t="str">
        <f aca="false">IF(B71="","",IFERROR(INDEX(Teachers!$B$5:$B$304,MATCH(B71,Teachers!$A$5:$A$304,0)),"ID not found"))</f>
        <v/>
      </c>
      <c r="D71" s="85" t="str">
        <f aca="false">IF(B71="","",IFERROR(INDEX(Teachers!$E$5:$E$304,MATCH(B71,Teachers!$A$5:$A$304,0)),""))</f>
        <v/>
      </c>
      <c r="E71" s="52"/>
    </row>
    <row r="72" customFormat="false" ht="19.5" hidden="false" customHeight="true" outlineLevel="0" collapsed="false">
      <c r="A72" s="91"/>
      <c r="B72" s="52"/>
      <c r="C72" s="89" t="str">
        <f aca="false">IF(B72="","",IFERROR(INDEX(Teachers!$B$5:$B$304,MATCH(B72,Teachers!$A$5:$A$304,0)),"ID not found"))</f>
        <v/>
      </c>
      <c r="D72" s="85" t="str">
        <f aca="false">IF(B72="","",IFERROR(INDEX(Teachers!$E$5:$E$304,MATCH(B72,Teachers!$A$5:$A$304,0)),""))</f>
        <v/>
      </c>
      <c r="E72" s="52"/>
    </row>
    <row r="73" customFormat="false" ht="19.5" hidden="false" customHeight="true" outlineLevel="0" collapsed="false">
      <c r="A73" s="91"/>
      <c r="B73" s="52"/>
      <c r="C73" s="89" t="str">
        <f aca="false">IF(B73="","",IFERROR(INDEX(Teachers!$B$5:$B$304,MATCH(B73,Teachers!$A$5:$A$304,0)),"ID not found"))</f>
        <v/>
      </c>
      <c r="D73" s="85" t="str">
        <f aca="false">IF(B73="","",IFERROR(INDEX(Teachers!$E$5:$E$304,MATCH(B73,Teachers!$A$5:$A$304,0)),""))</f>
        <v/>
      </c>
      <c r="E73" s="52"/>
    </row>
    <row r="74" customFormat="false" ht="19.5" hidden="false" customHeight="true" outlineLevel="0" collapsed="false">
      <c r="A74" s="91"/>
      <c r="B74" s="52"/>
      <c r="C74" s="89" t="str">
        <f aca="false">IF(B74="","",IFERROR(INDEX(Teachers!$B$5:$B$304,MATCH(B74,Teachers!$A$5:$A$304,0)),"ID not found"))</f>
        <v/>
      </c>
      <c r="D74" s="85" t="str">
        <f aca="false">IF(B74="","",IFERROR(INDEX(Teachers!$E$5:$E$304,MATCH(B74,Teachers!$A$5:$A$304,0)),""))</f>
        <v/>
      </c>
      <c r="E74" s="52"/>
    </row>
    <row r="75" customFormat="false" ht="19.5" hidden="false" customHeight="true" outlineLevel="0" collapsed="false">
      <c r="A75" s="91"/>
      <c r="B75" s="52"/>
      <c r="C75" s="89" t="str">
        <f aca="false">IF(B75="","",IFERROR(INDEX(Teachers!$B$5:$B$304,MATCH(B75,Teachers!$A$5:$A$304,0)),"ID not found"))</f>
        <v/>
      </c>
      <c r="D75" s="85" t="str">
        <f aca="false">IF(B75="","",IFERROR(INDEX(Teachers!$E$5:$E$304,MATCH(B75,Teachers!$A$5:$A$304,0)),""))</f>
        <v/>
      </c>
      <c r="E75" s="52"/>
    </row>
    <row r="76" customFormat="false" ht="19.5" hidden="false" customHeight="true" outlineLevel="0" collapsed="false">
      <c r="A76" s="91"/>
      <c r="B76" s="52"/>
      <c r="C76" s="89" t="str">
        <f aca="false">IF(B76="","",IFERROR(INDEX(Teachers!$B$5:$B$304,MATCH(B76,Teachers!$A$5:$A$304,0)),"ID not found"))</f>
        <v/>
      </c>
      <c r="D76" s="85" t="str">
        <f aca="false">IF(B76="","",IFERROR(INDEX(Teachers!$E$5:$E$304,MATCH(B76,Teachers!$A$5:$A$304,0)),""))</f>
        <v/>
      </c>
      <c r="E76" s="52"/>
    </row>
    <row r="77" customFormat="false" ht="19.5" hidden="false" customHeight="true" outlineLevel="0" collapsed="false">
      <c r="A77" s="91"/>
      <c r="B77" s="52"/>
      <c r="C77" s="89" t="str">
        <f aca="false">IF(B77="","",IFERROR(INDEX(Teachers!$B$5:$B$304,MATCH(B77,Teachers!$A$5:$A$304,0)),"ID not found"))</f>
        <v/>
      </c>
      <c r="D77" s="85" t="str">
        <f aca="false">IF(B77="","",IFERROR(INDEX(Teachers!$E$5:$E$304,MATCH(B77,Teachers!$A$5:$A$304,0)),""))</f>
        <v/>
      </c>
      <c r="E77" s="52"/>
    </row>
    <row r="78" customFormat="false" ht="19.5" hidden="false" customHeight="true" outlineLevel="0" collapsed="false">
      <c r="A78" s="91"/>
      <c r="B78" s="52"/>
      <c r="C78" s="89" t="str">
        <f aca="false">IF(B78="","",IFERROR(INDEX(Teachers!$B$5:$B$304,MATCH(B78,Teachers!$A$5:$A$304,0)),"ID not found"))</f>
        <v/>
      </c>
      <c r="D78" s="85" t="str">
        <f aca="false">IF(B78="","",IFERROR(INDEX(Teachers!$E$5:$E$304,MATCH(B78,Teachers!$A$5:$A$304,0)),""))</f>
        <v/>
      </c>
      <c r="E78" s="52"/>
    </row>
    <row r="79" customFormat="false" ht="19.5" hidden="false" customHeight="true" outlineLevel="0" collapsed="false">
      <c r="A79" s="91"/>
      <c r="B79" s="52"/>
      <c r="C79" s="89" t="str">
        <f aca="false">IF(B79="","",IFERROR(INDEX(Teachers!$B$5:$B$304,MATCH(B79,Teachers!$A$5:$A$304,0)),"ID not found"))</f>
        <v/>
      </c>
      <c r="D79" s="85" t="str">
        <f aca="false">IF(B79="","",IFERROR(INDEX(Teachers!$E$5:$E$304,MATCH(B79,Teachers!$A$5:$A$304,0)),""))</f>
        <v/>
      </c>
      <c r="E79" s="52"/>
    </row>
    <row r="80" customFormat="false" ht="19.5" hidden="false" customHeight="true" outlineLevel="0" collapsed="false">
      <c r="A80" s="91"/>
      <c r="B80" s="52"/>
      <c r="C80" s="89" t="str">
        <f aca="false">IF(B80="","",IFERROR(INDEX(Teachers!$B$5:$B$304,MATCH(B80,Teachers!$A$5:$A$304,0)),"ID not found"))</f>
        <v/>
      </c>
      <c r="D80" s="85" t="str">
        <f aca="false">IF(B80="","",IFERROR(INDEX(Teachers!$E$5:$E$304,MATCH(B80,Teachers!$A$5:$A$304,0)),""))</f>
        <v/>
      </c>
      <c r="E80" s="52"/>
    </row>
    <row r="81" customFormat="false" ht="19.5" hidden="false" customHeight="true" outlineLevel="0" collapsed="false">
      <c r="A81" s="91"/>
      <c r="B81" s="52"/>
      <c r="C81" s="89" t="str">
        <f aca="false">IF(B81="","",IFERROR(INDEX(Teachers!$B$5:$B$304,MATCH(B81,Teachers!$A$5:$A$304,0)),"ID not found"))</f>
        <v/>
      </c>
      <c r="D81" s="85" t="str">
        <f aca="false">IF(B81="","",IFERROR(INDEX(Teachers!$E$5:$E$304,MATCH(B81,Teachers!$A$5:$A$304,0)),""))</f>
        <v/>
      </c>
      <c r="E81" s="52"/>
    </row>
    <row r="82" customFormat="false" ht="19.5" hidden="false" customHeight="true" outlineLevel="0" collapsed="false">
      <c r="A82" s="91"/>
      <c r="B82" s="52"/>
      <c r="C82" s="89" t="str">
        <f aca="false">IF(B82="","",IFERROR(INDEX(Teachers!$B$5:$B$304,MATCH(B82,Teachers!$A$5:$A$304,0)),"ID not found"))</f>
        <v/>
      </c>
      <c r="D82" s="85" t="str">
        <f aca="false">IF(B82="","",IFERROR(INDEX(Teachers!$E$5:$E$304,MATCH(B82,Teachers!$A$5:$A$304,0)),""))</f>
        <v/>
      </c>
      <c r="E82" s="52"/>
    </row>
    <row r="83" customFormat="false" ht="19.5" hidden="false" customHeight="true" outlineLevel="0" collapsed="false">
      <c r="A83" s="91"/>
      <c r="B83" s="52"/>
      <c r="C83" s="89" t="str">
        <f aca="false">IF(B83="","",IFERROR(INDEX(Teachers!$B$5:$B$304,MATCH(B83,Teachers!$A$5:$A$304,0)),"ID not found"))</f>
        <v/>
      </c>
      <c r="D83" s="85" t="str">
        <f aca="false">IF(B83="","",IFERROR(INDEX(Teachers!$E$5:$E$304,MATCH(B83,Teachers!$A$5:$A$304,0)),""))</f>
        <v/>
      </c>
      <c r="E83" s="52"/>
    </row>
    <row r="84" customFormat="false" ht="19.5" hidden="false" customHeight="true" outlineLevel="0" collapsed="false">
      <c r="A84" s="91"/>
      <c r="B84" s="52"/>
      <c r="C84" s="89" t="str">
        <f aca="false">IF(B84="","",IFERROR(INDEX(Teachers!$B$5:$B$304,MATCH(B84,Teachers!$A$5:$A$304,0)),"ID not found"))</f>
        <v/>
      </c>
      <c r="D84" s="85" t="str">
        <f aca="false">IF(B84="","",IFERROR(INDEX(Teachers!$E$5:$E$304,MATCH(B84,Teachers!$A$5:$A$304,0)),""))</f>
        <v/>
      </c>
      <c r="E84" s="52"/>
    </row>
    <row r="85" customFormat="false" ht="19.5" hidden="false" customHeight="true" outlineLevel="0" collapsed="false">
      <c r="A85" s="91"/>
      <c r="B85" s="52"/>
      <c r="C85" s="89" t="str">
        <f aca="false">IF(B85="","",IFERROR(INDEX(Teachers!$B$5:$B$304,MATCH(B85,Teachers!$A$5:$A$304,0)),"ID not found"))</f>
        <v/>
      </c>
      <c r="D85" s="85" t="str">
        <f aca="false">IF(B85="","",IFERROR(INDEX(Teachers!$E$5:$E$304,MATCH(B85,Teachers!$A$5:$A$304,0)),""))</f>
        <v/>
      </c>
      <c r="E85" s="52"/>
    </row>
    <row r="86" customFormat="false" ht="19.5" hidden="false" customHeight="true" outlineLevel="0" collapsed="false">
      <c r="A86" s="91"/>
      <c r="B86" s="52"/>
      <c r="C86" s="89" t="str">
        <f aca="false">IF(B86="","",IFERROR(INDEX(Teachers!$B$5:$B$304,MATCH(B86,Teachers!$A$5:$A$304,0)),"ID not found"))</f>
        <v/>
      </c>
      <c r="D86" s="85" t="str">
        <f aca="false">IF(B86="","",IFERROR(INDEX(Teachers!$E$5:$E$304,MATCH(B86,Teachers!$A$5:$A$304,0)),""))</f>
        <v/>
      </c>
      <c r="E86" s="52"/>
    </row>
    <row r="87" customFormat="false" ht="19.5" hidden="false" customHeight="true" outlineLevel="0" collapsed="false">
      <c r="A87" s="91"/>
      <c r="B87" s="52"/>
      <c r="C87" s="89" t="str">
        <f aca="false">IF(B87="","",IFERROR(INDEX(Teachers!$B$5:$B$304,MATCH(B87,Teachers!$A$5:$A$304,0)),"ID not found"))</f>
        <v/>
      </c>
      <c r="D87" s="85" t="str">
        <f aca="false">IF(B87="","",IFERROR(INDEX(Teachers!$E$5:$E$304,MATCH(B87,Teachers!$A$5:$A$304,0)),""))</f>
        <v/>
      </c>
      <c r="E87" s="52"/>
    </row>
    <row r="88" customFormat="false" ht="19.5" hidden="false" customHeight="true" outlineLevel="0" collapsed="false">
      <c r="A88" s="91"/>
      <c r="B88" s="52"/>
      <c r="C88" s="89" t="str">
        <f aca="false">IF(B88="","",IFERROR(INDEX(Teachers!$B$5:$B$304,MATCH(B88,Teachers!$A$5:$A$304,0)),"ID not found"))</f>
        <v/>
      </c>
      <c r="D88" s="85" t="str">
        <f aca="false">IF(B88="","",IFERROR(INDEX(Teachers!$E$5:$E$304,MATCH(B88,Teachers!$A$5:$A$304,0)),""))</f>
        <v/>
      </c>
      <c r="E88" s="52"/>
    </row>
    <row r="89" customFormat="false" ht="19.5" hidden="false" customHeight="true" outlineLevel="0" collapsed="false">
      <c r="A89" s="91"/>
      <c r="B89" s="52"/>
      <c r="C89" s="89" t="str">
        <f aca="false">IF(B89="","",IFERROR(INDEX(Teachers!$B$5:$B$304,MATCH(B89,Teachers!$A$5:$A$304,0)),"ID not found"))</f>
        <v/>
      </c>
      <c r="D89" s="85" t="str">
        <f aca="false">IF(B89="","",IFERROR(INDEX(Teachers!$E$5:$E$304,MATCH(B89,Teachers!$A$5:$A$304,0)),""))</f>
        <v/>
      </c>
      <c r="E89" s="52"/>
    </row>
    <row r="90" customFormat="false" ht="19.5" hidden="false" customHeight="true" outlineLevel="0" collapsed="false">
      <c r="A90" s="91"/>
      <c r="B90" s="52"/>
      <c r="C90" s="89" t="str">
        <f aca="false">IF(B90="","",IFERROR(INDEX(Teachers!$B$5:$B$304,MATCH(B90,Teachers!$A$5:$A$304,0)),"ID not found"))</f>
        <v/>
      </c>
      <c r="D90" s="85" t="str">
        <f aca="false">IF(B90="","",IFERROR(INDEX(Teachers!$E$5:$E$304,MATCH(B90,Teachers!$A$5:$A$304,0)),""))</f>
        <v/>
      </c>
      <c r="E90" s="52"/>
    </row>
    <row r="91" customFormat="false" ht="19.5" hidden="false" customHeight="true" outlineLevel="0" collapsed="false">
      <c r="A91" s="91"/>
      <c r="B91" s="52"/>
      <c r="C91" s="89" t="str">
        <f aca="false">IF(B91="","",IFERROR(INDEX(Teachers!$B$5:$B$304,MATCH(B91,Teachers!$A$5:$A$304,0)),"ID not found"))</f>
        <v/>
      </c>
      <c r="D91" s="85" t="str">
        <f aca="false">IF(B91="","",IFERROR(INDEX(Teachers!$E$5:$E$304,MATCH(B91,Teachers!$A$5:$A$304,0)),""))</f>
        <v/>
      </c>
      <c r="E91" s="52"/>
    </row>
    <row r="92" customFormat="false" ht="19.5" hidden="false" customHeight="true" outlineLevel="0" collapsed="false">
      <c r="A92" s="91"/>
      <c r="B92" s="52"/>
      <c r="C92" s="89" t="str">
        <f aca="false">IF(B92="","",IFERROR(INDEX(Teachers!$B$5:$B$304,MATCH(B92,Teachers!$A$5:$A$304,0)),"ID not found"))</f>
        <v/>
      </c>
      <c r="D92" s="85" t="str">
        <f aca="false">IF(B92="","",IFERROR(INDEX(Teachers!$E$5:$E$304,MATCH(B92,Teachers!$A$5:$A$304,0)),""))</f>
        <v/>
      </c>
      <c r="E92" s="52"/>
    </row>
    <row r="93" customFormat="false" ht="19.5" hidden="false" customHeight="true" outlineLevel="0" collapsed="false">
      <c r="A93" s="91"/>
      <c r="B93" s="52"/>
      <c r="C93" s="89" t="str">
        <f aca="false">IF(B93="","",IFERROR(INDEX(Teachers!$B$5:$B$304,MATCH(B93,Teachers!$A$5:$A$304,0)),"ID not found"))</f>
        <v/>
      </c>
      <c r="D93" s="85" t="str">
        <f aca="false">IF(B93="","",IFERROR(INDEX(Teachers!$E$5:$E$304,MATCH(B93,Teachers!$A$5:$A$304,0)),""))</f>
        <v/>
      </c>
      <c r="E93" s="52"/>
    </row>
    <row r="94" customFormat="false" ht="19.5" hidden="false" customHeight="true" outlineLevel="0" collapsed="false">
      <c r="A94" s="91"/>
      <c r="B94" s="52"/>
      <c r="C94" s="89" t="str">
        <f aca="false">IF(B94="","",IFERROR(INDEX(Teachers!$B$5:$B$304,MATCH(B94,Teachers!$A$5:$A$304,0)),"ID not found"))</f>
        <v/>
      </c>
      <c r="D94" s="85" t="str">
        <f aca="false">IF(B94="","",IFERROR(INDEX(Teachers!$E$5:$E$304,MATCH(B94,Teachers!$A$5:$A$304,0)),""))</f>
        <v/>
      </c>
      <c r="E94" s="52"/>
    </row>
    <row r="95" customFormat="false" ht="19.5" hidden="false" customHeight="true" outlineLevel="0" collapsed="false">
      <c r="A95" s="91"/>
      <c r="B95" s="52"/>
      <c r="C95" s="89" t="str">
        <f aca="false">IF(B95="","",IFERROR(INDEX(Teachers!$B$5:$B$304,MATCH(B95,Teachers!$A$5:$A$304,0)),"ID not found"))</f>
        <v/>
      </c>
      <c r="D95" s="85" t="str">
        <f aca="false">IF(B95="","",IFERROR(INDEX(Teachers!$E$5:$E$304,MATCH(B95,Teachers!$A$5:$A$304,0)),""))</f>
        <v/>
      </c>
      <c r="E95" s="52"/>
    </row>
    <row r="96" customFormat="false" ht="19.5" hidden="false" customHeight="true" outlineLevel="0" collapsed="false">
      <c r="A96" s="91"/>
      <c r="B96" s="52"/>
      <c r="C96" s="89" t="str">
        <f aca="false">IF(B96="","",IFERROR(INDEX(Teachers!$B$5:$B$304,MATCH(B96,Teachers!$A$5:$A$304,0)),"ID not found"))</f>
        <v/>
      </c>
      <c r="D96" s="85" t="str">
        <f aca="false">IF(B96="","",IFERROR(INDEX(Teachers!$E$5:$E$304,MATCH(B96,Teachers!$A$5:$A$304,0)),""))</f>
        <v/>
      </c>
      <c r="E96" s="52"/>
    </row>
    <row r="97" customFormat="false" ht="19.5" hidden="false" customHeight="true" outlineLevel="0" collapsed="false">
      <c r="A97" s="91"/>
      <c r="B97" s="52"/>
      <c r="C97" s="89" t="str">
        <f aca="false">IF(B97="","",IFERROR(INDEX(Teachers!$B$5:$B$304,MATCH(B97,Teachers!$A$5:$A$304,0)),"ID not found"))</f>
        <v/>
      </c>
      <c r="D97" s="85" t="str">
        <f aca="false">IF(B97="","",IFERROR(INDEX(Teachers!$E$5:$E$304,MATCH(B97,Teachers!$A$5:$A$304,0)),""))</f>
        <v/>
      </c>
      <c r="E97" s="52"/>
    </row>
    <row r="98" customFormat="false" ht="19.5" hidden="false" customHeight="true" outlineLevel="0" collapsed="false">
      <c r="A98" s="91"/>
      <c r="B98" s="52"/>
      <c r="C98" s="89" t="str">
        <f aca="false">IF(B98="","",IFERROR(INDEX(Teachers!$B$5:$B$304,MATCH(B98,Teachers!$A$5:$A$304,0)),"ID not found"))</f>
        <v/>
      </c>
      <c r="D98" s="85" t="str">
        <f aca="false">IF(B98="","",IFERROR(INDEX(Teachers!$E$5:$E$304,MATCH(B98,Teachers!$A$5:$A$304,0)),""))</f>
        <v/>
      </c>
      <c r="E98" s="52"/>
    </row>
    <row r="99" customFormat="false" ht="19.5" hidden="false" customHeight="true" outlineLevel="0" collapsed="false">
      <c r="A99" s="91"/>
      <c r="B99" s="52"/>
      <c r="C99" s="89" t="str">
        <f aca="false">IF(B99="","",IFERROR(INDEX(Teachers!$B$5:$B$304,MATCH(B99,Teachers!$A$5:$A$304,0)),"ID not found"))</f>
        <v/>
      </c>
      <c r="D99" s="85" t="str">
        <f aca="false">IF(B99="","",IFERROR(INDEX(Teachers!$E$5:$E$304,MATCH(B99,Teachers!$A$5:$A$304,0)),""))</f>
        <v/>
      </c>
      <c r="E99" s="52"/>
    </row>
    <row r="100" customFormat="false" ht="19.5" hidden="false" customHeight="true" outlineLevel="0" collapsed="false">
      <c r="A100" s="91"/>
      <c r="B100" s="52"/>
      <c r="C100" s="89" t="str">
        <f aca="false">IF(B100="","",IFERROR(INDEX(Teachers!$B$5:$B$304,MATCH(B100,Teachers!$A$5:$A$304,0)),"ID not found"))</f>
        <v/>
      </c>
      <c r="D100" s="85" t="str">
        <f aca="false">IF(B100="","",IFERROR(INDEX(Teachers!$E$5:$E$304,MATCH(B100,Teachers!$A$5:$A$304,0)),""))</f>
        <v/>
      </c>
      <c r="E100" s="52"/>
    </row>
    <row r="101" customFormat="false" ht="19.5" hidden="false" customHeight="true" outlineLevel="0" collapsed="false">
      <c r="A101" s="91"/>
      <c r="B101" s="52"/>
      <c r="C101" s="89" t="str">
        <f aca="false">IF(B101="","",IFERROR(INDEX(Teachers!$B$5:$B$304,MATCH(B101,Teachers!$A$5:$A$304,0)),"ID not found"))</f>
        <v/>
      </c>
      <c r="D101" s="85" t="str">
        <f aca="false">IF(B101="","",IFERROR(INDEX(Teachers!$E$5:$E$304,MATCH(B101,Teachers!$A$5:$A$304,0)),""))</f>
        <v/>
      </c>
      <c r="E101" s="52"/>
    </row>
    <row r="102" customFormat="false" ht="19.5" hidden="false" customHeight="true" outlineLevel="0" collapsed="false">
      <c r="A102" s="91"/>
      <c r="B102" s="52"/>
      <c r="C102" s="89" t="str">
        <f aca="false">IF(B102="","",IFERROR(INDEX(Teachers!$B$5:$B$304,MATCH(B102,Teachers!$A$5:$A$304,0)),"ID not found"))</f>
        <v/>
      </c>
      <c r="D102" s="85" t="str">
        <f aca="false">IF(B102="","",IFERROR(INDEX(Teachers!$E$5:$E$304,MATCH(B102,Teachers!$A$5:$A$304,0)),""))</f>
        <v/>
      </c>
      <c r="E102" s="52"/>
    </row>
    <row r="103" customFormat="false" ht="19.5" hidden="false" customHeight="true" outlineLevel="0" collapsed="false">
      <c r="A103" s="91"/>
      <c r="B103" s="52"/>
      <c r="C103" s="89" t="str">
        <f aca="false">IF(B103="","",IFERROR(INDEX(Teachers!$B$5:$B$304,MATCH(B103,Teachers!$A$5:$A$304,0)),"ID not found"))</f>
        <v/>
      </c>
      <c r="D103" s="85" t="str">
        <f aca="false">IF(B103="","",IFERROR(INDEX(Teachers!$E$5:$E$304,MATCH(B103,Teachers!$A$5:$A$304,0)),""))</f>
        <v/>
      </c>
      <c r="E103" s="52"/>
    </row>
    <row r="104" customFormat="false" ht="19.5" hidden="false" customHeight="true" outlineLevel="0" collapsed="false">
      <c r="A104" s="91"/>
      <c r="B104" s="52"/>
      <c r="C104" s="89" t="str">
        <f aca="false">IF(B104="","",IFERROR(INDEX(Teachers!$B$5:$B$304,MATCH(B104,Teachers!$A$5:$A$304,0)),"ID not found"))</f>
        <v/>
      </c>
      <c r="D104" s="85" t="str">
        <f aca="false">IF(B104="","",IFERROR(INDEX(Teachers!$E$5:$E$304,MATCH(B104,Teachers!$A$5:$A$304,0)),""))</f>
        <v/>
      </c>
      <c r="E104" s="52"/>
    </row>
    <row r="105" customFormat="false" ht="19.5" hidden="false" customHeight="true" outlineLevel="0" collapsed="false">
      <c r="A105" s="91"/>
      <c r="B105" s="52"/>
      <c r="C105" s="89" t="str">
        <f aca="false">IF(B105="","",IFERROR(INDEX(Teachers!$B$5:$B$304,MATCH(B105,Teachers!$A$5:$A$304,0)),"ID not found"))</f>
        <v/>
      </c>
      <c r="D105" s="85" t="str">
        <f aca="false">IF(B105="","",IFERROR(INDEX(Teachers!$E$5:$E$304,MATCH(B105,Teachers!$A$5:$A$304,0)),""))</f>
        <v/>
      </c>
      <c r="E105" s="52"/>
    </row>
    <row r="106" customFormat="false" ht="19.5" hidden="false" customHeight="true" outlineLevel="0" collapsed="false">
      <c r="A106" s="91"/>
      <c r="B106" s="52"/>
      <c r="C106" s="89" t="str">
        <f aca="false">IF(B106="","",IFERROR(INDEX(Teachers!$B$5:$B$304,MATCH(B106,Teachers!$A$5:$A$304,0)),"ID not found"))</f>
        <v/>
      </c>
      <c r="D106" s="85" t="str">
        <f aca="false">IF(B106="","",IFERROR(INDEX(Teachers!$E$5:$E$304,MATCH(B106,Teachers!$A$5:$A$304,0)),""))</f>
        <v/>
      </c>
      <c r="E106" s="52"/>
    </row>
    <row r="107" customFormat="false" ht="19.5" hidden="false" customHeight="true" outlineLevel="0" collapsed="false">
      <c r="A107" s="91"/>
      <c r="B107" s="52"/>
      <c r="C107" s="89" t="str">
        <f aca="false">IF(B107="","",IFERROR(INDEX(Teachers!$B$5:$B$304,MATCH(B107,Teachers!$A$5:$A$304,0)),"ID not found"))</f>
        <v/>
      </c>
      <c r="D107" s="85" t="str">
        <f aca="false">IF(B107="","",IFERROR(INDEX(Teachers!$E$5:$E$304,MATCH(B107,Teachers!$A$5:$A$304,0)),""))</f>
        <v/>
      </c>
      <c r="E107" s="52"/>
    </row>
    <row r="108" customFormat="false" ht="19.5" hidden="false" customHeight="true" outlineLevel="0" collapsed="false">
      <c r="A108" s="91"/>
      <c r="B108" s="52"/>
      <c r="C108" s="89" t="str">
        <f aca="false">IF(B108="","",IFERROR(INDEX(Teachers!$B$5:$B$304,MATCH(B108,Teachers!$A$5:$A$304,0)),"ID not found"))</f>
        <v/>
      </c>
      <c r="D108" s="85" t="str">
        <f aca="false">IF(B108="","",IFERROR(INDEX(Teachers!$E$5:$E$304,MATCH(B108,Teachers!$A$5:$A$304,0)),""))</f>
        <v/>
      </c>
      <c r="E108" s="52"/>
    </row>
    <row r="109" customFormat="false" ht="19.5" hidden="false" customHeight="true" outlineLevel="0" collapsed="false">
      <c r="A109" s="91"/>
      <c r="B109" s="52"/>
      <c r="C109" s="89" t="str">
        <f aca="false">IF(B109="","",IFERROR(INDEX(Teachers!$B$5:$B$304,MATCH(B109,Teachers!$A$5:$A$304,0)),"ID not found"))</f>
        <v/>
      </c>
      <c r="D109" s="85" t="str">
        <f aca="false">IF(B109="","",IFERROR(INDEX(Teachers!$E$5:$E$304,MATCH(B109,Teachers!$A$5:$A$304,0)),""))</f>
        <v/>
      </c>
      <c r="E109" s="52"/>
    </row>
    <row r="110" customFormat="false" ht="19.5" hidden="false" customHeight="true" outlineLevel="0" collapsed="false">
      <c r="A110" s="91"/>
      <c r="B110" s="52"/>
      <c r="C110" s="89" t="str">
        <f aca="false">IF(B110="","",IFERROR(INDEX(Teachers!$B$5:$B$304,MATCH(B110,Teachers!$A$5:$A$304,0)),"ID not found"))</f>
        <v/>
      </c>
      <c r="D110" s="85" t="str">
        <f aca="false">IF(B110="","",IFERROR(INDEX(Teachers!$E$5:$E$304,MATCH(B110,Teachers!$A$5:$A$304,0)),""))</f>
        <v/>
      </c>
      <c r="E110" s="52"/>
    </row>
    <row r="111" customFormat="false" ht="19.5" hidden="false" customHeight="true" outlineLevel="0" collapsed="false">
      <c r="A111" s="91"/>
      <c r="B111" s="52"/>
      <c r="C111" s="89" t="str">
        <f aca="false">IF(B111="","",IFERROR(INDEX(Teachers!$B$5:$B$304,MATCH(B111,Teachers!$A$5:$A$304,0)),"ID not found"))</f>
        <v/>
      </c>
      <c r="D111" s="85" t="str">
        <f aca="false">IF(B111="","",IFERROR(INDEX(Teachers!$E$5:$E$304,MATCH(B111,Teachers!$A$5:$A$304,0)),""))</f>
        <v/>
      </c>
      <c r="E111" s="52"/>
    </row>
    <row r="112" customFormat="false" ht="19.5" hidden="false" customHeight="true" outlineLevel="0" collapsed="false">
      <c r="A112" s="91"/>
      <c r="B112" s="52"/>
      <c r="C112" s="89" t="str">
        <f aca="false">IF(B112="","",IFERROR(INDEX(Teachers!$B$5:$B$304,MATCH(B112,Teachers!$A$5:$A$304,0)),"ID not found"))</f>
        <v/>
      </c>
      <c r="D112" s="85" t="str">
        <f aca="false">IF(B112="","",IFERROR(INDEX(Teachers!$E$5:$E$304,MATCH(B112,Teachers!$A$5:$A$304,0)),""))</f>
        <v/>
      </c>
      <c r="E112" s="52"/>
    </row>
    <row r="113" customFormat="false" ht="19.5" hidden="false" customHeight="true" outlineLevel="0" collapsed="false">
      <c r="A113" s="91"/>
      <c r="B113" s="52"/>
      <c r="C113" s="89" t="str">
        <f aca="false">IF(B113="","",IFERROR(INDEX(Teachers!$B$5:$B$304,MATCH(B113,Teachers!$A$5:$A$304,0)),"ID not found"))</f>
        <v/>
      </c>
      <c r="D113" s="85" t="str">
        <f aca="false">IF(B113="","",IFERROR(INDEX(Teachers!$E$5:$E$304,MATCH(B113,Teachers!$A$5:$A$304,0)),""))</f>
        <v/>
      </c>
      <c r="E113" s="52"/>
    </row>
    <row r="114" customFormat="false" ht="19.5" hidden="false" customHeight="true" outlineLevel="0" collapsed="false">
      <c r="A114" s="91"/>
      <c r="B114" s="52"/>
      <c r="C114" s="89" t="str">
        <f aca="false">IF(B114="","",IFERROR(INDEX(Teachers!$B$5:$B$304,MATCH(B114,Teachers!$A$5:$A$304,0)),"ID not found"))</f>
        <v/>
      </c>
      <c r="D114" s="85" t="str">
        <f aca="false">IF(B114="","",IFERROR(INDEX(Teachers!$E$5:$E$304,MATCH(B114,Teachers!$A$5:$A$304,0)),""))</f>
        <v/>
      </c>
      <c r="E114" s="52"/>
    </row>
    <row r="115" customFormat="false" ht="19.5" hidden="false" customHeight="true" outlineLevel="0" collapsed="false">
      <c r="A115" s="91"/>
      <c r="B115" s="52"/>
      <c r="C115" s="89" t="str">
        <f aca="false">IF(B115="","",IFERROR(INDEX(Teachers!$B$5:$B$304,MATCH(B115,Teachers!$A$5:$A$304,0)),"ID not found"))</f>
        <v/>
      </c>
      <c r="D115" s="85" t="str">
        <f aca="false">IF(B115="","",IFERROR(INDEX(Teachers!$E$5:$E$304,MATCH(B115,Teachers!$A$5:$A$304,0)),""))</f>
        <v/>
      </c>
      <c r="E115" s="52"/>
    </row>
    <row r="116" customFormat="false" ht="19.5" hidden="false" customHeight="true" outlineLevel="0" collapsed="false">
      <c r="A116" s="91"/>
      <c r="B116" s="52"/>
      <c r="C116" s="89" t="str">
        <f aca="false">IF(B116="","",IFERROR(INDEX(Teachers!$B$5:$B$304,MATCH(B116,Teachers!$A$5:$A$304,0)),"ID not found"))</f>
        <v/>
      </c>
      <c r="D116" s="85" t="str">
        <f aca="false">IF(B116="","",IFERROR(INDEX(Teachers!$E$5:$E$304,MATCH(B116,Teachers!$A$5:$A$304,0)),""))</f>
        <v/>
      </c>
      <c r="E116" s="52"/>
    </row>
    <row r="117" customFormat="false" ht="19.5" hidden="false" customHeight="true" outlineLevel="0" collapsed="false">
      <c r="A117" s="91"/>
      <c r="B117" s="52"/>
      <c r="C117" s="89" t="str">
        <f aca="false">IF(B117="","",IFERROR(INDEX(Teachers!$B$5:$B$304,MATCH(B117,Teachers!$A$5:$A$304,0)),"ID not found"))</f>
        <v/>
      </c>
      <c r="D117" s="85" t="str">
        <f aca="false">IF(B117="","",IFERROR(INDEX(Teachers!$E$5:$E$304,MATCH(B117,Teachers!$A$5:$A$304,0)),""))</f>
        <v/>
      </c>
      <c r="E117" s="52"/>
    </row>
    <row r="118" customFormat="false" ht="19.5" hidden="false" customHeight="true" outlineLevel="0" collapsed="false">
      <c r="A118" s="91"/>
      <c r="B118" s="52"/>
      <c r="C118" s="89" t="str">
        <f aca="false">IF(B118="","",IFERROR(INDEX(Teachers!$B$5:$B$304,MATCH(B118,Teachers!$A$5:$A$304,0)),"ID not found"))</f>
        <v/>
      </c>
      <c r="D118" s="85" t="str">
        <f aca="false">IF(B118="","",IFERROR(INDEX(Teachers!$E$5:$E$304,MATCH(B118,Teachers!$A$5:$A$304,0)),""))</f>
        <v/>
      </c>
      <c r="E118" s="52"/>
    </row>
    <row r="119" customFormat="false" ht="19.5" hidden="false" customHeight="true" outlineLevel="0" collapsed="false">
      <c r="A119" s="91"/>
      <c r="B119" s="52"/>
      <c r="C119" s="89" t="str">
        <f aca="false">IF(B119="","",IFERROR(INDEX(Teachers!$B$5:$B$304,MATCH(B119,Teachers!$A$5:$A$304,0)),"ID not found"))</f>
        <v/>
      </c>
      <c r="D119" s="85" t="str">
        <f aca="false">IF(B119="","",IFERROR(INDEX(Teachers!$E$5:$E$304,MATCH(B119,Teachers!$A$5:$A$304,0)),""))</f>
        <v/>
      </c>
      <c r="E119" s="52"/>
    </row>
    <row r="120" customFormat="false" ht="19.5" hidden="false" customHeight="true" outlineLevel="0" collapsed="false">
      <c r="A120" s="91"/>
      <c r="B120" s="52"/>
      <c r="C120" s="89" t="str">
        <f aca="false">IF(B120="","",IFERROR(INDEX(Teachers!$B$5:$B$304,MATCH(B120,Teachers!$A$5:$A$304,0)),"ID not found"))</f>
        <v/>
      </c>
      <c r="D120" s="85" t="str">
        <f aca="false">IF(B120="","",IFERROR(INDEX(Teachers!$E$5:$E$304,MATCH(B120,Teachers!$A$5:$A$304,0)),""))</f>
        <v/>
      </c>
      <c r="E120" s="52"/>
    </row>
    <row r="121" customFormat="false" ht="19.5" hidden="false" customHeight="true" outlineLevel="0" collapsed="false">
      <c r="A121" s="91"/>
      <c r="B121" s="52"/>
      <c r="C121" s="89" t="str">
        <f aca="false">IF(B121="","",IFERROR(INDEX(Teachers!$B$5:$B$304,MATCH(B121,Teachers!$A$5:$A$304,0)),"ID not found"))</f>
        <v/>
      </c>
      <c r="D121" s="85" t="str">
        <f aca="false">IF(B121="","",IFERROR(INDEX(Teachers!$E$5:$E$304,MATCH(B121,Teachers!$A$5:$A$304,0)),""))</f>
        <v/>
      </c>
      <c r="E121" s="52"/>
    </row>
    <row r="122" customFormat="false" ht="19.5" hidden="false" customHeight="true" outlineLevel="0" collapsed="false">
      <c r="A122" s="91"/>
      <c r="B122" s="52"/>
      <c r="C122" s="89" t="str">
        <f aca="false">IF(B122="","",IFERROR(INDEX(Teachers!$B$5:$B$304,MATCH(B122,Teachers!$A$5:$A$304,0)),"ID not found"))</f>
        <v/>
      </c>
      <c r="D122" s="85" t="str">
        <f aca="false">IF(B122="","",IFERROR(INDEX(Teachers!$E$5:$E$304,MATCH(B122,Teachers!$A$5:$A$304,0)),""))</f>
        <v/>
      </c>
      <c r="E122" s="52"/>
    </row>
    <row r="123" customFormat="false" ht="19.5" hidden="false" customHeight="true" outlineLevel="0" collapsed="false">
      <c r="A123" s="91"/>
      <c r="B123" s="52"/>
      <c r="C123" s="89" t="str">
        <f aca="false">IF(B123="","",IFERROR(INDEX(Teachers!$B$5:$B$304,MATCH(B123,Teachers!$A$5:$A$304,0)),"ID not found"))</f>
        <v/>
      </c>
      <c r="D123" s="85" t="str">
        <f aca="false">IF(B123="","",IFERROR(INDEX(Teachers!$E$5:$E$304,MATCH(B123,Teachers!$A$5:$A$304,0)),""))</f>
        <v/>
      </c>
      <c r="E123" s="52"/>
    </row>
    <row r="124" customFormat="false" ht="19.5" hidden="false" customHeight="true" outlineLevel="0" collapsed="false">
      <c r="A124" s="91"/>
      <c r="B124" s="52"/>
      <c r="C124" s="89" t="str">
        <f aca="false">IF(B124="","",IFERROR(INDEX(Teachers!$B$5:$B$304,MATCH(B124,Teachers!$A$5:$A$304,0)),"ID not found"))</f>
        <v/>
      </c>
      <c r="D124" s="85" t="str">
        <f aca="false">IF(B124="","",IFERROR(INDEX(Teachers!$E$5:$E$304,MATCH(B124,Teachers!$A$5:$A$304,0)),""))</f>
        <v/>
      </c>
      <c r="E124" s="52"/>
    </row>
    <row r="125" customFormat="false" ht="19.5" hidden="false" customHeight="true" outlineLevel="0" collapsed="false">
      <c r="A125" s="91"/>
      <c r="B125" s="52"/>
      <c r="C125" s="89" t="str">
        <f aca="false">IF(B125="","",IFERROR(INDEX(Teachers!$B$5:$B$304,MATCH(B125,Teachers!$A$5:$A$304,0)),"ID not found"))</f>
        <v/>
      </c>
      <c r="D125" s="85" t="str">
        <f aca="false">IF(B125="","",IFERROR(INDEX(Teachers!$E$5:$E$304,MATCH(B125,Teachers!$A$5:$A$304,0)),""))</f>
        <v/>
      </c>
      <c r="E125" s="52"/>
    </row>
    <row r="126" customFormat="false" ht="19.5" hidden="false" customHeight="true" outlineLevel="0" collapsed="false">
      <c r="A126" s="91"/>
      <c r="B126" s="52"/>
      <c r="C126" s="89" t="str">
        <f aca="false">IF(B126="","",IFERROR(INDEX(Teachers!$B$5:$B$304,MATCH(B126,Teachers!$A$5:$A$304,0)),"ID not found"))</f>
        <v/>
      </c>
      <c r="D126" s="85" t="str">
        <f aca="false">IF(B126="","",IFERROR(INDEX(Teachers!$E$5:$E$304,MATCH(B126,Teachers!$A$5:$A$304,0)),""))</f>
        <v/>
      </c>
      <c r="E126" s="52"/>
    </row>
    <row r="127" customFormat="false" ht="19.5" hidden="false" customHeight="true" outlineLevel="0" collapsed="false">
      <c r="A127" s="91"/>
      <c r="B127" s="52"/>
      <c r="C127" s="89" t="str">
        <f aca="false">IF(B127="","",IFERROR(INDEX(Teachers!$B$5:$B$304,MATCH(B127,Teachers!$A$5:$A$304,0)),"ID not found"))</f>
        <v/>
      </c>
      <c r="D127" s="85" t="str">
        <f aca="false">IF(B127="","",IFERROR(INDEX(Teachers!$E$5:$E$304,MATCH(B127,Teachers!$A$5:$A$304,0)),""))</f>
        <v/>
      </c>
      <c r="E127" s="52"/>
    </row>
    <row r="128" customFormat="false" ht="19.5" hidden="false" customHeight="true" outlineLevel="0" collapsed="false">
      <c r="A128" s="91"/>
      <c r="B128" s="52"/>
      <c r="C128" s="89" t="str">
        <f aca="false">IF(B128="","",IFERROR(INDEX(Teachers!$B$5:$B$304,MATCH(B128,Teachers!$A$5:$A$304,0)),"ID not found"))</f>
        <v/>
      </c>
      <c r="D128" s="85" t="str">
        <f aca="false">IF(B128="","",IFERROR(INDEX(Teachers!$E$5:$E$304,MATCH(B128,Teachers!$A$5:$A$304,0)),""))</f>
        <v/>
      </c>
      <c r="E128" s="52"/>
    </row>
    <row r="129" customFormat="false" ht="19.5" hidden="false" customHeight="true" outlineLevel="0" collapsed="false">
      <c r="A129" s="91"/>
      <c r="B129" s="52"/>
      <c r="C129" s="89" t="str">
        <f aca="false">IF(B129="","",IFERROR(INDEX(Teachers!$B$5:$B$304,MATCH(B129,Teachers!$A$5:$A$304,0)),"ID not found"))</f>
        <v/>
      </c>
      <c r="D129" s="85" t="str">
        <f aca="false">IF(B129="","",IFERROR(INDEX(Teachers!$E$5:$E$304,MATCH(B129,Teachers!$A$5:$A$304,0)),""))</f>
        <v/>
      </c>
      <c r="E129" s="52"/>
    </row>
    <row r="130" customFormat="false" ht="19.5" hidden="false" customHeight="true" outlineLevel="0" collapsed="false">
      <c r="A130" s="91"/>
      <c r="B130" s="52"/>
      <c r="C130" s="89" t="str">
        <f aca="false">IF(B130="","",IFERROR(INDEX(Teachers!$B$5:$B$304,MATCH(B130,Teachers!$A$5:$A$304,0)),"ID not found"))</f>
        <v/>
      </c>
      <c r="D130" s="85" t="str">
        <f aca="false">IF(B130="","",IFERROR(INDEX(Teachers!$E$5:$E$304,MATCH(B130,Teachers!$A$5:$A$304,0)),""))</f>
        <v/>
      </c>
      <c r="E130" s="52"/>
    </row>
    <row r="131" customFormat="false" ht="19.5" hidden="false" customHeight="true" outlineLevel="0" collapsed="false">
      <c r="A131" s="91"/>
      <c r="B131" s="52"/>
      <c r="C131" s="89" t="str">
        <f aca="false">IF(B131="","",IFERROR(INDEX(Teachers!$B$5:$B$304,MATCH(B131,Teachers!$A$5:$A$304,0)),"ID not found"))</f>
        <v/>
      </c>
      <c r="D131" s="85" t="str">
        <f aca="false">IF(B131="","",IFERROR(INDEX(Teachers!$E$5:$E$304,MATCH(B131,Teachers!$A$5:$A$304,0)),""))</f>
        <v/>
      </c>
      <c r="E131" s="52"/>
    </row>
    <row r="132" customFormat="false" ht="19.5" hidden="false" customHeight="true" outlineLevel="0" collapsed="false">
      <c r="A132" s="91"/>
      <c r="B132" s="52"/>
      <c r="C132" s="89" t="str">
        <f aca="false">IF(B132="","",IFERROR(INDEX(Teachers!$B$5:$B$304,MATCH(B132,Teachers!$A$5:$A$304,0)),"ID not found"))</f>
        <v/>
      </c>
      <c r="D132" s="85" t="str">
        <f aca="false">IF(B132="","",IFERROR(INDEX(Teachers!$E$5:$E$304,MATCH(B132,Teachers!$A$5:$A$304,0)),""))</f>
        <v/>
      </c>
      <c r="E132" s="52"/>
    </row>
    <row r="133" customFormat="false" ht="19.5" hidden="false" customHeight="true" outlineLevel="0" collapsed="false">
      <c r="A133" s="91"/>
      <c r="B133" s="52"/>
      <c r="C133" s="89" t="str">
        <f aca="false">IF(B133="","",IFERROR(INDEX(Teachers!$B$5:$B$304,MATCH(B133,Teachers!$A$5:$A$304,0)),"ID not found"))</f>
        <v/>
      </c>
      <c r="D133" s="85" t="str">
        <f aca="false">IF(B133="","",IFERROR(INDEX(Teachers!$E$5:$E$304,MATCH(B133,Teachers!$A$5:$A$304,0)),""))</f>
        <v/>
      </c>
      <c r="E133" s="52"/>
    </row>
    <row r="134" customFormat="false" ht="19.5" hidden="false" customHeight="true" outlineLevel="0" collapsed="false">
      <c r="A134" s="91"/>
      <c r="B134" s="52"/>
      <c r="C134" s="89" t="str">
        <f aca="false">IF(B134="","",IFERROR(INDEX(Teachers!$B$5:$B$304,MATCH(B134,Teachers!$A$5:$A$304,0)),"ID not found"))</f>
        <v/>
      </c>
      <c r="D134" s="85" t="str">
        <f aca="false">IF(B134="","",IFERROR(INDEX(Teachers!$E$5:$E$304,MATCH(B134,Teachers!$A$5:$A$304,0)),""))</f>
        <v/>
      </c>
      <c r="E134" s="52"/>
    </row>
    <row r="135" customFormat="false" ht="19.5" hidden="false" customHeight="true" outlineLevel="0" collapsed="false">
      <c r="A135" s="91"/>
      <c r="B135" s="52"/>
      <c r="C135" s="89" t="str">
        <f aca="false">IF(B135="","",IFERROR(INDEX(Teachers!$B$5:$B$304,MATCH(B135,Teachers!$A$5:$A$304,0)),"ID not found"))</f>
        <v/>
      </c>
      <c r="D135" s="85" t="str">
        <f aca="false">IF(B135="","",IFERROR(INDEX(Teachers!$E$5:$E$304,MATCH(B135,Teachers!$A$5:$A$304,0)),""))</f>
        <v/>
      </c>
      <c r="E135" s="52"/>
    </row>
    <row r="136" customFormat="false" ht="19.5" hidden="false" customHeight="true" outlineLevel="0" collapsed="false">
      <c r="A136" s="91"/>
      <c r="B136" s="52"/>
      <c r="C136" s="89" t="str">
        <f aca="false">IF(B136="","",IFERROR(INDEX(Teachers!$B$5:$B$304,MATCH(B136,Teachers!$A$5:$A$304,0)),"ID not found"))</f>
        <v/>
      </c>
      <c r="D136" s="85" t="str">
        <f aca="false">IF(B136="","",IFERROR(INDEX(Teachers!$E$5:$E$304,MATCH(B136,Teachers!$A$5:$A$304,0)),""))</f>
        <v/>
      </c>
      <c r="E136" s="52"/>
    </row>
    <row r="137" customFormat="false" ht="19.5" hidden="false" customHeight="true" outlineLevel="0" collapsed="false">
      <c r="A137" s="91"/>
      <c r="B137" s="52"/>
      <c r="C137" s="89" t="str">
        <f aca="false">IF(B137="","",IFERROR(INDEX(Teachers!$B$5:$B$304,MATCH(B137,Teachers!$A$5:$A$304,0)),"ID not found"))</f>
        <v/>
      </c>
      <c r="D137" s="85" t="str">
        <f aca="false">IF(B137="","",IFERROR(INDEX(Teachers!$E$5:$E$304,MATCH(B137,Teachers!$A$5:$A$304,0)),""))</f>
        <v/>
      </c>
      <c r="E137" s="52"/>
    </row>
    <row r="138" customFormat="false" ht="19.5" hidden="false" customHeight="true" outlineLevel="0" collapsed="false">
      <c r="A138" s="91"/>
      <c r="B138" s="52"/>
      <c r="C138" s="89" t="str">
        <f aca="false">IF(B138="","",IFERROR(INDEX(Teachers!$B$5:$B$304,MATCH(B138,Teachers!$A$5:$A$304,0)),"ID not found"))</f>
        <v/>
      </c>
      <c r="D138" s="85" t="str">
        <f aca="false">IF(B138="","",IFERROR(INDEX(Teachers!$E$5:$E$304,MATCH(B138,Teachers!$A$5:$A$304,0)),""))</f>
        <v/>
      </c>
      <c r="E138" s="52"/>
    </row>
    <row r="139" customFormat="false" ht="19.5" hidden="false" customHeight="true" outlineLevel="0" collapsed="false">
      <c r="A139" s="91"/>
      <c r="B139" s="52"/>
      <c r="C139" s="89" t="str">
        <f aca="false">IF(B139="","",IFERROR(INDEX(Teachers!$B$5:$B$304,MATCH(B139,Teachers!$A$5:$A$304,0)),"ID not found"))</f>
        <v/>
      </c>
      <c r="D139" s="85" t="str">
        <f aca="false">IF(B139="","",IFERROR(INDEX(Teachers!$E$5:$E$304,MATCH(B139,Teachers!$A$5:$A$304,0)),""))</f>
        <v/>
      </c>
      <c r="E139" s="52"/>
    </row>
    <row r="140" customFormat="false" ht="19.5" hidden="false" customHeight="true" outlineLevel="0" collapsed="false">
      <c r="A140" s="91"/>
      <c r="B140" s="52"/>
      <c r="C140" s="89" t="str">
        <f aca="false">IF(B140="","",IFERROR(INDEX(Teachers!$B$5:$B$304,MATCH(B140,Teachers!$A$5:$A$304,0)),"ID not found"))</f>
        <v/>
      </c>
      <c r="D140" s="85" t="str">
        <f aca="false">IF(B140="","",IFERROR(INDEX(Teachers!$E$5:$E$304,MATCH(B140,Teachers!$A$5:$A$304,0)),""))</f>
        <v/>
      </c>
      <c r="E140" s="52"/>
    </row>
    <row r="141" customFormat="false" ht="19.5" hidden="false" customHeight="true" outlineLevel="0" collapsed="false">
      <c r="A141" s="91"/>
      <c r="B141" s="52"/>
      <c r="C141" s="89" t="str">
        <f aca="false">IF(B141="","",IFERROR(INDEX(Teachers!$B$5:$B$304,MATCH(B141,Teachers!$A$5:$A$304,0)),"ID not found"))</f>
        <v/>
      </c>
      <c r="D141" s="85" t="str">
        <f aca="false">IF(B141="","",IFERROR(INDEX(Teachers!$E$5:$E$304,MATCH(B141,Teachers!$A$5:$A$304,0)),""))</f>
        <v/>
      </c>
      <c r="E141" s="52"/>
    </row>
    <row r="142" customFormat="false" ht="19.5" hidden="false" customHeight="true" outlineLevel="0" collapsed="false">
      <c r="A142" s="91"/>
      <c r="B142" s="52"/>
      <c r="C142" s="89" t="str">
        <f aca="false">IF(B142="","",IFERROR(INDEX(Teachers!$B$5:$B$304,MATCH(B142,Teachers!$A$5:$A$304,0)),"ID not found"))</f>
        <v/>
      </c>
      <c r="D142" s="85" t="str">
        <f aca="false">IF(B142="","",IFERROR(INDEX(Teachers!$E$5:$E$304,MATCH(B142,Teachers!$A$5:$A$304,0)),""))</f>
        <v/>
      </c>
      <c r="E142" s="52"/>
    </row>
    <row r="143" customFormat="false" ht="19.5" hidden="false" customHeight="true" outlineLevel="0" collapsed="false">
      <c r="A143" s="91"/>
      <c r="B143" s="52"/>
      <c r="C143" s="89" t="str">
        <f aca="false">IF(B143="","",IFERROR(INDEX(Teachers!$B$5:$B$304,MATCH(B143,Teachers!$A$5:$A$304,0)),"ID not found"))</f>
        <v/>
      </c>
      <c r="D143" s="85" t="str">
        <f aca="false">IF(B143="","",IFERROR(INDEX(Teachers!$E$5:$E$304,MATCH(B143,Teachers!$A$5:$A$304,0)),""))</f>
        <v/>
      </c>
      <c r="E143" s="52"/>
    </row>
    <row r="144" customFormat="false" ht="19.5" hidden="false" customHeight="true" outlineLevel="0" collapsed="false">
      <c r="A144" s="91"/>
      <c r="B144" s="52"/>
      <c r="C144" s="89" t="str">
        <f aca="false">IF(B144="","",IFERROR(INDEX(Teachers!$B$5:$B$304,MATCH(B144,Teachers!$A$5:$A$304,0)),"ID not found"))</f>
        <v/>
      </c>
      <c r="D144" s="85" t="str">
        <f aca="false">IF(B144="","",IFERROR(INDEX(Teachers!$E$5:$E$304,MATCH(B144,Teachers!$A$5:$A$304,0)),""))</f>
        <v/>
      </c>
      <c r="E144" s="52"/>
    </row>
    <row r="145" customFormat="false" ht="19.5" hidden="false" customHeight="true" outlineLevel="0" collapsed="false">
      <c r="A145" s="91"/>
      <c r="B145" s="52"/>
      <c r="C145" s="89" t="str">
        <f aca="false">IF(B145="","",IFERROR(INDEX(Teachers!$B$5:$B$304,MATCH(B145,Teachers!$A$5:$A$304,0)),"ID not found"))</f>
        <v/>
      </c>
      <c r="D145" s="85" t="str">
        <f aca="false">IF(B145="","",IFERROR(INDEX(Teachers!$E$5:$E$304,MATCH(B145,Teachers!$A$5:$A$304,0)),""))</f>
        <v/>
      </c>
      <c r="E145" s="52"/>
    </row>
    <row r="146" customFormat="false" ht="19.5" hidden="false" customHeight="true" outlineLevel="0" collapsed="false">
      <c r="A146" s="91"/>
      <c r="B146" s="52"/>
      <c r="C146" s="89" t="str">
        <f aca="false">IF(B146="","",IFERROR(INDEX(Teachers!$B$5:$B$304,MATCH(B146,Teachers!$A$5:$A$304,0)),"ID not found"))</f>
        <v/>
      </c>
      <c r="D146" s="85" t="str">
        <f aca="false">IF(B146="","",IFERROR(INDEX(Teachers!$E$5:$E$304,MATCH(B146,Teachers!$A$5:$A$304,0)),""))</f>
        <v/>
      </c>
      <c r="E146" s="52"/>
    </row>
    <row r="147" customFormat="false" ht="19.5" hidden="false" customHeight="true" outlineLevel="0" collapsed="false">
      <c r="A147" s="91"/>
      <c r="B147" s="52"/>
      <c r="C147" s="89" t="str">
        <f aca="false">IF(B147="","",IFERROR(INDEX(Teachers!$B$5:$B$304,MATCH(B147,Teachers!$A$5:$A$304,0)),"ID not found"))</f>
        <v/>
      </c>
      <c r="D147" s="85" t="str">
        <f aca="false">IF(B147="","",IFERROR(INDEX(Teachers!$E$5:$E$304,MATCH(B147,Teachers!$A$5:$A$304,0)),""))</f>
        <v/>
      </c>
      <c r="E147" s="52"/>
    </row>
    <row r="148" customFormat="false" ht="19.5" hidden="false" customHeight="true" outlineLevel="0" collapsed="false">
      <c r="A148" s="91"/>
      <c r="B148" s="52"/>
      <c r="C148" s="89" t="str">
        <f aca="false">IF(B148="","",IFERROR(INDEX(Teachers!$B$5:$B$304,MATCH(B148,Teachers!$A$5:$A$304,0)),"ID not found"))</f>
        <v/>
      </c>
      <c r="D148" s="85" t="str">
        <f aca="false">IF(B148="","",IFERROR(INDEX(Teachers!$E$5:$E$304,MATCH(B148,Teachers!$A$5:$A$304,0)),""))</f>
        <v/>
      </c>
      <c r="E148" s="52"/>
    </row>
    <row r="149" customFormat="false" ht="19.5" hidden="false" customHeight="true" outlineLevel="0" collapsed="false">
      <c r="A149" s="91"/>
      <c r="B149" s="52"/>
      <c r="C149" s="89" t="str">
        <f aca="false">IF(B149="","",IFERROR(INDEX(Teachers!$B$5:$B$304,MATCH(B149,Teachers!$A$5:$A$304,0)),"ID not found"))</f>
        <v/>
      </c>
      <c r="D149" s="85" t="str">
        <f aca="false">IF(B149="","",IFERROR(INDEX(Teachers!$E$5:$E$304,MATCH(B149,Teachers!$A$5:$A$304,0)),""))</f>
        <v/>
      </c>
      <c r="E149" s="52"/>
    </row>
    <row r="150" customFormat="false" ht="19.5" hidden="false" customHeight="true" outlineLevel="0" collapsed="false">
      <c r="A150" s="91"/>
      <c r="B150" s="52"/>
      <c r="C150" s="89" t="str">
        <f aca="false">IF(B150="","",IFERROR(INDEX(Teachers!$B$5:$B$304,MATCH(B150,Teachers!$A$5:$A$304,0)),"ID not found"))</f>
        <v/>
      </c>
      <c r="D150" s="85" t="str">
        <f aca="false">IF(B150="","",IFERROR(INDEX(Teachers!$E$5:$E$304,MATCH(B150,Teachers!$A$5:$A$304,0)),""))</f>
        <v/>
      </c>
      <c r="E150" s="52"/>
    </row>
    <row r="151" customFormat="false" ht="19.5" hidden="false" customHeight="true" outlineLevel="0" collapsed="false">
      <c r="A151" s="91"/>
      <c r="B151" s="52"/>
      <c r="C151" s="89" t="str">
        <f aca="false">IF(B151="","",IFERROR(INDEX(Teachers!$B$5:$B$304,MATCH(B151,Teachers!$A$5:$A$304,0)),"ID not found"))</f>
        <v/>
      </c>
      <c r="D151" s="85" t="str">
        <f aca="false">IF(B151="","",IFERROR(INDEX(Teachers!$E$5:$E$304,MATCH(B151,Teachers!$A$5:$A$304,0)),""))</f>
        <v/>
      </c>
      <c r="E151" s="52"/>
    </row>
    <row r="152" customFormat="false" ht="19.5" hidden="false" customHeight="true" outlineLevel="0" collapsed="false">
      <c r="A152" s="91"/>
      <c r="B152" s="52"/>
      <c r="C152" s="89" t="str">
        <f aca="false">IF(B152="","",IFERROR(INDEX(Teachers!$B$5:$B$304,MATCH(B152,Teachers!$A$5:$A$304,0)),"ID not found"))</f>
        <v/>
      </c>
      <c r="D152" s="85" t="str">
        <f aca="false">IF(B152="","",IFERROR(INDEX(Teachers!$E$5:$E$304,MATCH(B152,Teachers!$A$5:$A$304,0)),""))</f>
        <v/>
      </c>
      <c r="E152" s="52"/>
    </row>
    <row r="153" customFormat="false" ht="19.5" hidden="false" customHeight="true" outlineLevel="0" collapsed="false">
      <c r="A153" s="91"/>
      <c r="B153" s="52"/>
      <c r="C153" s="89" t="str">
        <f aca="false">IF(B153="","",IFERROR(INDEX(Teachers!$B$5:$B$304,MATCH(B153,Teachers!$A$5:$A$304,0)),"ID not found"))</f>
        <v/>
      </c>
      <c r="D153" s="85" t="str">
        <f aca="false">IF(B153="","",IFERROR(INDEX(Teachers!$E$5:$E$304,MATCH(B153,Teachers!$A$5:$A$304,0)),""))</f>
        <v/>
      </c>
      <c r="E153" s="52"/>
    </row>
    <row r="154" customFormat="false" ht="19.5" hidden="false" customHeight="true" outlineLevel="0" collapsed="false">
      <c r="A154" s="91"/>
      <c r="B154" s="52"/>
      <c r="C154" s="89" t="str">
        <f aca="false">IF(B154="","",IFERROR(INDEX(Teachers!$B$5:$B$304,MATCH(B154,Teachers!$A$5:$A$304,0)),"ID not found"))</f>
        <v/>
      </c>
      <c r="D154" s="85" t="str">
        <f aca="false">IF(B154="","",IFERROR(INDEX(Teachers!$E$5:$E$304,MATCH(B154,Teachers!$A$5:$A$304,0)),""))</f>
        <v/>
      </c>
      <c r="E154" s="52"/>
    </row>
    <row r="155" customFormat="false" ht="19.5" hidden="false" customHeight="true" outlineLevel="0" collapsed="false">
      <c r="A155" s="91"/>
      <c r="B155" s="52"/>
      <c r="C155" s="89" t="str">
        <f aca="false">IF(B155="","",IFERROR(INDEX(Teachers!$B$5:$B$304,MATCH(B155,Teachers!$A$5:$A$304,0)),"ID not found"))</f>
        <v/>
      </c>
      <c r="D155" s="85" t="str">
        <f aca="false">IF(B155="","",IFERROR(INDEX(Teachers!$E$5:$E$304,MATCH(B155,Teachers!$A$5:$A$304,0)),""))</f>
        <v/>
      </c>
      <c r="E155" s="52"/>
    </row>
    <row r="156" customFormat="false" ht="19.5" hidden="false" customHeight="true" outlineLevel="0" collapsed="false">
      <c r="A156" s="91"/>
      <c r="B156" s="52"/>
      <c r="C156" s="89" t="str">
        <f aca="false">IF(B156="","",IFERROR(INDEX(Teachers!$B$5:$B$304,MATCH(B156,Teachers!$A$5:$A$304,0)),"ID not found"))</f>
        <v/>
      </c>
      <c r="D156" s="85" t="str">
        <f aca="false">IF(B156="","",IFERROR(INDEX(Teachers!$E$5:$E$304,MATCH(B156,Teachers!$A$5:$A$304,0)),""))</f>
        <v/>
      </c>
      <c r="E156" s="52"/>
    </row>
    <row r="157" customFormat="false" ht="19.5" hidden="false" customHeight="true" outlineLevel="0" collapsed="false">
      <c r="A157" s="91"/>
      <c r="B157" s="52"/>
      <c r="C157" s="89" t="str">
        <f aca="false">IF(B157="","",IFERROR(INDEX(Teachers!$B$5:$B$304,MATCH(B157,Teachers!$A$5:$A$304,0)),"ID not found"))</f>
        <v/>
      </c>
      <c r="D157" s="85" t="str">
        <f aca="false">IF(B157="","",IFERROR(INDEX(Teachers!$E$5:$E$304,MATCH(B157,Teachers!$A$5:$A$304,0)),""))</f>
        <v/>
      </c>
      <c r="E157" s="52"/>
    </row>
    <row r="158" customFormat="false" ht="19.5" hidden="false" customHeight="true" outlineLevel="0" collapsed="false">
      <c r="A158" s="91"/>
      <c r="B158" s="52"/>
      <c r="C158" s="89" t="str">
        <f aca="false">IF(B158="","",IFERROR(INDEX(Teachers!$B$5:$B$304,MATCH(B158,Teachers!$A$5:$A$304,0)),"ID not found"))</f>
        <v/>
      </c>
      <c r="D158" s="85" t="str">
        <f aca="false">IF(B158="","",IFERROR(INDEX(Teachers!$E$5:$E$304,MATCH(B158,Teachers!$A$5:$A$304,0)),""))</f>
        <v/>
      </c>
      <c r="E158" s="52"/>
    </row>
    <row r="159" customFormat="false" ht="19.5" hidden="false" customHeight="true" outlineLevel="0" collapsed="false">
      <c r="A159" s="91"/>
      <c r="B159" s="52"/>
      <c r="C159" s="89" t="str">
        <f aca="false">IF(B159="","",IFERROR(INDEX(Teachers!$B$5:$B$304,MATCH(B159,Teachers!$A$5:$A$304,0)),"ID not found"))</f>
        <v/>
      </c>
      <c r="D159" s="85" t="str">
        <f aca="false">IF(B159="","",IFERROR(INDEX(Teachers!$E$5:$E$304,MATCH(B159,Teachers!$A$5:$A$304,0)),""))</f>
        <v/>
      </c>
      <c r="E159" s="52"/>
    </row>
    <row r="160" customFormat="false" ht="19.5" hidden="false" customHeight="true" outlineLevel="0" collapsed="false">
      <c r="A160" s="91"/>
      <c r="B160" s="52"/>
      <c r="C160" s="89" t="str">
        <f aca="false">IF(B160="","",IFERROR(INDEX(Teachers!$B$5:$B$304,MATCH(B160,Teachers!$A$5:$A$304,0)),"ID not found"))</f>
        <v/>
      </c>
      <c r="D160" s="85" t="str">
        <f aca="false">IF(B160="","",IFERROR(INDEX(Teachers!$E$5:$E$304,MATCH(B160,Teachers!$A$5:$A$304,0)),""))</f>
        <v/>
      </c>
      <c r="E160" s="52"/>
    </row>
    <row r="161" customFormat="false" ht="19.5" hidden="false" customHeight="true" outlineLevel="0" collapsed="false">
      <c r="A161" s="91"/>
      <c r="B161" s="52"/>
      <c r="C161" s="89" t="str">
        <f aca="false">IF(B161="","",IFERROR(INDEX(Teachers!$B$5:$B$304,MATCH(B161,Teachers!$A$5:$A$304,0)),"ID not found"))</f>
        <v/>
      </c>
      <c r="D161" s="85" t="str">
        <f aca="false">IF(B161="","",IFERROR(INDEX(Teachers!$E$5:$E$304,MATCH(B161,Teachers!$A$5:$A$304,0)),""))</f>
        <v/>
      </c>
      <c r="E161" s="52"/>
    </row>
    <row r="162" customFormat="false" ht="19.5" hidden="false" customHeight="true" outlineLevel="0" collapsed="false">
      <c r="A162" s="91"/>
      <c r="B162" s="52"/>
      <c r="C162" s="89" t="str">
        <f aca="false">IF(B162="","",IFERROR(INDEX(Teachers!$B$5:$B$304,MATCH(B162,Teachers!$A$5:$A$304,0)),"ID not found"))</f>
        <v/>
      </c>
      <c r="D162" s="85" t="str">
        <f aca="false">IF(B162="","",IFERROR(INDEX(Teachers!$E$5:$E$304,MATCH(B162,Teachers!$A$5:$A$304,0)),""))</f>
        <v/>
      </c>
      <c r="E162" s="52"/>
    </row>
    <row r="163" customFormat="false" ht="19.5" hidden="false" customHeight="true" outlineLevel="0" collapsed="false">
      <c r="A163" s="91"/>
      <c r="B163" s="52"/>
      <c r="C163" s="89" t="str">
        <f aca="false">IF(B163="","",IFERROR(INDEX(Teachers!$B$5:$B$304,MATCH(B163,Teachers!$A$5:$A$304,0)),"ID not found"))</f>
        <v/>
      </c>
      <c r="D163" s="85" t="str">
        <f aca="false">IF(B163="","",IFERROR(INDEX(Teachers!$E$5:$E$304,MATCH(B163,Teachers!$A$5:$A$304,0)),""))</f>
        <v/>
      </c>
      <c r="E163" s="52"/>
    </row>
    <row r="164" customFormat="false" ht="19.5" hidden="false" customHeight="true" outlineLevel="0" collapsed="false">
      <c r="A164" s="91"/>
      <c r="B164" s="52"/>
      <c r="C164" s="89" t="str">
        <f aca="false">IF(B164="","",IFERROR(INDEX(Teachers!$B$5:$B$304,MATCH(B164,Teachers!$A$5:$A$304,0)),"ID not found"))</f>
        <v/>
      </c>
      <c r="D164" s="85" t="str">
        <f aca="false">IF(B164="","",IFERROR(INDEX(Teachers!$E$5:$E$304,MATCH(B164,Teachers!$A$5:$A$304,0)),""))</f>
        <v/>
      </c>
      <c r="E164" s="52"/>
    </row>
    <row r="165" customFormat="false" ht="19.5" hidden="false" customHeight="true" outlineLevel="0" collapsed="false">
      <c r="A165" s="91"/>
      <c r="B165" s="52"/>
      <c r="C165" s="89" t="str">
        <f aca="false">IF(B165="","",IFERROR(INDEX(Teachers!$B$5:$B$304,MATCH(B165,Teachers!$A$5:$A$304,0)),"ID not found"))</f>
        <v/>
      </c>
      <c r="D165" s="85" t="str">
        <f aca="false">IF(B165="","",IFERROR(INDEX(Teachers!$E$5:$E$304,MATCH(B165,Teachers!$A$5:$A$304,0)),""))</f>
        <v/>
      </c>
      <c r="E165" s="52"/>
    </row>
    <row r="166" customFormat="false" ht="19.5" hidden="false" customHeight="true" outlineLevel="0" collapsed="false">
      <c r="A166" s="91"/>
      <c r="B166" s="52"/>
      <c r="C166" s="89" t="str">
        <f aca="false">IF(B166="","",IFERROR(INDEX(Teachers!$B$5:$B$304,MATCH(B166,Teachers!$A$5:$A$304,0)),"ID not found"))</f>
        <v/>
      </c>
      <c r="D166" s="85" t="str">
        <f aca="false">IF(B166="","",IFERROR(INDEX(Teachers!$E$5:$E$304,MATCH(B166,Teachers!$A$5:$A$304,0)),""))</f>
        <v/>
      </c>
      <c r="E166" s="52"/>
    </row>
    <row r="167" customFormat="false" ht="19.5" hidden="false" customHeight="true" outlineLevel="0" collapsed="false">
      <c r="A167" s="91"/>
      <c r="B167" s="52"/>
      <c r="C167" s="89" t="str">
        <f aca="false">IF(B167="","",IFERROR(INDEX(Teachers!$B$5:$B$304,MATCH(B167,Teachers!$A$5:$A$304,0)),"ID not found"))</f>
        <v/>
      </c>
      <c r="D167" s="85" t="str">
        <f aca="false">IF(B167="","",IFERROR(INDEX(Teachers!$E$5:$E$304,MATCH(B167,Teachers!$A$5:$A$304,0)),""))</f>
        <v/>
      </c>
      <c r="E167" s="52"/>
    </row>
    <row r="168" customFormat="false" ht="19.5" hidden="false" customHeight="true" outlineLevel="0" collapsed="false">
      <c r="A168" s="91"/>
      <c r="B168" s="52"/>
      <c r="C168" s="89" t="str">
        <f aca="false">IF(B168="","",IFERROR(INDEX(Teachers!$B$5:$B$304,MATCH(B168,Teachers!$A$5:$A$304,0)),"ID not found"))</f>
        <v/>
      </c>
      <c r="D168" s="85" t="str">
        <f aca="false">IF(B168="","",IFERROR(INDEX(Teachers!$E$5:$E$304,MATCH(B168,Teachers!$A$5:$A$304,0)),""))</f>
        <v/>
      </c>
      <c r="E168" s="52"/>
    </row>
    <row r="169" customFormat="false" ht="19.5" hidden="false" customHeight="true" outlineLevel="0" collapsed="false">
      <c r="A169" s="91"/>
      <c r="B169" s="52"/>
      <c r="C169" s="89" t="str">
        <f aca="false">IF(B169="","",IFERROR(INDEX(Teachers!$B$5:$B$304,MATCH(B169,Teachers!$A$5:$A$304,0)),"ID not found"))</f>
        <v/>
      </c>
      <c r="D169" s="85" t="str">
        <f aca="false">IF(B169="","",IFERROR(INDEX(Teachers!$E$5:$E$304,MATCH(B169,Teachers!$A$5:$A$304,0)),""))</f>
        <v/>
      </c>
      <c r="E169" s="52"/>
    </row>
    <row r="170" customFormat="false" ht="19.5" hidden="false" customHeight="true" outlineLevel="0" collapsed="false">
      <c r="A170" s="91"/>
      <c r="B170" s="52"/>
      <c r="C170" s="89" t="str">
        <f aca="false">IF(B170="","",IFERROR(INDEX(Teachers!$B$5:$B$304,MATCH(B170,Teachers!$A$5:$A$304,0)),"ID not found"))</f>
        <v/>
      </c>
      <c r="D170" s="85" t="str">
        <f aca="false">IF(B170="","",IFERROR(INDEX(Teachers!$E$5:$E$304,MATCH(B170,Teachers!$A$5:$A$304,0)),""))</f>
        <v/>
      </c>
      <c r="E170" s="52"/>
    </row>
    <row r="171" customFormat="false" ht="19.5" hidden="false" customHeight="true" outlineLevel="0" collapsed="false">
      <c r="A171" s="91"/>
      <c r="B171" s="52"/>
      <c r="C171" s="89" t="str">
        <f aca="false">IF(B171="","",IFERROR(INDEX(Teachers!$B$5:$B$304,MATCH(B171,Teachers!$A$5:$A$304,0)),"ID not found"))</f>
        <v/>
      </c>
      <c r="D171" s="85" t="str">
        <f aca="false">IF(B171="","",IFERROR(INDEX(Teachers!$E$5:$E$304,MATCH(B171,Teachers!$A$5:$A$304,0)),""))</f>
        <v/>
      </c>
      <c r="E171" s="52"/>
    </row>
    <row r="172" customFormat="false" ht="19.5" hidden="false" customHeight="true" outlineLevel="0" collapsed="false">
      <c r="A172" s="91"/>
      <c r="B172" s="52"/>
      <c r="C172" s="89" t="str">
        <f aca="false">IF(B172="","",IFERROR(INDEX(Teachers!$B$5:$B$304,MATCH(B172,Teachers!$A$5:$A$304,0)),"ID not found"))</f>
        <v/>
      </c>
      <c r="D172" s="85" t="str">
        <f aca="false">IF(B172="","",IFERROR(INDEX(Teachers!$E$5:$E$304,MATCH(B172,Teachers!$A$5:$A$304,0)),""))</f>
        <v/>
      </c>
      <c r="E172" s="52"/>
    </row>
    <row r="173" customFormat="false" ht="19.5" hidden="false" customHeight="true" outlineLevel="0" collapsed="false">
      <c r="A173" s="91"/>
      <c r="B173" s="52"/>
      <c r="C173" s="89" t="str">
        <f aca="false">IF(B173="","",IFERROR(INDEX(Teachers!$B$5:$B$304,MATCH(B173,Teachers!$A$5:$A$304,0)),"ID not found"))</f>
        <v/>
      </c>
      <c r="D173" s="85" t="str">
        <f aca="false">IF(B173="","",IFERROR(INDEX(Teachers!$E$5:$E$304,MATCH(B173,Teachers!$A$5:$A$304,0)),""))</f>
        <v/>
      </c>
      <c r="E173" s="52"/>
    </row>
    <row r="174" customFormat="false" ht="19.5" hidden="false" customHeight="true" outlineLevel="0" collapsed="false">
      <c r="A174" s="91"/>
      <c r="B174" s="52"/>
      <c r="C174" s="89" t="str">
        <f aca="false">IF(B174="","",IFERROR(INDEX(Teachers!$B$5:$B$304,MATCH(B174,Teachers!$A$5:$A$304,0)),"ID not found"))</f>
        <v/>
      </c>
      <c r="D174" s="85" t="str">
        <f aca="false">IF(B174="","",IFERROR(INDEX(Teachers!$E$5:$E$304,MATCH(B174,Teachers!$A$5:$A$304,0)),""))</f>
        <v/>
      </c>
      <c r="E174" s="52"/>
    </row>
    <row r="175" customFormat="false" ht="19.5" hidden="false" customHeight="true" outlineLevel="0" collapsed="false">
      <c r="A175" s="91"/>
      <c r="B175" s="52"/>
      <c r="C175" s="89" t="str">
        <f aca="false">IF(B175="","",IFERROR(INDEX(Teachers!$B$5:$B$304,MATCH(B175,Teachers!$A$5:$A$304,0)),"ID not found"))</f>
        <v/>
      </c>
      <c r="D175" s="85" t="str">
        <f aca="false">IF(B175="","",IFERROR(INDEX(Teachers!$E$5:$E$304,MATCH(B175,Teachers!$A$5:$A$304,0)),""))</f>
        <v/>
      </c>
      <c r="E175" s="52"/>
    </row>
    <row r="176" customFormat="false" ht="19.5" hidden="false" customHeight="true" outlineLevel="0" collapsed="false">
      <c r="A176" s="91"/>
      <c r="B176" s="52"/>
      <c r="C176" s="89" t="str">
        <f aca="false">IF(B176="","",IFERROR(INDEX(Teachers!$B$5:$B$304,MATCH(B176,Teachers!$A$5:$A$304,0)),"ID not found"))</f>
        <v/>
      </c>
      <c r="D176" s="85" t="str">
        <f aca="false">IF(B176="","",IFERROR(INDEX(Teachers!$E$5:$E$304,MATCH(B176,Teachers!$A$5:$A$304,0)),""))</f>
        <v/>
      </c>
      <c r="E176" s="52"/>
    </row>
    <row r="177" customFormat="false" ht="19.5" hidden="false" customHeight="true" outlineLevel="0" collapsed="false">
      <c r="A177" s="91"/>
      <c r="B177" s="52"/>
      <c r="C177" s="89" t="str">
        <f aca="false">IF(B177="","",IFERROR(INDEX(Teachers!$B$5:$B$304,MATCH(B177,Teachers!$A$5:$A$304,0)),"ID not found"))</f>
        <v/>
      </c>
      <c r="D177" s="85" t="str">
        <f aca="false">IF(B177="","",IFERROR(INDEX(Teachers!$E$5:$E$304,MATCH(B177,Teachers!$A$5:$A$304,0)),""))</f>
        <v/>
      </c>
      <c r="E177" s="52"/>
    </row>
    <row r="178" customFormat="false" ht="19.5" hidden="false" customHeight="true" outlineLevel="0" collapsed="false">
      <c r="A178" s="91"/>
      <c r="B178" s="52"/>
      <c r="C178" s="89" t="str">
        <f aca="false">IF(B178="","",IFERROR(INDEX(Teachers!$B$5:$B$304,MATCH(B178,Teachers!$A$5:$A$304,0)),"ID not found"))</f>
        <v/>
      </c>
      <c r="D178" s="85" t="str">
        <f aca="false">IF(B178="","",IFERROR(INDEX(Teachers!$E$5:$E$304,MATCH(B178,Teachers!$A$5:$A$304,0)),""))</f>
        <v/>
      </c>
      <c r="E178" s="52"/>
    </row>
    <row r="179" customFormat="false" ht="19.5" hidden="false" customHeight="true" outlineLevel="0" collapsed="false">
      <c r="A179" s="91"/>
      <c r="B179" s="52"/>
      <c r="C179" s="89" t="str">
        <f aca="false">IF(B179="","",IFERROR(INDEX(Teachers!$B$5:$B$304,MATCH(B179,Teachers!$A$5:$A$304,0)),"ID not found"))</f>
        <v/>
      </c>
      <c r="D179" s="85" t="str">
        <f aca="false">IF(B179="","",IFERROR(INDEX(Teachers!$E$5:$E$304,MATCH(B179,Teachers!$A$5:$A$304,0)),""))</f>
        <v/>
      </c>
      <c r="E179" s="52"/>
    </row>
    <row r="180" customFormat="false" ht="19.5" hidden="false" customHeight="true" outlineLevel="0" collapsed="false">
      <c r="A180" s="91"/>
      <c r="B180" s="52"/>
      <c r="C180" s="89" t="str">
        <f aca="false">IF(B180="","",IFERROR(INDEX(Teachers!$B$5:$B$304,MATCH(B180,Teachers!$A$5:$A$304,0)),"ID not found"))</f>
        <v/>
      </c>
      <c r="D180" s="85" t="str">
        <f aca="false">IF(B180="","",IFERROR(INDEX(Teachers!$E$5:$E$304,MATCH(B180,Teachers!$A$5:$A$304,0)),""))</f>
        <v/>
      </c>
      <c r="E180" s="52"/>
    </row>
    <row r="181" customFormat="false" ht="19.5" hidden="false" customHeight="true" outlineLevel="0" collapsed="false">
      <c r="A181" s="91"/>
      <c r="B181" s="52"/>
      <c r="C181" s="89" t="str">
        <f aca="false">IF(B181="","",IFERROR(INDEX(Teachers!$B$5:$B$304,MATCH(B181,Teachers!$A$5:$A$304,0)),"ID not found"))</f>
        <v/>
      </c>
      <c r="D181" s="85" t="str">
        <f aca="false">IF(B181="","",IFERROR(INDEX(Teachers!$E$5:$E$304,MATCH(B181,Teachers!$A$5:$A$304,0)),""))</f>
        <v/>
      </c>
      <c r="E181" s="52"/>
    </row>
    <row r="182" customFormat="false" ht="19.5" hidden="false" customHeight="true" outlineLevel="0" collapsed="false">
      <c r="A182" s="91"/>
      <c r="B182" s="52"/>
      <c r="C182" s="89" t="str">
        <f aca="false">IF(B182="","",IFERROR(INDEX(Teachers!$B$5:$B$304,MATCH(B182,Teachers!$A$5:$A$304,0)),"ID not found"))</f>
        <v/>
      </c>
      <c r="D182" s="85" t="str">
        <f aca="false">IF(B182="","",IFERROR(INDEX(Teachers!$E$5:$E$304,MATCH(B182,Teachers!$A$5:$A$304,0)),""))</f>
        <v/>
      </c>
      <c r="E182" s="52"/>
    </row>
    <row r="183" customFormat="false" ht="19.5" hidden="false" customHeight="true" outlineLevel="0" collapsed="false">
      <c r="A183" s="91"/>
      <c r="B183" s="52"/>
      <c r="C183" s="89" t="str">
        <f aca="false">IF(B183="","",IFERROR(INDEX(Teachers!$B$5:$B$304,MATCH(B183,Teachers!$A$5:$A$304,0)),"ID not found"))</f>
        <v/>
      </c>
      <c r="D183" s="85" t="str">
        <f aca="false">IF(B183="","",IFERROR(INDEX(Teachers!$E$5:$E$304,MATCH(B183,Teachers!$A$5:$A$304,0)),""))</f>
        <v/>
      </c>
      <c r="E183" s="52"/>
    </row>
    <row r="184" customFormat="false" ht="19.5" hidden="false" customHeight="true" outlineLevel="0" collapsed="false">
      <c r="A184" s="91"/>
      <c r="B184" s="52"/>
      <c r="C184" s="89" t="str">
        <f aca="false">IF(B184="","",IFERROR(INDEX(Teachers!$B$5:$B$304,MATCH(B184,Teachers!$A$5:$A$304,0)),"ID not found"))</f>
        <v/>
      </c>
      <c r="D184" s="85" t="str">
        <f aca="false">IF(B184="","",IFERROR(INDEX(Teachers!$E$5:$E$304,MATCH(B184,Teachers!$A$5:$A$304,0)),""))</f>
        <v/>
      </c>
      <c r="E184" s="52"/>
    </row>
    <row r="185" customFormat="false" ht="19.5" hidden="false" customHeight="true" outlineLevel="0" collapsed="false">
      <c r="A185" s="91"/>
      <c r="B185" s="52"/>
      <c r="C185" s="89" t="str">
        <f aca="false">IF(B185="","",IFERROR(INDEX(Teachers!$B$5:$B$304,MATCH(B185,Teachers!$A$5:$A$304,0)),"ID not found"))</f>
        <v/>
      </c>
      <c r="D185" s="85" t="str">
        <f aca="false">IF(B185="","",IFERROR(INDEX(Teachers!$E$5:$E$304,MATCH(B185,Teachers!$A$5:$A$304,0)),""))</f>
        <v/>
      </c>
      <c r="E185" s="52"/>
    </row>
    <row r="186" customFormat="false" ht="19.5" hidden="false" customHeight="true" outlineLevel="0" collapsed="false">
      <c r="A186" s="91"/>
      <c r="B186" s="52"/>
      <c r="C186" s="89" t="str">
        <f aca="false">IF(B186="","",IFERROR(INDEX(Teachers!$B$5:$B$304,MATCH(B186,Teachers!$A$5:$A$304,0)),"ID not found"))</f>
        <v/>
      </c>
      <c r="D186" s="85" t="str">
        <f aca="false">IF(B186="","",IFERROR(INDEX(Teachers!$E$5:$E$304,MATCH(B186,Teachers!$A$5:$A$304,0)),""))</f>
        <v/>
      </c>
      <c r="E186" s="52"/>
    </row>
    <row r="187" customFormat="false" ht="19.5" hidden="false" customHeight="true" outlineLevel="0" collapsed="false">
      <c r="A187" s="91"/>
      <c r="B187" s="52"/>
      <c r="C187" s="89" t="str">
        <f aca="false">IF(B187="","",IFERROR(INDEX(Teachers!$B$5:$B$304,MATCH(B187,Teachers!$A$5:$A$304,0)),"ID not found"))</f>
        <v/>
      </c>
      <c r="D187" s="85" t="str">
        <f aca="false">IF(B187="","",IFERROR(INDEX(Teachers!$E$5:$E$304,MATCH(B187,Teachers!$A$5:$A$304,0)),""))</f>
        <v/>
      </c>
      <c r="E187" s="52"/>
    </row>
    <row r="188" customFormat="false" ht="19.5" hidden="false" customHeight="true" outlineLevel="0" collapsed="false">
      <c r="A188" s="91"/>
      <c r="B188" s="52"/>
      <c r="C188" s="89" t="str">
        <f aca="false">IF(B188="","",IFERROR(INDEX(Teachers!$B$5:$B$304,MATCH(B188,Teachers!$A$5:$A$304,0)),"ID not found"))</f>
        <v/>
      </c>
      <c r="D188" s="85" t="str">
        <f aca="false">IF(B188="","",IFERROR(INDEX(Teachers!$E$5:$E$304,MATCH(B188,Teachers!$A$5:$A$304,0)),""))</f>
        <v/>
      </c>
      <c r="E188" s="52"/>
    </row>
    <row r="189" customFormat="false" ht="19.5" hidden="false" customHeight="true" outlineLevel="0" collapsed="false">
      <c r="A189" s="91"/>
      <c r="B189" s="52"/>
      <c r="C189" s="89" t="str">
        <f aca="false">IF(B189="","",IFERROR(INDEX(Teachers!$B$5:$B$304,MATCH(B189,Teachers!$A$5:$A$304,0)),"ID not found"))</f>
        <v/>
      </c>
      <c r="D189" s="85" t="str">
        <f aca="false">IF(B189="","",IFERROR(INDEX(Teachers!$E$5:$E$304,MATCH(B189,Teachers!$A$5:$A$304,0)),""))</f>
        <v/>
      </c>
      <c r="E189" s="52"/>
    </row>
    <row r="190" customFormat="false" ht="19.5" hidden="false" customHeight="true" outlineLevel="0" collapsed="false">
      <c r="A190" s="91"/>
      <c r="B190" s="52"/>
      <c r="C190" s="89" t="str">
        <f aca="false">IF(B190="","",IFERROR(INDEX(Teachers!$B$5:$B$304,MATCH(B190,Teachers!$A$5:$A$304,0)),"ID not found"))</f>
        <v/>
      </c>
      <c r="D190" s="85" t="str">
        <f aca="false">IF(B190="","",IFERROR(INDEX(Teachers!$E$5:$E$304,MATCH(B190,Teachers!$A$5:$A$304,0)),""))</f>
        <v/>
      </c>
      <c r="E190" s="52"/>
    </row>
    <row r="191" customFormat="false" ht="19.5" hidden="false" customHeight="true" outlineLevel="0" collapsed="false">
      <c r="A191" s="91"/>
      <c r="B191" s="52"/>
      <c r="C191" s="89" t="str">
        <f aca="false">IF(B191="","",IFERROR(INDEX(Teachers!$B$5:$B$304,MATCH(B191,Teachers!$A$5:$A$304,0)),"ID not found"))</f>
        <v/>
      </c>
      <c r="D191" s="85" t="str">
        <f aca="false">IF(B191="","",IFERROR(INDEX(Teachers!$E$5:$E$304,MATCH(B191,Teachers!$A$5:$A$304,0)),""))</f>
        <v/>
      </c>
      <c r="E191" s="52"/>
    </row>
    <row r="192" customFormat="false" ht="19.5" hidden="false" customHeight="true" outlineLevel="0" collapsed="false">
      <c r="A192" s="91"/>
      <c r="B192" s="52"/>
      <c r="C192" s="89" t="str">
        <f aca="false">IF(B192="","",IFERROR(INDEX(Teachers!$B$5:$B$304,MATCH(B192,Teachers!$A$5:$A$304,0)),"ID not found"))</f>
        <v/>
      </c>
      <c r="D192" s="85" t="str">
        <f aca="false">IF(B192="","",IFERROR(INDEX(Teachers!$E$5:$E$304,MATCH(B192,Teachers!$A$5:$A$304,0)),""))</f>
        <v/>
      </c>
      <c r="E192" s="52"/>
    </row>
    <row r="193" customFormat="false" ht="19.5" hidden="false" customHeight="true" outlineLevel="0" collapsed="false">
      <c r="A193" s="91"/>
      <c r="B193" s="52"/>
      <c r="C193" s="89" t="str">
        <f aca="false">IF(B193="","",IFERROR(INDEX(Teachers!$B$5:$B$304,MATCH(B193,Teachers!$A$5:$A$304,0)),"ID not found"))</f>
        <v/>
      </c>
      <c r="D193" s="85" t="str">
        <f aca="false">IF(B193="","",IFERROR(INDEX(Teachers!$E$5:$E$304,MATCH(B193,Teachers!$A$5:$A$304,0)),""))</f>
        <v/>
      </c>
      <c r="E193" s="52"/>
    </row>
    <row r="194" customFormat="false" ht="19.5" hidden="false" customHeight="true" outlineLevel="0" collapsed="false">
      <c r="A194" s="91"/>
      <c r="B194" s="52"/>
      <c r="C194" s="89" t="str">
        <f aca="false">IF(B194="","",IFERROR(INDEX(Teachers!$B$5:$B$304,MATCH(B194,Teachers!$A$5:$A$304,0)),"ID not found"))</f>
        <v/>
      </c>
      <c r="D194" s="85" t="str">
        <f aca="false">IF(B194="","",IFERROR(INDEX(Teachers!$E$5:$E$304,MATCH(B194,Teachers!$A$5:$A$304,0)),""))</f>
        <v/>
      </c>
      <c r="E194" s="52"/>
    </row>
    <row r="195" customFormat="false" ht="19.5" hidden="false" customHeight="true" outlineLevel="0" collapsed="false">
      <c r="A195" s="91"/>
      <c r="B195" s="52"/>
      <c r="C195" s="89" t="str">
        <f aca="false">IF(B195="","",IFERROR(INDEX(Teachers!$B$5:$B$304,MATCH(B195,Teachers!$A$5:$A$304,0)),"ID not found"))</f>
        <v/>
      </c>
      <c r="D195" s="85" t="str">
        <f aca="false">IF(B195="","",IFERROR(INDEX(Teachers!$E$5:$E$304,MATCH(B195,Teachers!$A$5:$A$304,0)),""))</f>
        <v/>
      </c>
      <c r="E195" s="52"/>
    </row>
    <row r="196" customFormat="false" ht="19.5" hidden="false" customHeight="true" outlineLevel="0" collapsed="false">
      <c r="A196" s="91"/>
      <c r="B196" s="52"/>
      <c r="C196" s="89" t="str">
        <f aca="false">IF(B196="","",IFERROR(INDEX(Teachers!$B$5:$B$304,MATCH(B196,Teachers!$A$5:$A$304,0)),"ID not found"))</f>
        <v/>
      </c>
      <c r="D196" s="85" t="str">
        <f aca="false">IF(B196="","",IFERROR(INDEX(Teachers!$E$5:$E$304,MATCH(B196,Teachers!$A$5:$A$304,0)),""))</f>
        <v/>
      </c>
      <c r="E196" s="52"/>
    </row>
    <row r="197" customFormat="false" ht="19.5" hidden="false" customHeight="true" outlineLevel="0" collapsed="false">
      <c r="A197" s="91"/>
      <c r="B197" s="52"/>
      <c r="C197" s="89" t="str">
        <f aca="false">IF(B197="","",IFERROR(INDEX(Teachers!$B$5:$B$304,MATCH(B197,Teachers!$A$5:$A$304,0)),"ID not found"))</f>
        <v/>
      </c>
      <c r="D197" s="85" t="str">
        <f aca="false">IF(B197="","",IFERROR(INDEX(Teachers!$E$5:$E$304,MATCH(B197,Teachers!$A$5:$A$304,0)),""))</f>
        <v/>
      </c>
      <c r="E197" s="52"/>
    </row>
    <row r="198" customFormat="false" ht="19.5" hidden="false" customHeight="true" outlineLevel="0" collapsed="false">
      <c r="A198" s="91"/>
      <c r="B198" s="52"/>
      <c r="C198" s="89" t="str">
        <f aca="false">IF(B198="","",IFERROR(INDEX(Teachers!$B$5:$B$304,MATCH(B198,Teachers!$A$5:$A$304,0)),"ID not found"))</f>
        <v/>
      </c>
      <c r="D198" s="85" t="str">
        <f aca="false">IF(B198="","",IFERROR(INDEX(Teachers!$E$5:$E$304,MATCH(B198,Teachers!$A$5:$A$304,0)),""))</f>
        <v/>
      </c>
      <c r="E198" s="52"/>
    </row>
    <row r="199" customFormat="false" ht="19.5" hidden="false" customHeight="true" outlineLevel="0" collapsed="false">
      <c r="A199" s="91"/>
      <c r="B199" s="52"/>
      <c r="C199" s="89" t="str">
        <f aca="false">IF(B199="","",IFERROR(INDEX(Teachers!$B$5:$B$304,MATCH(B199,Teachers!$A$5:$A$304,0)),"ID not found"))</f>
        <v/>
      </c>
      <c r="D199" s="85" t="str">
        <f aca="false">IF(B199="","",IFERROR(INDEX(Teachers!$E$5:$E$304,MATCH(B199,Teachers!$A$5:$A$304,0)),""))</f>
        <v/>
      </c>
      <c r="E199" s="52"/>
    </row>
    <row r="200" customFormat="false" ht="19.5" hidden="false" customHeight="true" outlineLevel="0" collapsed="false">
      <c r="A200" s="91"/>
      <c r="B200" s="52"/>
      <c r="C200" s="89" t="str">
        <f aca="false">IF(B200="","",IFERROR(INDEX(Teachers!$B$5:$B$304,MATCH(B200,Teachers!$A$5:$A$304,0)),"ID not found"))</f>
        <v/>
      </c>
      <c r="D200" s="85" t="str">
        <f aca="false">IF(B200="","",IFERROR(INDEX(Teachers!$E$5:$E$304,MATCH(B200,Teachers!$A$5:$A$304,0)),""))</f>
        <v/>
      </c>
      <c r="E200" s="52"/>
    </row>
    <row r="201" customFormat="false" ht="19.5" hidden="false" customHeight="true" outlineLevel="0" collapsed="false">
      <c r="A201" s="91"/>
      <c r="B201" s="52"/>
      <c r="C201" s="89" t="str">
        <f aca="false">IF(B201="","",IFERROR(INDEX(Teachers!$B$5:$B$304,MATCH(B201,Teachers!$A$5:$A$304,0)),"ID not found"))</f>
        <v/>
      </c>
      <c r="D201" s="85" t="str">
        <f aca="false">IF(B201="","",IFERROR(INDEX(Teachers!$E$5:$E$304,MATCH(B201,Teachers!$A$5:$A$304,0)),""))</f>
        <v/>
      </c>
      <c r="E201" s="52"/>
    </row>
    <row r="202" customFormat="false" ht="19.5" hidden="false" customHeight="true" outlineLevel="0" collapsed="false">
      <c r="A202" s="91"/>
      <c r="B202" s="52"/>
      <c r="C202" s="89" t="str">
        <f aca="false">IF(B202="","",IFERROR(INDEX(Teachers!$B$5:$B$304,MATCH(B202,Teachers!$A$5:$A$304,0)),"ID not found"))</f>
        <v/>
      </c>
      <c r="D202" s="85" t="str">
        <f aca="false">IF(B202="","",IFERROR(INDEX(Teachers!$E$5:$E$304,MATCH(B202,Teachers!$A$5:$A$304,0)),""))</f>
        <v/>
      </c>
      <c r="E202" s="52"/>
    </row>
    <row r="203" customFormat="false" ht="19.5" hidden="false" customHeight="true" outlineLevel="0" collapsed="false">
      <c r="A203" s="91"/>
      <c r="B203" s="52"/>
      <c r="C203" s="89" t="str">
        <f aca="false">IF(B203="","",IFERROR(INDEX(Teachers!$B$5:$B$304,MATCH(B203,Teachers!$A$5:$A$304,0)),"ID not found"))</f>
        <v/>
      </c>
      <c r="D203" s="85" t="str">
        <f aca="false">IF(B203="","",IFERROR(INDEX(Teachers!$E$5:$E$304,MATCH(B203,Teachers!$A$5:$A$304,0)),""))</f>
        <v/>
      </c>
      <c r="E203" s="52"/>
    </row>
    <row r="204" customFormat="false" ht="19.5" hidden="false" customHeight="true" outlineLevel="0" collapsed="false">
      <c r="A204" s="91"/>
      <c r="B204" s="52"/>
      <c r="C204" s="89" t="str">
        <f aca="false">IF(B204="","",IFERROR(INDEX(Teachers!$B$5:$B$304,MATCH(B204,Teachers!$A$5:$A$304,0)),"ID not found"))</f>
        <v/>
      </c>
      <c r="D204" s="85" t="str">
        <f aca="false">IF(B204="","",IFERROR(INDEX(Teachers!$E$5:$E$304,MATCH(B204,Teachers!$A$5:$A$304,0)),""))</f>
        <v/>
      </c>
      <c r="E204" s="52"/>
    </row>
    <row r="205" customFormat="false" ht="19.5" hidden="false" customHeight="true" outlineLevel="0" collapsed="false">
      <c r="A205" s="91"/>
      <c r="B205" s="52"/>
      <c r="C205" s="89" t="str">
        <f aca="false">IF(B205="","",IFERROR(INDEX(Teachers!$B$5:$B$304,MATCH(B205,Teachers!$A$5:$A$304,0)),"ID not found"))</f>
        <v/>
      </c>
      <c r="D205" s="85" t="str">
        <f aca="false">IF(B205="","",IFERROR(INDEX(Teachers!$E$5:$E$304,MATCH(B205,Teachers!$A$5:$A$304,0)),""))</f>
        <v/>
      </c>
      <c r="E205" s="52"/>
    </row>
    <row r="206" customFormat="false" ht="19.5" hidden="false" customHeight="true" outlineLevel="0" collapsed="false">
      <c r="A206" s="91"/>
      <c r="B206" s="52"/>
      <c r="C206" s="89" t="str">
        <f aca="false">IF(B206="","",IFERROR(INDEX(Teachers!$B$5:$B$304,MATCH(B206,Teachers!$A$5:$A$304,0)),"ID not found"))</f>
        <v/>
      </c>
      <c r="D206" s="85" t="str">
        <f aca="false">IF(B206="","",IFERROR(INDEX(Teachers!$E$5:$E$304,MATCH(B206,Teachers!$A$5:$A$304,0)),""))</f>
        <v/>
      </c>
      <c r="E206" s="52"/>
    </row>
    <row r="207" customFormat="false" ht="19.5" hidden="false" customHeight="true" outlineLevel="0" collapsed="false">
      <c r="A207" s="91"/>
      <c r="B207" s="52"/>
      <c r="C207" s="89" t="str">
        <f aca="false">IF(B207="","",IFERROR(INDEX(Teachers!$B$5:$B$304,MATCH(B207,Teachers!$A$5:$A$304,0)),"ID not found"))</f>
        <v/>
      </c>
      <c r="D207" s="85" t="str">
        <f aca="false">IF(B207="","",IFERROR(INDEX(Teachers!$E$5:$E$304,MATCH(B207,Teachers!$A$5:$A$304,0)),""))</f>
        <v/>
      </c>
      <c r="E207" s="52"/>
    </row>
    <row r="208" customFormat="false" ht="19.5" hidden="false" customHeight="true" outlineLevel="0" collapsed="false">
      <c r="A208" s="91"/>
      <c r="B208" s="52"/>
      <c r="C208" s="89" t="str">
        <f aca="false">IF(B208="","",IFERROR(INDEX(Teachers!$B$5:$B$304,MATCH(B208,Teachers!$A$5:$A$304,0)),"ID not found"))</f>
        <v/>
      </c>
      <c r="D208" s="85" t="str">
        <f aca="false">IF(B208="","",IFERROR(INDEX(Teachers!$E$5:$E$304,MATCH(B208,Teachers!$A$5:$A$304,0)),""))</f>
        <v/>
      </c>
      <c r="E208" s="52"/>
    </row>
    <row r="209" customFormat="false" ht="19.5" hidden="false" customHeight="true" outlineLevel="0" collapsed="false">
      <c r="A209" s="91"/>
      <c r="B209" s="52"/>
      <c r="C209" s="89" t="str">
        <f aca="false">IF(B209="","",IFERROR(INDEX(Teachers!$B$5:$B$304,MATCH(B209,Teachers!$A$5:$A$304,0)),"ID not found"))</f>
        <v/>
      </c>
      <c r="D209" s="85" t="str">
        <f aca="false">IF(B209="","",IFERROR(INDEX(Teachers!$E$5:$E$304,MATCH(B209,Teachers!$A$5:$A$304,0)),""))</f>
        <v/>
      </c>
      <c r="E209" s="52"/>
    </row>
    <row r="210" customFormat="false" ht="19.5" hidden="false" customHeight="true" outlineLevel="0" collapsed="false">
      <c r="A210" s="91"/>
      <c r="B210" s="52"/>
      <c r="C210" s="89" t="str">
        <f aca="false">IF(B210="","",IFERROR(INDEX(Teachers!$B$5:$B$304,MATCH(B210,Teachers!$A$5:$A$304,0)),"ID not found"))</f>
        <v/>
      </c>
      <c r="D210" s="85" t="str">
        <f aca="false">IF(B210="","",IFERROR(INDEX(Teachers!$E$5:$E$304,MATCH(B210,Teachers!$A$5:$A$304,0)),""))</f>
        <v/>
      </c>
      <c r="E210" s="52"/>
    </row>
    <row r="211" customFormat="false" ht="19.5" hidden="false" customHeight="true" outlineLevel="0" collapsed="false">
      <c r="A211" s="91"/>
      <c r="B211" s="52"/>
      <c r="C211" s="89" t="str">
        <f aca="false">IF(B211="","",IFERROR(INDEX(Teachers!$B$5:$B$304,MATCH(B211,Teachers!$A$5:$A$304,0)),"ID not found"))</f>
        <v/>
      </c>
      <c r="D211" s="85" t="str">
        <f aca="false">IF(B211="","",IFERROR(INDEX(Teachers!$E$5:$E$304,MATCH(B211,Teachers!$A$5:$A$304,0)),""))</f>
        <v/>
      </c>
      <c r="E211" s="52"/>
    </row>
    <row r="212" customFormat="false" ht="19.5" hidden="false" customHeight="true" outlineLevel="0" collapsed="false">
      <c r="A212" s="91"/>
      <c r="B212" s="52"/>
      <c r="C212" s="89" t="str">
        <f aca="false">IF(B212="","",IFERROR(INDEX(Teachers!$B$5:$B$304,MATCH(B212,Teachers!$A$5:$A$304,0)),"ID not found"))</f>
        <v/>
      </c>
      <c r="D212" s="85" t="str">
        <f aca="false">IF(B212="","",IFERROR(INDEX(Teachers!$E$5:$E$304,MATCH(B212,Teachers!$A$5:$A$304,0)),""))</f>
        <v/>
      </c>
      <c r="E212" s="52"/>
    </row>
    <row r="213" customFormat="false" ht="19.5" hidden="false" customHeight="true" outlineLevel="0" collapsed="false">
      <c r="A213" s="91"/>
      <c r="B213" s="52"/>
      <c r="C213" s="89" t="str">
        <f aca="false">IF(B213="","",IFERROR(INDEX(Teachers!$B$5:$B$304,MATCH(B213,Teachers!$A$5:$A$304,0)),"ID not found"))</f>
        <v/>
      </c>
      <c r="D213" s="85" t="str">
        <f aca="false">IF(B213="","",IFERROR(INDEX(Teachers!$E$5:$E$304,MATCH(B213,Teachers!$A$5:$A$304,0)),""))</f>
        <v/>
      </c>
      <c r="E213" s="52"/>
    </row>
    <row r="214" customFormat="false" ht="19.5" hidden="false" customHeight="true" outlineLevel="0" collapsed="false">
      <c r="A214" s="91"/>
      <c r="B214" s="52"/>
      <c r="C214" s="89" t="str">
        <f aca="false">IF(B214="","",IFERROR(INDEX(Teachers!$B$5:$B$304,MATCH(B214,Teachers!$A$5:$A$304,0)),"ID not found"))</f>
        <v/>
      </c>
      <c r="D214" s="85" t="str">
        <f aca="false">IF(B214="","",IFERROR(INDEX(Teachers!$E$5:$E$304,MATCH(B214,Teachers!$A$5:$A$304,0)),""))</f>
        <v/>
      </c>
      <c r="E214" s="52"/>
    </row>
    <row r="215" customFormat="false" ht="19.5" hidden="false" customHeight="true" outlineLevel="0" collapsed="false">
      <c r="A215" s="91"/>
      <c r="B215" s="52"/>
      <c r="C215" s="89" t="str">
        <f aca="false">IF(B215="","",IFERROR(INDEX(Teachers!$B$5:$B$304,MATCH(B215,Teachers!$A$5:$A$304,0)),"ID not found"))</f>
        <v/>
      </c>
      <c r="D215" s="85" t="str">
        <f aca="false">IF(B215="","",IFERROR(INDEX(Teachers!$E$5:$E$304,MATCH(B215,Teachers!$A$5:$A$304,0)),""))</f>
        <v/>
      </c>
      <c r="E215" s="52"/>
    </row>
    <row r="216" customFormat="false" ht="19.5" hidden="false" customHeight="true" outlineLevel="0" collapsed="false">
      <c r="A216" s="91"/>
      <c r="B216" s="52"/>
      <c r="C216" s="89" t="str">
        <f aca="false">IF(B216="","",IFERROR(INDEX(Teachers!$B$5:$B$304,MATCH(B216,Teachers!$A$5:$A$304,0)),"ID not found"))</f>
        <v/>
      </c>
      <c r="D216" s="85" t="str">
        <f aca="false">IF(B216="","",IFERROR(INDEX(Teachers!$E$5:$E$304,MATCH(B216,Teachers!$A$5:$A$304,0)),""))</f>
        <v/>
      </c>
      <c r="E216" s="52"/>
    </row>
    <row r="217" customFormat="false" ht="19.5" hidden="false" customHeight="true" outlineLevel="0" collapsed="false">
      <c r="A217" s="91"/>
      <c r="B217" s="52"/>
      <c r="C217" s="89" t="str">
        <f aca="false">IF(B217="","",IFERROR(INDEX(Teachers!$B$5:$B$304,MATCH(B217,Teachers!$A$5:$A$304,0)),"ID not found"))</f>
        <v/>
      </c>
      <c r="D217" s="85" t="str">
        <f aca="false">IF(B217="","",IFERROR(INDEX(Teachers!$E$5:$E$304,MATCH(B217,Teachers!$A$5:$A$304,0)),""))</f>
        <v/>
      </c>
      <c r="E217" s="52"/>
    </row>
    <row r="218" customFormat="false" ht="19.5" hidden="false" customHeight="true" outlineLevel="0" collapsed="false">
      <c r="A218" s="91"/>
      <c r="B218" s="52"/>
      <c r="C218" s="89" t="str">
        <f aca="false">IF(B218="","",IFERROR(INDEX(Teachers!$B$5:$B$304,MATCH(B218,Teachers!$A$5:$A$304,0)),"ID not found"))</f>
        <v/>
      </c>
      <c r="D218" s="85" t="str">
        <f aca="false">IF(B218="","",IFERROR(INDEX(Teachers!$E$5:$E$304,MATCH(B218,Teachers!$A$5:$A$304,0)),""))</f>
        <v/>
      </c>
      <c r="E218" s="52"/>
    </row>
    <row r="219" customFormat="false" ht="19.5" hidden="false" customHeight="true" outlineLevel="0" collapsed="false">
      <c r="A219" s="91"/>
      <c r="B219" s="52"/>
      <c r="C219" s="89" t="str">
        <f aca="false">IF(B219="","",IFERROR(INDEX(Teachers!$B$5:$B$304,MATCH(B219,Teachers!$A$5:$A$304,0)),"ID not found"))</f>
        <v/>
      </c>
      <c r="D219" s="85" t="str">
        <f aca="false">IF(B219="","",IFERROR(INDEX(Teachers!$E$5:$E$304,MATCH(B219,Teachers!$A$5:$A$304,0)),""))</f>
        <v/>
      </c>
      <c r="E219" s="52"/>
    </row>
    <row r="220" customFormat="false" ht="19.5" hidden="false" customHeight="true" outlineLevel="0" collapsed="false">
      <c r="A220" s="91"/>
      <c r="B220" s="52"/>
      <c r="C220" s="89" t="str">
        <f aca="false">IF(B220="","",IFERROR(INDEX(Teachers!$B$5:$B$304,MATCH(B220,Teachers!$A$5:$A$304,0)),"ID not found"))</f>
        <v/>
      </c>
      <c r="D220" s="85" t="str">
        <f aca="false">IF(B220="","",IFERROR(INDEX(Teachers!$E$5:$E$304,MATCH(B220,Teachers!$A$5:$A$304,0)),""))</f>
        <v/>
      </c>
      <c r="E220" s="52"/>
    </row>
    <row r="221" customFormat="false" ht="19.5" hidden="false" customHeight="true" outlineLevel="0" collapsed="false">
      <c r="A221" s="91"/>
      <c r="B221" s="52"/>
      <c r="C221" s="89" t="str">
        <f aca="false">IF(B221="","",IFERROR(INDEX(Teachers!$B$5:$B$304,MATCH(B221,Teachers!$A$5:$A$304,0)),"ID not found"))</f>
        <v/>
      </c>
      <c r="D221" s="85" t="str">
        <f aca="false">IF(B221="","",IFERROR(INDEX(Teachers!$E$5:$E$304,MATCH(B221,Teachers!$A$5:$A$304,0)),""))</f>
        <v/>
      </c>
      <c r="E221" s="52"/>
    </row>
    <row r="222" customFormat="false" ht="19.5" hidden="false" customHeight="true" outlineLevel="0" collapsed="false">
      <c r="A222" s="91"/>
      <c r="B222" s="52"/>
      <c r="C222" s="89" t="str">
        <f aca="false">IF(B222="","",IFERROR(INDEX(Teachers!$B$5:$B$304,MATCH(B222,Teachers!$A$5:$A$304,0)),"ID not found"))</f>
        <v/>
      </c>
      <c r="D222" s="85" t="str">
        <f aca="false">IF(B222="","",IFERROR(INDEX(Teachers!$E$5:$E$304,MATCH(B222,Teachers!$A$5:$A$304,0)),""))</f>
        <v/>
      </c>
      <c r="E222" s="52"/>
    </row>
    <row r="223" customFormat="false" ht="19.5" hidden="false" customHeight="true" outlineLevel="0" collapsed="false">
      <c r="A223" s="91"/>
      <c r="B223" s="52"/>
      <c r="C223" s="89" t="str">
        <f aca="false">IF(B223="","",IFERROR(INDEX(Teachers!$B$5:$B$304,MATCH(B223,Teachers!$A$5:$A$304,0)),"ID not found"))</f>
        <v/>
      </c>
      <c r="D223" s="85" t="str">
        <f aca="false">IF(B223="","",IFERROR(INDEX(Teachers!$E$5:$E$304,MATCH(B223,Teachers!$A$5:$A$304,0)),""))</f>
        <v/>
      </c>
      <c r="E223" s="52"/>
    </row>
    <row r="224" customFormat="false" ht="19.5" hidden="false" customHeight="true" outlineLevel="0" collapsed="false">
      <c r="A224" s="91"/>
      <c r="B224" s="52"/>
      <c r="C224" s="89" t="str">
        <f aca="false">IF(B224="","",IFERROR(INDEX(Teachers!$B$5:$B$304,MATCH(B224,Teachers!$A$5:$A$304,0)),"ID not found"))</f>
        <v/>
      </c>
      <c r="D224" s="85" t="str">
        <f aca="false">IF(B224="","",IFERROR(INDEX(Teachers!$E$5:$E$304,MATCH(B224,Teachers!$A$5:$A$304,0)),""))</f>
        <v/>
      </c>
      <c r="E224" s="52"/>
    </row>
    <row r="225" customFormat="false" ht="19.5" hidden="false" customHeight="true" outlineLevel="0" collapsed="false">
      <c r="A225" s="91"/>
      <c r="B225" s="52"/>
      <c r="C225" s="89" t="str">
        <f aca="false">IF(B225="","",IFERROR(INDEX(Teachers!$B$5:$B$304,MATCH(B225,Teachers!$A$5:$A$304,0)),"ID not found"))</f>
        <v/>
      </c>
      <c r="D225" s="85" t="str">
        <f aca="false">IF(B225="","",IFERROR(INDEX(Teachers!$E$5:$E$304,MATCH(B225,Teachers!$A$5:$A$304,0)),""))</f>
        <v/>
      </c>
      <c r="E225" s="52"/>
    </row>
    <row r="226" customFormat="false" ht="19.5" hidden="false" customHeight="true" outlineLevel="0" collapsed="false">
      <c r="A226" s="91"/>
      <c r="B226" s="52"/>
      <c r="C226" s="89" t="str">
        <f aca="false">IF(B226="","",IFERROR(INDEX(Teachers!$B$5:$B$304,MATCH(B226,Teachers!$A$5:$A$304,0)),"ID not found"))</f>
        <v/>
      </c>
      <c r="D226" s="85" t="str">
        <f aca="false">IF(B226="","",IFERROR(INDEX(Teachers!$E$5:$E$304,MATCH(B226,Teachers!$A$5:$A$304,0)),""))</f>
        <v/>
      </c>
      <c r="E226" s="52"/>
    </row>
    <row r="227" customFormat="false" ht="19.5" hidden="false" customHeight="true" outlineLevel="0" collapsed="false">
      <c r="A227" s="91"/>
      <c r="B227" s="52"/>
      <c r="C227" s="89" t="str">
        <f aca="false">IF(B227="","",IFERROR(INDEX(Teachers!$B$5:$B$304,MATCH(B227,Teachers!$A$5:$A$304,0)),"ID not found"))</f>
        <v/>
      </c>
      <c r="D227" s="85" t="str">
        <f aca="false">IF(B227="","",IFERROR(INDEX(Teachers!$E$5:$E$304,MATCH(B227,Teachers!$A$5:$A$304,0)),""))</f>
        <v/>
      </c>
      <c r="E227" s="52"/>
    </row>
    <row r="228" customFormat="false" ht="19.5" hidden="false" customHeight="true" outlineLevel="0" collapsed="false">
      <c r="A228" s="91"/>
      <c r="B228" s="52"/>
      <c r="C228" s="89" t="str">
        <f aca="false">IF(B228="","",IFERROR(INDEX(Teachers!$B$5:$B$304,MATCH(B228,Teachers!$A$5:$A$304,0)),"ID not found"))</f>
        <v/>
      </c>
      <c r="D228" s="85" t="str">
        <f aca="false">IF(B228="","",IFERROR(INDEX(Teachers!$E$5:$E$304,MATCH(B228,Teachers!$A$5:$A$304,0)),""))</f>
        <v/>
      </c>
      <c r="E228" s="52"/>
    </row>
    <row r="229" customFormat="false" ht="19.5" hidden="false" customHeight="true" outlineLevel="0" collapsed="false">
      <c r="A229" s="91"/>
      <c r="B229" s="52"/>
      <c r="C229" s="89" t="str">
        <f aca="false">IF(B229="","",IFERROR(INDEX(Teachers!$B$5:$B$304,MATCH(B229,Teachers!$A$5:$A$304,0)),"ID not found"))</f>
        <v/>
      </c>
      <c r="D229" s="85" t="str">
        <f aca="false">IF(B229="","",IFERROR(INDEX(Teachers!$E$5:$E$304,MATCH(B229,Teachers!$A$5:$A$304,0)),""))</f>
        <v/>
      </c>
      <c r="E229" s="52"/>
    </row>
    <row r="230" customFormat="false" ht="19.5" hidden="false" customHeight="true" outlineLevel="0" collapsed="false">
      <c r="A230" s="91"/>
      <c r="B230" s="52"/>
      <c r="C230" s="89" t="str">
        <f aca="false">IF(B230="","",IFERROR(INDEX(Teachers!$B$5:$B$304,MATCH(B230,Teachers!$A$5:$A$304,0)),"ID not found"))</f>
        <v/>
      </c>
      <c r="D230" s="85" t="str">
        <f aca="false">IF(B230="","",IFERROR(INDEX(Teachers!$E$5:$E$304,MATCH(B230,Teachers!$A$5:$A$304,0)),""))</f>
        <v/>
      </c>
      <c r="E230" s="52"/>
    </row>
    <row r="231" customFormat="false" ht="19.5" hidden="false" customHeight="true" outlineLevel="0" collapsed="false">
      <c r="A231" s="91"/>
      <c r="B231" s="52"/>
      <c r="C231" s="89" t="str">
        <f aca="false">IF(B231="","",IFERROR(INDEX(Teachers!$B$5:$B$304,MATCH(B231,Teachers!$A$5:$A$304,0)),"ID not found"))</f>
        <v/>
      </c>
      <c r="D231" s="85" t="str">
        <f aca="false">IF(B231="","",IFERROR(INDEX(Teachers!$E$5:$E$304,MATCH(B231,Teachers!$A$5:$A$304,0)),""))</f>
        <v/>
      </c>
      <c r="E231" s="52"/>
    </row>
    <row r="232" customFormat="false" ht="19.5" hidden="false" customHeight="true" outlineLevel="0" collapsed="false">
      <c r="A232" s="91"/>
      <c r="B232" s="52"/>
      <c r="C232" s="89" t="str">
        <f aca="false">IF(B232="","",IFERROR(INDEX(Teachers!$B$5:$B$304,MATCH(B232,Teachers!$A$5:$A$304,0)),"ID not found"))</f>
        <v/>
      </c>
      <c r="D232" s="85" t="str">
        <f aca="false">IF(B232="","",IFERROR(INDEX(Teachers!$E$5:$E$304,MATCH(B232,Teachers!$A$5:$A$304,0)),""))</f>
        <v/>
      </c>
      <c r="E232" s="52"/>
    </row>
    <row r="233" customFormat="false" ht="19.5" hidden="false" customHeight="true" outlineLevel="0" collapsed="false">
      <c r="A233" s="91"/>
      <c r="B233" s="52"/>
      <c r="C233" s="89" t="str">
        <f aca="false">IF(B233="","",IFERROR(INDEX(Teachers!$B$5:$B$304,MATCH(B233,Teachers!$A$5:$A$304,0)),"ID not found"))</f>
        <v/>
      </c>
      <c r="D233" s="85" t="str">
        <f aca="false">IF(B233="","",IFERROR(INDEX(Teachers!$E$5:$E$304,MATCH(B233,Teachers!$A$5:$A$304,0)),""))</f>
        <v/>
      </c>
      <c r="E233" s="52"/>
    </row>
    <row r="234" customFormat="false" ht="19.5" hidden="false" customHeight="true" outlineLevel="0" collapsed="false">
      <c r="A234" s="91"/>
      <c r="B234" s="52"/>
      <c r="C234" s="89" t="str">
        <f aca="false">IF(B234="","",IFERROR(INDEX(Teachers!$B$5:$B$304,MATCH(B234,Teachers!$A$5:$A$304,0)),"ID not found"))</f>
        <v/>
      </c>
      <c r="D234" s="85" t="str">
        <f aca="false">IF(B234="","",IFERROR(INDEX(Teachers!$E$5:$E$304,MATCH(B234,Teachers!$A$5:$A$304,0)),""))</f>
        <v/>
      </c>
      <c r="E234" s="52"/>
    </row>
    <row r="235" customFormat="false" ht="19.5" hidden="false" customHeight="true" outlineLevel="0" collapsed="false">
      <c r="A235" s="91"/>
      <c r="B235" s="52"/>
      <c r="C235" s="89" t="str">
        <f aca="false">IF(B235="","",IFERROR(INDEX(Teachers!$B$5:$B$304,MATCH(B235,Teachers!$A$5:$A$304,0)),"ID not found"))</f>
        <v/>
      </c>
      <c r="D235" s="85" t="str">
        <f aca="false">IF(B235="","",IFERROR(INDEX(Teachers!$E$5:$E$304,MATCH(B235,Teachers!$A$5:$A$304,0)),""))</f>
        <v/>
      </c>
      <c r="E235" s="52"/>
    </row>
    <row r="236" customFormat="false" ht="19.5" hidden="false" customHeight="true" outlineLevel="0" collapsed="false">
      <c r="A236" s="91"/>
      <c r="B236" s="52"/>
      <c r="C236" s="89" t="str">
        <f aca="false">IF(B236="","",IFERROR(INDEX(Teachers!$B$5:$B$304,MATCH(B236,Teachers!$A$5:$A$304,0)),"ID not found"))</f>
        <v/>
      </c>
      <c r="D236" s="85" t="str">
        <f aca="false">IF(B236="","",IFERROR(INDEX(Teachers!$E$5:$E$304,MATCH(B236,Teachers!$A$5:$A$304,0)),""))</f>
        <v/>
      </c>
      <c r="E236" s="52"/>
    </row>
    <row r="237" customFormat="false" ht="19.5" hidden="false" customHeight="true" outlineLevel="0" collapsed="false">
      <c r="A237" s="91"/>
      <c r="B237" s="52"/>
      <c r="C237" s="89" t="str">
        <f aca="false">IF(B237="","",IFERROR(INDEX(Teachers!$B$5:$B$304,MATCH(B237,Teachers!$A$5:$A$304,0)),"ID not found"))</f>
        <v/>
      </c>
      <c r="D237" s="85" t="str">
        <f aca="false">IF(B237="","",IFERROR(INDEX(Teachers!$E$5:$E$304,MATCH(B237,Teachers!$A$5:$A$304,0)),""))</f>
        <v/>
      </c>
      <c r="E237" s="52"/>
    </row>
    <row r="238" customFormat="false" ht="19.5" hidden="false" customHeight="true" outlineLevel="0" collapsed="false">
      <c r="A238" s="91"/>
      <c r="B238" s="52"/>
      <c r="C238" s="89" t="str">
        <f aca="false">IF(B238="","",IFERROR(INDEX(Teachers!$B$5:$B$304,MATCH(B238,Teachers!$A$5:$A$304,0)),"ID not found"))</f>
        <v/>
      </c>
      <c r="D238" s="85" t="str">
        <f aca="false">IF(B238="","",IFERROR(INDEX(Teachers!$E$5:$E$304,MATCH(B238,Teachers!$A$5:$A$304,0)),""))</f>
        <v/>
      </c>
      <c r="E238" s="52"/>
    </row>
    <row r="239" customFormat="false" ht="19.5" hidden="false" customHeight="true" outlineLevel="0" collapsed="false">
      <c r="A239" s="91"/>
      <c r="B239" s="52"/>
      <c r="C239" s="89" t="str">
        <f aca="false">IF(B239="","",IFERROR(INDEX(Teachers!$B$5:$B$304,MATCH(B239,Teachers!$A$5:$A$304,0)),"ID not found"))</f>
        <v/>
      </c>
      <c r="D239" s="85" t="str">
        <f aca="false">IF(B239="","",IFERROR(INDEX(Teachers!$E$5:$E$304,MATCH(B239,Teachers!$A$5:$A$304,0)),""))</f>
        <v/>
      </c>
      <c r="E239" s="52"/>
    </row>
    <row r="240" customFormat="false" ht="19.5" hidden="false" customHeight="true" outlineLevel="0" collapsed="false">
      <c r="A240" s="91"/>
      <c r="B240" s="52"/>
      <c r="C240" s="89" t="str">
        <f aca="false">IF(B240="","",IFERROR(INDEX(Teachers!$B$5:$B$304,MATCH(B240,Teachers!$A$5:$A$304,0)),"ID not found"))</f>
        <v/>
      </c>
      <c r="D240" s="85" t="str">
        <f aca="false">IF(B240="","",IFERROR(INDEX(Teachers!$E$5:$E$304,MATCH(B240,Teachers!$A$5:$A$304,0)),""))</f>
        <v/>
      </c>
      <c r="E240" s="52"/>
    </row>
    <row r="241" customFormat="false" ht="19.5" hidden="false" customHeight="true" outlineLevel="0" collapsed="false">
      <c r="A241" s="91"/>
      <c r="B241" s="52"/>
      <c r="C241" s="89" t="str">
        <f aca="false">IF(B241="","",IFERROR(INDEX(Teachers!$B$5:$B$304,MATCH(B241,Teachers!$A$5:$A$304,0)),"ID not found"))</f>
        <v/>
      </c>
      <c r="D241" s="85" t="str">
        <f aca="false">IF(B241="","",IFERROR(INDEX(Teachers!$E$5:$E$304,MATCH(B241,Teachers!$A$5:$A$304,0)),""))</f>
        <v/>
      </c>
      <c r="E241" s="52"/>
    </row>
    <row r="242" customFormat="false" ht="19.5" hidden="false" customHeight="true" outlineLevel="0" collapsed="false">
      <c r="A242" s="91"/>
      <c r="B242" s="52"/>
      <c r="C242" s="89" t="str">
        <f aca="false">IF(B242="","",IFERROR(INDEX(Teachers!$B$5:$B$304,MATCH(B242,Teachers!$A$5:$A$304,0)),"ID not found"))</f>
        <v/>
      </c>
      <c r="D242" s="85" t="str">
        <f aca="false">IF(B242="","",IFERROR(INDEX(Teachers!$E$5:$E$304,MATCH(B242,Teachers!$A$5:$A$304,0)),""))</f>
        <v/>
      </c>
      <c r="E242" s="52"/>
    </row>
    <row r="243" customFormat="false" ht="19.5" hidden="false" customHeight="true" outlineLevel="0" collapsed="false">
      <c r="A243" s="91"/>
      <c r="B243" s="52"/>
      <c r="C243" s="89" t="str">
        <f aca="false">IF(B243="","",IFERROR(INDEX(Teachers!$B$5:$B$304,MATCH(B243,Teachers!$A$5:$A$304,0)),"ID not found"))</f>
        <v/>
      </c>
      <c r="D243" s="85" t="str">
        <f aca="false">IF(B243="","",IFERROR(INDEX(Teachers!$E$5:$E$304,MATCH(B243,Teachers!$A$5:$A$304,0)),""))</f>
        <v/>
      </c>
      <c r="E243" s="52"/>
    </row>
    <row r="244" customFormat="false" ht="19.5" hidden="false" customHeight="true" outlineLevel="0" collapsed="false">
      <c r="A244" s="91"/>
      <c r="B244" s="52"/>
      <c r="C244" s="89" t="str">
        <f aca="false">IF(B244="","",IFERROR(INDEX(Teachers!$B$5:$B$304,MATCH(B244,Teachers!$A$5:$A$304,0)),"ID not found"))</f>
        <v/>
      </c>
      <c r="D244" s="85" t="str">
        <f aca="false">IF(B244="","",IFERROR(INDEX(Teachers!$E$5:$E$304,MATCH(B244,Teachers!$A$5:$A$304,0)),""))</f>
        <v/>
      </c>
      <c r="E244" s="52"/>
    </row>
    <row r="245" customFormat="false" ht="19.5" hidden="false" customHeight="true" outlineLevel="0" collapsed="false">
      <c r="A245" s="91"/>
      <c r="B245" s="52"/>
      <c r="C245" s="89" t="str">
        <f aca="false">IF(B245="","",IFERROR(INDEX(Teachers!$B$5:$B$304,MATCH(B245,Teachers!$A$5:$A$304,0)),"ID not found"))</f>
        <v/>
      </c>
      <c r="D245" s="85" t="str">
        <f aca="false">IF(B245="","",IFERROR(INDEX(Teachers!$E$5:$E$304,MATCH(B245,Teachers!$A$5:$A$304,0)),""))</f>
        <v/>
      </c>
      <c r="E245" s="52"/>
    </row>
    <row r="246" customFormat="false" ht="19.5" hidden="false" customHeight="true" outlineLevel="0" collapsed="false">
      <c r="A246" s="91"/>
      <c r="B246" s="52"/>
      <c r="C246" s="89" t="str">
        <f aca="false">IF(B246="","",IFERROR(INDEX(Teachers!$B$5:$B$304,MATCH(B246,Teachers!$A$5:$A$304,0)),"ID not found"))</f>
        <v/>
      </c>
      <c r="D246" s="85" t="str">
        <f aca="false">IF(B246="","",IFERROR(INDEX(Teachers!$E$5:$E$304,MATCH(B246,Teachers!$A$5:$A$304,0)),""))</f>
        <v/>
      </c>
      <c r="E246" s="52"/>
    </row>
    <row r="247" customFormat="false" ht="19.5" hidden="false" customHeight="true" outlineLevel="0" collapsed="false">
      <c r="A247" s="91"/>
      <c r="B247" s="52"/>
      <c r="C247" s="89" t="str">
        <f aca="false">IF(B247="","",IFERROR(INDEX(Teachers!$B$5:$B$304,MATCH(B247,Teachers!$A$5:$A$304,0)),"ID not found"))</f>
        <v/>
      </c>
      <c r="D247" s="85" t="str">
        <f aca="false">IF(B247="","",IFERROR(INDEX(Teachers!$E$5:$E$304,MATCH(B247,Teachers!$A$5:$A$304,0)),""))</f>
        <v/>
      </c>
      <c r="E247" s="52"/>
    </row>
    <row r="248" customFormat="false" ht="19.5" hidden="false" customHeight="true" outlineLevel="0" collapsed="false">
      <c r="A248" s="91"/>
      <c r="B248" s="52"/>
      <c r="C248" s="89" t="str">
        <f aca="false">IF(B248="","",IFERROR(INDEX(Teachers!$B$5:$B$304,MATCH(B248,Teachers!$A$5:$A$304,0)),"ID not found"))</f>
        <v/>
      </c>
      <c r="D248" s="85" t="str">
        <f aca="false">IF(B248="","",IFERROR(INDEX(Teachers!$E$5:$E$304,MATCH(B248,Teachers!$A$5:$A$304,0)),""))</f>
        <v/>
      </c>
      <c r="E248" s="52"/>
    </row>
    <row r="249" customFormat="false" ht="19.5" hidden="false" customHeight="true" outlineLevel="0" collapsed="false">
      <c r="A249" s="91"/>
      <c r="B249" s="52"/>
      <c r="C249" s="89" t="str">
        <f aca="false">IF(B249="","",IFERROR(INDEX(Teachers!$B$5:$B$304,MATCH(B249,Teachers!$A$5:$A$304,0)),"ID not found"))</f>
        <v/>
      </c>
      <c r="D249" s="85" t="str">
        <f aca="false">IF(B249="","",IFERROR(INDEX(Teachers!$E$5:$E$304,MATCH(B249,Teachers!$A$5:$A$304,0)),""))</f>
        <v/>
      </c>
      <c r="E249" s="52"/>
    </row>
    <row r="250" customFormat="false" ht="19.5" hidden="false" customHeight="true" outlineLevel="0" collapsed="false">
      <c r="A250" s="91"/>
      <c r="B250" s="52"/>
      <c r="C250" s="89" t="str">
        <f aca="false">IF(B250="","",IFERROR(INDEX(Teachers!$B$5:$B$304,MATCH(B250,Teachers!$A$5:$A$304,0)),"ID not found"))</f>
        <v/>
      </c>
      <c r="D250" s="85" t="str">
        <f aca="false">IF(B250="","",IFERROR(INDEX(Teachers!$E$5:$E$304,MATCH(B250,Teachers!$A$5:$A$304,0)),""))</f>
        <v/>
      </c>
      <c r="E250" s="52"/>
    </row>
    <row r="251" customFormat="false" ht="19.5" hidden="false" customHeight="true" outlineLevel="0" collapsed="false">
      <c r="A251" s="91"/>
      <c r="B251" s="52"/>
      <c r="C251" s="89" t="str">
        <f aca="false">IF(B251="","",IFERROR(INDEX(Teachers!$B$5:$B$304,MATCH(B251,Teachers!$A$5:$A$304,0)),"ID not found"))</f>
        <v/>
      </c>
      <c r="D251" s="85" t="str">
        <f aca="false">IF(B251="","",IFERROR(INDEX(Teachers!$E$5:$E$304,MATCH(B251,Teachers!$A$5:$A$304,0)),""))</f>
        <v/>
      </c>
      <c r="E251" s="52"/>
    </row>
    <row r="252" customFormat="false" ht="19.5" hidden="false" customHeight="true" outlineLevel="0" collapsed="false">
      <c r="A252" s="91"/>
      <c r="B252" s="52"/>
      <c r="C252" s="89" t="str">
        <f aca="false">IF(B252="","",IFERROR(INDEX(Teachers!$B$5:$B$304,MATCH(B252,Teachers!$A$5:$A$304,0)),"ID not found"))</f>
        <v/>
      </c>
      <c r="D252" s="85" t="str">
        <f aca="false">IF(B252="","",IFERROR(INDEX(Teachers!$E$5:$E$304,MATCH(B252,Teachers!$A$5:$A$304,0)),""))</f>
        <v/>
      </c>
      <c r="E252" s="52"/>
    </row>
    <row r="253" customFormat="false" ht="19.5" hidden="false" customHeight="true" outlineLevel="0" collapsed="false">
      <c r="A253" s="91"/>
      <c r="B253" s="52"/>
      <c r="C253" s="89" t="str">
        <f aca="false">IF(B253="","",IFERROR(INDEX(Teachers!$B$5:$B$304,MATCH(B253,Teachers!$A$5:$A$304,0)),"ID not found"))</f>
        <v/>
      </c>
      <c r="D253" s="85" t="str">
        <f aca="false">IF(B253="","",IFERROR(INDEX(Teachers!$E$5:$E$304,MATCH(B253,Teachers!$A$5:$A$304,0)),""))</f>
        <v/>
      </c>
      <c r="E253" s="52"/>
    </row>
    <row r="254" customFormat="false" ht="19.5" hidden="false" customHeight="true" outlineLevel="0" collapsed="false">
      <c r="A254" s="91"/>
      <c r="B254" s="52"/>
      <c r="C254" s="89" t="str">
        <f aca="false">IF(B254="","",IFERROR(INDEX(Teachers!$B$5:$B$304,MATCH(B254,Teachers!$A$5:$A$304,0)),"ID not found"))</f>
        <v/>
      </c>
      <c r="D254" s="85" t="str">
        <f aca="false">IF(B254="","",IFERROR(INDEX(Teachers!$E$5:$E$304,MATCH(B254,Teachers!$A$5:$A$304,0)),""))</f>
        <v/>
      </c>
      <c r="E254" s="52"/>
    </row>
    <row r="255" customFormat="false" ht="19.5" hidden="false" customHeight="true" outlineLevel="0" collapsed="false">
      <c r="A255" s="91"/>
      <c r="B255" s="52"/>
      <c r="C255" s="89" t="str">
        <f aca="false">IF(B255="","",IFERROR(INDEX(Teachers!$B$5:$B$304,MATCH(B255,Teachers!$A$5:$A$304,0)),"ID not found"))</f>
        <v/>
      </c>
      <c r="D255" s="85" t="str">
        <f aca="false">IF(B255="","",IFERROR(INDEX(Teachers!$E$5:$E$304,MATCH(B255,Teachers!$A$5:$A$304,0)),""))</f>
        <v/>
      </c>
      <c r="E255" s="52"/>
    </row>
    <row r="256" customFormat="false" ht="19.5" hidden="false" customHeight="true" outlineLevel="0" collapsed="false">
      <c r="A256" s="91"/>
      <c r="B256" s="52"/>
      <c r="C256" s="89" t="str">
        <f aca="false">IF(B256="","",IFERROR(INDEX(Teachers!$B$5:$B$304,MATCH(B256,Teachers!$A$5:$A$304,0)),"ID not found"))</f>
        <v/>
      </c>
      <c r="D256" s="85" t="str">
        <f aca="false">IF(B256="","",IFERROR(INDEX(Teachers!$E$5:$E$304,MATCH(B256,Teachers!$A$5:$A$304,0)),""))</f>
        <v/>
      </c>
      <c r="E256" s="52"/>
    </row>
    <row r="257" customFormat="false" ht="19.5" hidden="false" customHeight="true" outlineLevel="0" collapsed="false">
      <c r="A257" s="91"/>
      <c r="B257" s="52"/>
      <c r="C257" s="89" t="str">
        <f aca="false">IF(B257="","",IFERROR(INDEX(Teachers!$B$5:$B$304,MATCH(B257,Teachers!$A$5:$A$304,0)),"ID not found"))</f>
        <v/>
      </c>
      <c r="D257" s="85" t="str">
        <f aca="false">IF(B257="","",IFERROR(INDEX(Teachers!$E$5:$E$304,MATCH(B257,Teachers!$A$5:$A$304,0)),""))</f>
        <v/>
      </c>
      <c r="E257" s="52"/>
    </row>
    <row r="258" customFormat="false" ht="19.5" hidden="false" customHeight="true" outlineLevel="0" collapsed="false">
      <c r="A258" s="91"/>
      <c r="B258" s="52"/>
      <c r="C258" s="89" t="str">
        <f aca="false">IF(B258="","",IFERROR(INDEX(Teachers!$B$5:$B$304,MATCH(B258,Teachers!$A$5:$A$304,0)),"ID not found"))</f>
        <v/>
      </c>
      <c r="D258" s="85" t="str">
        <f aca="false">IF(B258="","",IFERROR(INDEX(Teachers!$E$5:$E$304,MATCH(B258,Teachers!$A$5:$A$304,0)),""))</f>
        <v/>
      </c>
      <c r="E258" s="52"/>
    </row>
    <row r="259" customFormat="false" ht="19.5" hidden="false" customHeight="true" outlineLevel="0" collapsed="false">
      <c r="A259" s="91"/>
      <c r="B259" s="52"/>
      <c r="C259" s="89" t="str">
        <f aca="false">IF(B259="","",IFERROR(INDEX(Teachers!$B$5:$B$304,MATCH(B259,Teachers!$A$5:$A$304,0)),"ID not found"))</f>
        <v/>
      </c>
      <c r="D259" s="85" t="str">
        <f aca="false">IF(B259="","",IFERROR(INDEX(Teachers!$E$5:$E$304,MATCH(B259,Teachers!$A$5:$A$304,0)),""))</f>
        <v/>
      </c>
      <c r="E259" s="52"/>
    </row>
    <row r="260" customFormat="false" ht="19.5" hidden="false" customHeight="true" outlineLevel="0" collapsed="false">
      <c r="A260" s="91"/>
      <c r="B260" s="52"/>
      <c r="C260" s="89" t="str">
        <f aca="false">IF(B260="","",IFERROR(INDEX(Teachers!$B$5:$B$304,MATCH(B260,Teachers!$A$5:$A$304,0)),"ID not found"))</f>
        <v/>
      </c>
      <c r="D260" s="85" t="str">
        <f aca="false">IF(B260="","",IFERROR(INDEX(Teachers!$E$5:$E$304,MATCH(B260,Teachers!$A$5:$A$304,0)),""))</f>
        <v/>
      </c>
      <c r="E260" s="52"/>
    </row>
    <row r="261" customFormat="false" ht="19.5" hidden="false" customHeight="true" outlineLevel="0" collapsed="false">
      <c r="A261" s="91"/>
      <c r="B261" s="52"/>
      <c r="C261" s="89" t="str">
        <f aca="false">IF(B261="","",IFERROR(INDEX(Teachers!$B$5:$B$304,MATCH(B261,Teachers!$A$5:$A$304,0)),"ID not found"))</f>
        <v/>
      </c>
      <c r="D261" s="85" t="str">
        <f aca="false">IF(B261="","",IFERROR(INDEX(Teachers!$E$5:$E$304,MATCH(B261,Teachers!$A$5:$A$304,0)),""))</f>
        <v/>
      </c>
      <c r="E261" s="52"/>
    </row>
    <row r="262" customFormat="false" ht="19.5" hidden="false" customHeight="true" outlineLevel="0" collapsed="false">
      <c r="A262" s="91"/>
      <c r="B262" s="52"/>
      <c r="C262" s="89" t="str">
        <f aca="false">IF(B262="","",IFERROR(INDEX(Teachers!$B$5:$B$304,MATCH(B262,Teachers!$A$5:$A$304,0)),"ID not found"))</f>
        <v/>
      </c>
      <c r="D262" s="85" t="str">
        <f aca="false">IF(B262="","",IFERROR(INDEX(Teachers!$E$5:$E$304,MATCH(B262,Teachers!$A$5:$A$304,0)),""))</f>
        <v/>
      </c>
      <c r="E262" s="52"/>
    </row>
    <row r="263" customFormat="false" ht="19.5" hidden="false" customHeight="true" outlineLevel="0" collapsed="false">
      <c r="A263" s="91"/>
      <c r="B263" s="52"/>
      <c r="C263" s="89" t="str">
        <f aca="false">IF(B263="","",IFERROR(INDEX(Teachers!$B$5:$B$304,MATCH(B263,Teachers!$A$5:$A$304,0)),"ID not found"))</f>
        <v/>
      </c>
      <c r="D263" s="85" t="str">
        <f aca="false">IF(B263="","",IFERROR(INDEX(Teachers!$E$5:$E$304,MATCH(B263,Teachers!$A$5:$A$304,0)),""))</f>
        <v/>
      </c>
      <c r="E263" s="52"/>
    </row>
    <row r="264" customFormat="false" ht="19.5" hidden="false" customHeight="true" outlineLevel="0" collapsed="false">
      <c r="A264" s="91"/>
      <c r="B264" s="52"/>
      <c r="C264" s="89" t="str">
        <f aca="false">IF(B264="","",IFERROR(INDEX(Teachers!$B$5:$B$304,MATCH(B264,Teachers!$A$5:$A$304,0)),"ID not found"))</f>
        <v/>
      </c>
      <c r="D264" s="85" t="str">
        <f aca="false">IF(B264="","",IFERROR(INDEX(Teachers!$E$5:$E$304,MATCH(B264,Teachers!$A$5:$A$304,0)),""))</f>
        <v/>
      </c>
      <c r="E264" s="52"/>
    </row>
    <row r="265" customFormat="false" ht="19.5" hidden="false" customHeight="true" outlineLevel="0" collapsed="false">
      <c r="A265" s="91"/>
      <c r="B265" s="52"/>
      <c r="C265" s="89" t="str">
        <f aca="false">IF(B265="","",IFERROR(INDEX(Teachers!$B$5:$B$304,MATCH(B265,Teachers!$A$5:$A$304,0)),"ID not found"))</f>
        <v/>
      </c>
      <c r="D265" s="85" t="str">
        <f aca="false">IF(B265="","",IFERROR(INDEX(Teachers!$E$5:$E$304,MATCH(B265,Teachers!$A$5:$A$304,0)),""))</f>
        <v/>
      </c>
      <c r="E265" s="52"/>
    </row>
    <row r="266" customFormat="false" ht="19.5" hidden="false" customHeight="true" outlineLevel="0" collapsed="false">
      <c r="A266" s="91"/>
      <c r="B266" s="52"/>
      <c r="C266" s="89" t="str">
        <f aca="false">IF(B266="","",IFERROR(INDEX(Teachers!$B$5:$B$304,MATCH(B266,Teachers!$A$5:$A$304,0)),"ID not found"))</f>
        <v/>
      </c>
      <c r="D266" s="85" t="str">
        <f aca="false">IF(B266="","",IFERROR(INDEX(Teachers!$E$5:$E$304,MATCH(B266,Teachers!$A$5:$A$304,0)),""))</f>
        <v/>
      </c>
      <c r="E266" s="52"/>
    </row>
    <row r="267" customFormat="false" ht="19.5" hidden="false" customHeight="true" outlineLevel="0" collapsed="false">
      <c r="A267" s="91"/>
      <c r="B267" s="52"/>
      <c r="C267" s="89" t="str">
        <f aca="false">IF(B267="","",IFERROR(INDEX(Teachers!$B$5:$B$304,MATCH(B267,Teachers!$A$5:$A$304,0)),"ID not found"))</f>
        <v/>
      </c>
      <c r="D267" s="85" t="str">
        <f aca="false">IF(B267="","",IFERROR(INDEX(Teachers!$E$5:$E$304,MATCH(B267,Teachers!$A$5:$A$304,0)),""))</f>
        <v/>
      </c>
      <c r="E267" s="52"/>
    </row>
    <row r="268" customFormat="false" ht="19.5" hidden="false" customHeight="true" outlineLevel="0" collapsed="false">
      <c r="A268" s="91"/>
      <c r="B268" s="52"/>
      <c r="C268" s="89" t="str">
        <f aca="false">IF(B268="","",IFERROR(INDEX(Teachers!$B$5:$B$304,MATCH(B268,Teachers!$A$5:$A$304,0)),"ID not found"))</f>
        <v/>
      </c>
      <c r="D268" s="85" t="str">
        <f aca="false">IF(B268="","",IFERROR(INDEX(Teachers!$E$5:$E$304,MATCH(B268,Teachers!$A$5:$A$304,0)),""))</f>
        <v/>
      </c>
      <c r="E268" s="52"/>
    </row>
    <row r="269" customFormat="false" ht="19.5" hidden="false" customHeight="true" outlineLevel="0" collapsed="false">
      <c r="A269" s="91"/>
      <c r="B269" s="52"/>
      <c r="C269" s="89" t="str">
        <f aca="false">IF(B269="","",IFERROR(INDEX(Teachers!$B$5:$B$304,MATCH(B269,Teachers!$A$5:$A$304,0)),"ID not found"))</f>
        <v/>
      </c>
      <c r="D269" s="85" t="str">
        <f aca="false">IF(B269="","",IFERROR(INDEX(Teachers!$E$5:$E$304,MATCH(B269,Teachers!$A$5:$A$304,0)),""))</f>
        <v/>
      </c>
      <c r="E269" s="52"/>
    </row>
    <row r="270" customFormat="false" ht="19.5" hidden="false" customHeight="true" outlineLevel="0" collapsed="false">
      <c r="A270" s="91"/>
      <c r="B270" s="52"/>
      <c r="C270" s="89" t="str">
        <f aca="false">IF(B270="","",IFERROR(INDEX(Teachers!$B$5:$B$304,MATCH(B270,Teachers!$A$5:$A$304,0)),"ID not found"))</f>
        <v/>
      </c>
      <c r="D270" s="85" t="str">
        <f aca="false">IF(B270="","",IFERROR(INDEX(Teachers!$E$5:$E$304,MATCH(B270,Teachers!$A$5:$A$304,0)),""))</f>
        <v/>
      </c>
      <c r="E270" s="52"/>
    </row>
    <row r="271" customFormat="false" ht="19.5" hidden="false" customHeight="true" outlineLevel="0" collapsed="false">
      <c r="A271" s="91"/>
      <c r="B271" s="52"/>
      <c r="C271" s="89" t="str">
        <f aca="false">IF(B271="","",IFERROR(INDEX(Teachers!$B$5:$B$304,MATCH(B271,Teachers!$A$5:$A$304,0)),"ID not found"))</f>
        <v/>
      </c>
      <c r="D271" s="85" t="str">
        <f aca="false">IF(B271="","",IFERROR(INDEX(Teachers!$E$5:$E$304,MATCH(B271,Teachers!$A$5:$A$304,0)),""))</f>
        <v/>
      </c>
      <c r="E271" s="52"/>
    </row>
    <row r="272" customFormat="false" ht="19.5" hidden="false" customHeight="true" outlineLevel="0" collapsed="false">
      <c r="A272" s="91"/>
      <c r="B272" s="52"/>
      <c r="C272" s="89" t="str">
        <f aca="false">IF(B272="","",IFERROR(INDEX(Teachers!$B$5:$B$304,MATCH(B272,Teachers!$A$5:$A$304,0)),"ID not found"))</f>
        <v/>
      </c>
      <c r="D272" s="85" t="str">
        <f aca="false">IF(B272="","",IFERROR(INDEX(Teachers!$E$5:$E$304,MATCH(B272,Teachers!$A$5:$A$304,0)),""))</f>
        <v/>
      </c>
      <c r="E272" s="52"/>
    </row>
    <row r="273" customFormat="false" ht="19.5" hidden="false" customHeight="true" outlineLevel="0" collapsed="false">
      <c r="A273" s="91"/>
      <c r="B273" s="52"/>
      <c r="C273" s="89" t="str">
        <f aca="false">IF(B273="","",IFERROR(INDEX(Teachers!$B$5:$B$304,MATCH(B273,Teachers!$A$5:$A$304,0)),"ID not found"))</f>
        <v/>
      </c>
      <c r="D273" s="85" t="str">
        <f aca="false">IF(B273="","",IFERROR(INDEX(Teachers!$E$5:$E$304,MATCH(B273,Teachers!$A$5:$A$304,0)),""))</f>
        <v/>
      </c>
      <c r="E273" s="52"/>
    </row>
    <row r="274" customFormat="false" ht="19.5" hidden="false" customHeight="true" outlineLevel="0" collapsed="false">
      <c r="A274" s="91"/>
      <c r="B274" s="52"/>
      <c r="C274" s="89" t="str">
        <f aca="false">IF(B274="","",IFERROR(INDEX(Teachers!$B$5:$B$304,MATCH(B274,Teachers!$A$5:$A$304,0)),"ID not found"))</f>
        <v/>
      </c>
      <c r="D274" s="85" t="str">
        <f aca="false">IF(B274="","",IFERROR(INDEX(Teachers!$E$5:$E$304,MATCH(B274,Teachers!$A$5:$A$304,0)),""))</f>
        <v/>
      </c>
      <c r="E274" s="52"/>
    </row>
    <row r="275" customFormat="false" ht="19.5" hidden="false" customHeight="true" outlineLevel="0" collapsed="false">
      <c r="A275" s="91"/>
      <c r="B275" s="52"/>
      <c r="C275" s="89" t="str">
        <f aca="false">IF(B275="","",IFERROR(INDEX(Teachers!$B$5:$B$304,MATCH(B275,Teachers!$A$5:$A$304,0)),"ID not found"))</f>
        <v/>
      </c>
      <c r="D275" s="85" t="str">
        <f aca="false">IF(B275="","",IFERROR(INDEX(Teachers!$E$5:$E$304,MATCH(B275,Teachers!$A$5:$A$304,0)),""))</f>
        <v/>
      </c>
      <c r="E275" s="52"/>
    </row>
    <row r="276" customFormat="false" ht="19.5" hidden="false" customHeight="true" outlineLevel="0" collapsed="false">
      <c r="A276" s="91"/>
      <c r="B276" s="52"/>
      <c r="C276" s="89" t="str">
        <f aca="false">IF(B276="","",IFERROR(INDEX(Teachers!$B$5:$B$304,MATCH(B276,Teachers!$A$5:$A$304,0)),"ID not found"))</f>
        <v/>
      </c>
      <c r="D276" s="85" t="str">
        <f aca="false">IF(B276="","",IFERROR(INDEX(Teachers!$E$5:$E$304,MATCH(B276,Teachers!$A$5:$A$304,0)),""))</f>
        <v/>
      </c>
      <c r="E276" s="52"/>
    </row>
    <row r="277" customFormat="false" ht="19.5" hidden="false" customHeight="true" outlineLevel="0" collapsed="false">
      <c r="A277" s="91"/>
      <c r="B277" s="52"/>
      <c r="C277" s="89" t="str">
        <f aca="false">IF(B277="","",IFERROR(INDEX(Teachers!$B$5:$B$304,MATCH(B277,Teachers!$A$5:$A$304,0)),"ID not found"))</f>
        <v/>
      </c>
      <c r="D277" s="85" t="str">
        <f aca="false">IF(B277="","",IFERROR(INDEX(Teachers!$E$5:$E$304,MATCH(B277,Teachers!$A$5:$A$304,0)),""))</f>
        <v/>
      </c>
      <c r="E277" s="52"/>
    </row>
    <row r="278" customFormat="false" ht="19.5" hidden="false" customHeight="true" outlineLevel="0" collapsed="false">
      <c r="A278" s="91"/>
      <c r="B278" s="52"/>
      <c r="C278" s="89" t="str">
        <f aca="false">IF(B278="","",IFERROR(INDEX(Teachers!$B$5:$B$304,MATCH(B278,Teachers!$A$5:$A$304,0)),"ID not found"))</f>
        <v/>
      </c>
      <c r="D278" s="85" t="str">
        <f aca="false">IF(B278="","",IFERROR(INDEX(Teachers!$E$5:$E$304,MATCH(B278,Teachers!$A$5:$A$304,0)),""))</f>
        <v/>
      </c>
      <c r="E278" s="52"/>
    </row>
    <row r="279" customFormat="false" ht="19.5" hidden="false" customHeight="true" outlineLevel="0" collapsed="false">
      <c r="A279" s="91"/>
      <c r="B279" s="52"/>
      <c r="C279" s="89" t="str">
        <f aca="false">IF(B279="","",IFERROR(INDEX(Teachers!$B$5:$B$304,MATCH(B279,Teachers!$A$5:$A$304,0)),"ID not found"))</f>
        <v/>
      </c>
      <c r="D279" s="85" t="str">
        <f aca="false">IF(B279="","",IFERROR(INDEX(Teachers!$E$5:$E$304,MATCH(B279,Teachers!$A$5:$A$304,0)),""))</f>
        <v/>
      </c>
      <c r="E279" s="52"/>
    </row>
    <row r="280" customFormat="false" ht="19.5" hidden="false" customHeight="true" outlineLevel="0" collapsed="false">
      <c r="A280" s="91"/>
      <c r="B280" s="52"/>
      <c r="C280" s="89" t="str">
        <f aca="false">IF(B280="","",IFERROR(INDEX(Teachers!$B$5:$B$304,MATCH(B280,Teachers!$A$5:$A$304,0)),"ID not found"))</f>
        <v/>
      </c>
      <c r="D280" s="85" t="str">
        <f aca="false">IF(B280="","",IFERROR(INDEX(Teachers!$E$5:$E$304,MATCH(B280,Teachers!$A$5:$A$304,0)),""))</f>
        <v/>
      </c>
      <c r="E280" s="52"/>
    </row>
    <row r="281" customFormat="false" ht="19.5" hidden="false" customHeight="true" outlineLevel="0" collapsed="false">
      <c r="A281" s="91"/>
      <c r="B281" s="52"/>
      <c r="C281" s="89" t="str">
        <f aca="false">IF(B281="","",IFERROR(INDEX(Teachers!$B$5:$B$304,MATCH(B281,Teachers!$A$5:$A$304,0)),"ID not found"))</f>
        <v/>
      </c>
      <c r="D281" s="85" t="str">
        <f aca="false">IF(B281="","",IFERROR(INDEX(Teachers!$E$5:$E$304,MATCH(B281,Teachers!$A$5:$A$304,0)),""))</f>
        <v/>
      </c>
      <c r="E281" s="52"/>
    </row>
    <row r="282" customFormat="false" ht="19.5" hidden="false" customHeight="true" outlineLevel="0" collapsed="false">
      <c r="A282" s="91"/>
      <c r="B282" s="52"/>
      <c r="C282" s="89" t="str">
        <f aca="false">IF(B282="","",IFERROR(INDEX(Teachers!$B$5:$B$304,MATCH(B282,Teachers!$A$5:$A$304,0)),"ID not found"))</f>
        <v/>
      </c>
      <c r="D282" s="85" t="str">
        <f aca="false">IF(B282="","",IFERROR(INDEX(Teachers!$E$5:$E$304,MATCH(B282,Teachers!$A$5:$A$304,0)),""))</f>
        <v/>
      </c>
      <c r="E282" s="52"/>
    </row>
    <row r="283" customFormat="false" ht="19.5" hidden="false" customHeight="true" outlineLevel="0" collapsed="false">
      <c r="A283" s="91"/>
      <c r="B283" s="52"/>
      <c r="C283" s="89" t="str">
        <f aca="false">IF(B283="","",IFERROR(INDEX(Teachers!$B$5:$B$304,MATCH(B283,Teachers!$A$5:$A$304,0)),"ID not found"))</f>
        <v/>
      </c>
      <c r="D283" s="85" t="str">
        <f aca="false">IF(B283="","",IFERROR(INDEX(Teachers!$E$5:$E$304,MATCH(B283,Teachers!$A$5:$A$304,0)),""))</f>
        <v/>
      </c>
      <c r="E283" s="52"/>
    </row>
    <row r="284" customFormat="false" ht="19.5" hidden="false" customHeight="true" outlineLevel="0" collapsed="false">
      <c r="A284" s="91"/>
      <c r="B284" s="52"/>
      <c r="C284" s="89" t="str">
        <f aca="false">IF(B284="","",IFERROR(INDEX(Teachers!$B$5:$B$304,MATCH(B284,Teachers!$A$5:$A$304,0)),"ID not found"))</f>
        <v/>
      </c>
      <c r="D284" s="85" t="str">
        <f aca="false">IF(B284="","",IFERROR(INDEX(Teachers!$E$5:$E$304,MATCH(B284,Teachers!$A$5:$A$304,0)),""))</f>
        <v/>
      </c>
      <c r="E284" s="52"/>
    </row>
    <row r="285" customFormat="false" ht="19.5" hidden="false" customHeight="true" outlineLevel="0" collapsed="false">
      <c r="A285" s="91"/>
      <c r="B285" s="52"/>
      <c r="C285" s="89" t="str">
        <f aca="false">IF(B285="","",IFERROR(INDEX(Teachers!$B$5:$B$304,MATCH(B285,Teachers!$A$5:$A$304,0)),"ID not found"))</f>
        <v/>
      </c>
      <c r="D285" s="85" t="str">
        <f aca="false">IF(B285="","",IFERROR(INDEX(Teachers!$E$5:$E$304,MATCH(B285,Teachers!$A$5:$A$304,0)),""))</f>
        <v/>
      </c>
      <c r="E285" s="52"/>
    </row>
    <row r="286" customFormat="false" ht="19.5" hidden="false" customHeight="true" outlineLevel="0" collapsed="false">
      <c r="A286" s="91"/>
      <c r="B286" s="52"/>
      <c r="C286" s="89" t="str">
        <f aca="false">IF(B286="","",IFERROR(INDEX(Teachers!$B$5:$B$304,MATCH(B286,Teachers!$A$5:$A$304,0)),"ID not found"))</f>
        <v/>
      </c>
      <c r="D286" s="85" t="str">
        <f aca="false">IF(B286="","",IFERROR(INDEX(Teachers!$E$5:$E$304,MATCH(B286,Teachers!$A$5:$A$304,0)),""))</f>
        <v/>
      </c>
      <c r="E286" s="52"/>
    </row>
    <row r="287" customFormat="false" ht="19.5" hidden="false" customHeight="true" outlineLevel="0" collapsed="false">
      <c r="A287" s="91"/>
      <c r="B287" s="52"/>
      <c r="C287" s="89" t="str">
        <f aca="false">IF(B287="","",IFERROR(INDEX(Teachers!$B$5:$B$304,MATCH(B287,Teachers!$A$5:$A$304,0)),"ID not found"))</f>
        <v/>
      </c>
      <c r="D287" s="85" t="str">
        <f aca="false">IF(B287="","",IFERROR(INDEX(Teachers!$E$5:$E$304,MATCH(B287,Teachers!$A$5:$A$304,0)),""))</f>
        <v/>
      </c>
      <c r="E287" s="52"/>
    </row>
    <row r="288" customFormat="false" ht="19.5" hidden="false" customHeight="true" outlineLevel="0" collapsed="false">
      <c r="A288" s="91"/>
      <c r="B288" s="52"/>
      <c r="C288" s="89" t="str">
        <f aca="false">IF(B288="","",IFERROR(INDEX(Teachers!$B$5:$B$304,MATCH(B288,Teachers!$A$5:$A$304,0)),"ID not found"))</f>
        <v/>
      </c>
      <c r="D288" s="85" t="str">
        <f aca="false">IF(B288="","",IFERROR(INDEX(Teachers!$E$5:$E$304,MATCH(B288,Teachers!$A$5:$A$304,0)),""))</f>
        <v/>
      </c>
      <c r="E288" s="52"/>
    </row>
    <row r="289" customFormat="false" ht="19.5" hidden="false" customHeight="true" outlineLevel="0" collapsed="false">
      <c r="A289" s="91"/>
      <c r="B289" s="52"/>
      <c r="C289" s="89" t="str">
        <f aca="false">IF(B289="","",IFERROR(INDEX(Teachers!$B$5:$B$304,MATCH(B289,Teachers!$A$5:$A$304,0)),"ID not found"))</f>
        <v/>
      </c>
      <c r="D289" s="85" t="str">
        <f aca="false">IF(B289="","",IFERROR(INDEX(Teachers!$E$5:$E$304,MATCH(B289,Teachers!$A$5:$A$304,0)),""))</f>
        <v/>
      </c>
      <c r="E289" s="52"/>
    </row>
    <row r="290" customFormat="false" ht="19.5" hidden="false" customHeight="true" outlineLevel="0" collapsed="false">
      <c r="A290" s="91"/>
      <c r="B290" s="52"/>
      <c r="C290" s="89" t="str">
        <f aca="false">IF(B290="","",IFERROR(INDEX(Teachers!$B$5:$B$304,MATCH(B290,Teachers!$A$5:$A$304,0)),"ID not found"))</f>
        <v/>
      </c>
      <c r="D290" s="85" t="str">
        <f aca="false">IF(B290="","",IFERROR(INDEX(Teachers!$E$5:$E$304,MATCH(B290,Teachers!$A$5:$A$304,0)),""))</f>
        <v/>
      </c>
      <c r="E290" s="52"/>
    </row>
    <row r="291" customFormat="false" ht="19.5" hidden="false" customHeight="true" outlineLevel="0" collapsed="false">
      <c r="A291" s="91"/>
      <c r="B291" s="52"/>
      <c r="C291" s="89" t="str">
        <f aca="false">IF(B291="","",IFERROR(INDEX(Teachers!$B$5:$B$304,MATCH(B291,Teachers!$A$5:$A$304,0)),"ID not found"))</f>
        <v/>
      </c>
      <c r="D291" s="85" t="str">
        <f aca="false">IF(B291="","",IFERROR(INDEX(Teachers!$E$5:$E$304,MATCH(B291,Teachers!$A$5:$A$304,0)),""))</f>
        <v/>
      </c>
      <c r="E291" s="52"/>
    </row>
    <row r="292" customFormat="false" ht="19.5" hidden="false" customHeight="true" outlineLevel="0" collapsed="false">
      <c r="A292" s="91"/>
      <c r="B292" s="52"/>
      <c r="C292" s="89" t="str">
        <f aca="false">IF(B292="","",IFERROR(INDEX(Teachers!$B$5:$B$304,MATCH(B292,Teachers!$A$5:$A$304,0)),"ID not found"))</f>
        <v/>
      </c>
      <c r="D292" s="85" t="str">
        <f aca="false">IF(B292="","",IFERROR(INDEX(Teachers!$E$5:$E$304,MATCH(B292,Teachers!$A$5:$A$304,0)),""))</f>
        <v/>
      </c>
      <c r="E292" s="52"/>
    </row>
    <row r="293" customFormat="false" ht="19.5" hidden="false" customHeight="true" outlineLevel="0" collapsed="false">
      <c r="A293" s="91"/>
      <c r="B293" s="52"/>
      <c r="C293" s="89" t="str">
        <f aca="false">IF(B293="","",IFERROR(INDEX(Teachers!$B$5:$B$304,MATCH(B293,Teachers!$A$5:$A$304,0)),"ID not found"))</f>
        <v/>
      </c>
      <c r="D293" s="85" t="str">
        <f aca="false">IF(B293="","",IFERROR(INDEX(Teachers!$E$5:$E$304,MATCH(B293,Teachers!$A$5:$A$304,0)),""))</f>
        <v/>
      </c>
      <c r="E293" s="52"/>
    </row>
    <row r="294" customFormat="false" ht="19.5" hidden="false" customHeight="true" outlineLevel="0" collapsed="false">
      <c r="A294" s="91"/>
      <c r="B294" s="52"/>
      <c r="C294" s="89" t="str">
        <f aca="false">IF(B294="","",IFERROR(INDEX(Teachers!$B$5:$B$304,MATCH(B294,Teachers!$A$5:$A$304,0)),"ID not found"))</f>
        <v/>
      </c>
      <c r="D294" s="85" t="str">
        <f aca="false">IF(B294="","",IFERROR(INDEX(Teachers!$E$5:$E$304,MATCH(B294,Teachers!$A$5:$A$304,0)),""))</f>
        <v/>
      </c>
      <c r="E294" s="52"/>
    </row>
    <row r="295" customFormat="false" ht="19.5" hidden="false" customHeight="true" outlineLevel="0" collapsed="false">
      <c r="A295" s="91"/>
      <c r="B295" s="52"/>
      <c r="C295" s="89" t="str">
        <f aca="false">IF(B295="","",IFERROR(INDEX(Teachers!$B$5:$B$304,MATCH(B295,Teachers!$A$5:$A$304,0)),"ID not found"))</f>
        <v/>
      </c>
      <c r="D295" s="85" t="str">
        <f aca="false">IF(B295="","",IFERROR(INDEX(Teachers!$E$5:$E$304,MATCH(B295,Teachers!$A$5:$A$304,0)),""))</f>
        <v/>
      </c>
      <c r="E295" s="52"/>
    </row>
    <row r="296" customFormat="false" ht="19.5" hidden="false" customHeight="true" outlineLevel="0" collapsed="false">
      <c r="A296" s="91"/>
      <c r="B296" s="52"/>
      <c r="C296" s="89" t="str">
        <f aca="false">IF(B296="","",IFERROR(INDEX(Teachers!$B$5:$B$304,MATCH(B296,Teachers!$A$5:$A$304,0)),"ID not found"))</f>
        <v/>
      </c>
      <c r="D296" s="85" t="str">
        <f aca="false">IF(B296="","",IFERROR(INDEX(Teachers!$E$5:$E$304,MATCH(B296,Teachers!$A$5:$A$304,0)),""))</f>
        <v/>
      </c>
      <c r="E296" s="52"/>
    </row>
    <row r="297" customFormat="false" ht="19.5" hidden="false" customHeight="true" outlineLevel="0" collapsed="false">
      <c r="A297" s="91"/>
      <c r="B297" s="52"/>
      <c r="C297" s="89" t="str">
        <f aca="false">IF(B297="","",IFERROR(INDEX(Teachers!$B$5:$B$304,MATCH(B297,Teachers!$A$5:$A$304,0)),"ID not found"))</f>
        <v/>
      </c>
      <c r="D297" s="85" t="str">
        <f aca="false">IF(B297="","",IFERROR(INDEX(Teachers!$E$5:$E$304,MATCH(B297,Teachers!$A$5:$A$304,0)),""))</f>
        <v/>
      </c>
      <c r="E297" s="52"/>
    </row>
    <row r="298" customFormat="false" ht="19.5" hidden="false" customHeight="true" outlineLevel="0" collapsed="false">
      <c r="A298" s="91"/>
      <c r="B298" s="52"/>
      <c r="C298" s="89" t="str">
        <f aca="false">IF(B298="","",IFERROR(INDEX(Teachers!$B$5:$B$304,MATCH(B298,Teachers!$A$5:$A$304,0)),"ID not found"))</f>
        <v/>
      </c>
      <c r="D298" s="85" t="str">
        <f aca="false">IF(B298="","",IFERROR(INDEX(Teachers!$E$5:$E$304,MATCH(B298,Teachers!$A$5:$A$304,0)),""))</f>
        <v/>
      </c>
      <c r="E298" s="52"/>
    </row>
    <row r="299" customFormat="false" ht="19.5" hidden="false" customHeight="true" outlineLevel="0" collapsed="false">
      <c r="A299" s="91"/>
      <c r="B299" s="52"/>
      <c r="C299" s="89" t="str">
        <f aca="false">IF(B299="","",IFERROR(INDEX(Teachers!$B$5:$B$304,MATCH(B299,Teachers!$A$5:$A$304,0)),"ID not found"))</f>
        <v/>
      </c>
      <c r="D299" s="85" t="str">
        <f aca="false">IF(B299="","",IFERROR(INDEX(Teachers!$E$5:$E$304,MATCH(B299,Teachers!$A$5:$A$304,0)),""))</f>
        <v/>
      </c>
      <c r="E299" s="52"/>
    </row>
    <row r="300" customFormat="false" ht="19.5" hidden="false" customHeight="true" outlineLevel="0" collapsed="false">
      <c r="A300" s="91"/>
      <c r="B300" s="52"/>
      <c r="C300" s="89" t="str">
        <f aca="false">IF(B300="","",IFERROR(INDEX(Teachers!$B$5:$B$304,MATCH(B300,Teachers!$A$5:$A$304,0)),"ID not found"))</f>
        <v/>
      </c>
      <c r="D300" s="85" t="str">
        <f aca="false">IF(B300="","",IFERROR(INDEX(Teachers!$E$5:$E$304,MATCH(B300,Teachers!$A$5:$A$304,0)),""))</f>
        <v/>
      </c>
      <c r="E300" s="52"/>
    </row>
    <row r="301" customFormat="false" ht="19.5" hidden="false" customHeight="true" outlineLevel="0" collapsed="false">
      <c r="A301" s="91"/>
      <c r="B301" s="52"/>
      <c r="C301" s="89" t="str">
        <f aca="false">IF(B301="","",IFERROR(INDEX(Teachers!$B$5:$B$304,MATCH(B301,Teachers!$A$5:$A$304,0)),"ID not found"))</f>
        <v/>
      </c>
      <c r="D301" s="85" t="str">
        <f aca="false">IF(B301="","",IFERROR(INDEX(Teachers!$E$5:$E$304,MATCH(B301,Teachers!$A$5:$A$304,0)),""))</f>
        <v/>
      </c>
      <c r="E301" s="52"/>
    </row>
    <row r="302" customFormat="false" ht="19.5" hidden="false" customHeight="true" outlineLevel="0" collapsed="false">
      <c r="A302" s="91"/>
      <c r="B302" s="52"/>
      <c r="C302" s="89" t="str">
        <f aca="false">IF(B302="","",IFERROR(INDEX(Teachers!$B$5:$B$304,MATCH(B302,Teachers!$A$5:$A$304,0)),"ID not found"))</f>
        <v/>
      </c>
      <c r="D302" s="85" t="str">
        <f aca="false">IF(B302="","",IFERROR(INDEX(Teachers!$E$5:$E$304,MATCH(B302,Teachers!$A$5:$A$304,0)),""))</f>
        <v/>
      </c>
      <c r="E302" s="52"/>
    </row>
    <row r="303" customFormat="false" ht="19.5" hidden="false" customHeight="true" outlineLevel="0" collapsed="false">
      <c r="A303" s="91"/>
      <c r="B303" s="52"/>
      <c r="C303" s="89" t="str">
        <f aca="false">IF(B303="","",IFERROR(INDEX(Teachers!$B$5:$B$304,MATCH(B303,Teachers!$A$5:$A$304,0)),"ID not found"))</f>
        <v/>
      </c>
      <c r="D303" s="85" t="str">
        <f aca="false">IF(B303="","",IFERROR(INDEX(Teachers!$E$5:$E$304,MATCH(B303,Teachers!$A$5:$A$304,0)),""))</f>
        <v/>
      </c>
      <c r="E303" s="52"/>
    </row>
    <row r="304" customFormat="false" ht="19.5" hidden="false" customHeight="true" outlineLevel="0" collapsed="false">
      <c r="A304" s="91"/>
      <c r="B304" s="52"/>
      <c r="C304" s="89" t="str">
        <f aca="false">IF(B304="","",IFERROR(INDEX(Teachers!$B$5:$B$304,MATCH(B304,Teachers!$A$5:$A$304,0)),"ID not found"))</f>
        <v/>
      </c>
      <c r="D304" s="85" t="str">
        <f aca="false">IF(B304="","",IFERROR(INDEX(Teachers!$E$5:$E$304,MATCH(B304,Teachers!$A$5:$A$304,0)),""))</f>
        <v/>
      </c>
      <c r="E304" s="52"/>
    </row>
  </sheetData>
  <mergeCells count="3">
    <mergeCell ref="A1:E1"/>
    <mergeCell ref="A2:E2"/>
    <mergeCell ref="A3:E3"/>
  </mergeCells>
  <conditionalFormatting sqref="A5:E304">
    <cfRule type="expression" priority="2" aboveAverage="0" equalAverage="0" bottom="0" percent="0" rank="0" text="" dxfId="0">
      <formula>AND(MOD(ROW(),2)=0,$A5&lt;&gt;"")</formula>
    </cfRule>
  </conditionalFormatting>
  <conditionalFormatting sqref="E5:E304">
    <cfRule type="expression" priority="3" aboveAverage="0" equalAverage="0" bottom="0" percent="0" rank="0" text="" dxfId="6">
      <formula>$E5="P"</formula>
    </cfRule>
    <cfRule type="expression" priority="4" aboveAverage="0" equalAverage="0" bottom="0" percent="0" rank="0" text="" dxfId="7">
      <formula>$E5="A"</formula>
    </cfRule>
    <cfRule type="expression" priority="5" aboveAverage="0" equalAverage="0" bottom="0" percent="0" rank="0" text="" dxfId="5">
      <formula>$E5="L"</formula>
    </cfRule>
    <cfRule type="expression" priority="6" aboveAverage="0" equalAverage="0" bottom="0" percent="0" rank="0" text="" dxfId="18">
      <formula>$E5="V"</formula>
    </cfRule>
  </conditionalFormatting>
  <dataValidations count="2">
    <dataValidation allowBlank="true" error="Pick a Teacher ID from the Teachers tab." errorStyle="stop" errorTitle="Invalid entry" operator="between" showDropDown="false" showErrorMessage="true" showInputMessage="false" sqref="B5:B304" type="list">
      <formula1>Teachers!$A$5:$A$304</formula1>
      <formula2>0</formula2>
    </dataValidation>
    <dataValidation allowBlank="true" error="Choose from the list." errorStyle="stop" errorTitle="Invalid entry" operator="between" showDropDown="false" showErrorMessage="true" showInputMessage="false" sqref="E5:E304" type="list">
      <formula1>"P,A,L,V"</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2A2B"/>
    <pageSetUpPr fitToPage="true"/>
  </sheetPr>
  <dimension ref="A1:K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4"/>
    <col collapsed="false" customWidth="true" hidden="false" outlineLevel="0" max="11" min="11" style="1" width="12"/>
  </cols>
  <sheetData>
    <row r="1" customFormat="false" ht="42" hidden="false" customHeight="true" outlineLevel="0" collapsed="false">
      <c r="A1" s="2" t="s">
        <v>379</v>
      </c>
      <c r="B1" s="2"/>
      <c r="C1" s="2"/>
      <c r="D1" s="2"/>
      <c r="E1" s="2"/>
      <c r="F1" s="2"/>
      <c r="G1" s="2"/>
      <c r="H1" s="2"/>
      <c r="I1" s="2"/>
      <c r="J1" s="2"/>
      <c r="K1" s="2"/>
    </row>
    <row r="2" customFormat="false" ht="19.5" hidden="false" customHeight="true" outlineLevel="0" collapsed="false">
      <c r="A2" s="3" t="s">
        <v>380</v>
      </c>
      <c r="B2" s="3"/>
      <c r="C2" s="3"/>
      <c r="D2" s="3"/>
      <c r="E2" s="3"/>
      <c r="F2" s="3"/>
      <c r="G2" s="3"/>
      <c r="H2" s="3"/>
      <c r="I2" s="3"/>
      <c r="J2" s="3"/>
      <c r="K2" s="3"/>
    </row>
    <row r="3" customFormat="false" ht="3.75" hidden="false" customHeight="true" outlineLevel="0" collapsed="false">
      <c r="A3" s="4"/>
      <c r="B3" s="4"/>
      <c r="C3" s="4"/>
      <c r="D3" s="4"/>
      <c r="E3" s="4"/>
      <c r="F3" s="4"/>
      <c r="G3" s="4"/>
      <c r="H3" s="4"/>
      <c r="I3" s="4"/>
      <c r="J3" s="4"/>
      <c r="K3" s="4"/>
    </row>
    <row r="4" customFormat="false" ht="33.75" hidden="false" customHeight="true" outlineLevel="0" collapsed="false">
      <c r="A4" s="15" t="s">
        <v>371</v>
      </c>
      <c r="B4" s="15" t="s">
        <v>377</v>
      </c>
      <c r="C4" s="15" t="s">
        <v>99</v>
      </c>
      <c r="D4" s="15" t="s">
        <v>381</v>
      </c>
      <c r="E4" s="15" t="s">
        <v>382</v>
      </c>
      <c r="F4" s="15" t="s">
        <v>383</v>
      </c>
      <c r="G4" s="15" t="s">
        <v>384</v>
      </c>
      <c r="H4" s="15" t="s">
        <v>385</v>
      </c>
      <c r="I4" s="15" t="s">
        <v>386</v>
      </c>
      <c r="J4" s="15" t="s">
        <v>387</v>
      </c>
      <c r="K4" s="15" t="s">
        <v>331</v>
      </c>
    </row>
    <row r="5" customFormat="false" ht="19.5" hidden="false" customHeight="true" outlineLevel="0" collapsed="false">
      <c r="A5" s="87" t="s">
        <v>324</v>
      </c>
      <c r="B5" s="88" t="str">
        <f aca="false">IF(A5="","",IFERROR(INDEX(Teachers!$B$5:$B$304,MATCH(A5,Teachers!$A$5:$A$304,0)),"ID not found"))</f>
        <v>John Sesay</v>
      </c>
      <c r="C5" s="83" t="str">
        <f aca="false">IF(A5="","",IFERROR(INDEX(Teachers!$E$5:$E$304,MATCH(A5,Teachers!$A$5:$A$304,0)),""))</f>
        <v>SCH01</v>
      </c>
      <c r="D5" s="100" t="n">
        <v>46296</v>
      </c>
      <c r="E5" s="94" t="n">
        <v>3000</v>
      </c>
      <c r="F5" s="94" t="n">
        <v>500</v>
      </c>
      <c r="G5" s="83" t="n">
        <f aca="false">IF(OR(A5="",D5=""),"",COUNTIFS('Staff Attendance'!$B$5:$B$304,A5,'Staff Attendance'!$E$5:$E$304,"A",'Staff Attendance'!$A$5:$A$304,"&gt;="&amp;D5,'Staff Attendance'!$A$5:$A$304,"&lt;"&amp;EDATE(D5,1)))</f>
        <v>0</v>
      </c>
      <c r="H5" s="95" t="n">
        <f aca="false">IF(G5="","",ROUND(E5/Settings!$O$5*G5,0))</f>
        <v>0</v>
      </c>
      <c r="I5" s="94" t="n">
        <v>100</v>
      </c>
      <c r="J5" s="95" t="n">
        <f aca="false">IF(OR(A5="",H5=""),"",E5+F5-H5-I5)</f>
        <v>3400</v>
      </c>
      <c r="K5" s="87" t="s">
        <v>388</v>
      </c>
    </row>
    <row r="6" customFormat="false" ht="19.5" hidden="false" customHeight="true" outlineLevel="0" collapsed="false">
      <c r="A6" s="52"/>
      <c r="B6" s="89" t="str">
        <f aca="false">IF(A6="","",IFERROR(INDEX(Teachers!$B$5:$B$304,MATCH(A6,Teachers!$A$5:$A$304,0)),"ID not found"))</f>
        <v/>
      </c>
      <c r="C6" s="85" t="str">
        <f aca="false">IF(A6="","",IFERROR(INDEX(Teachers!$E$5:$E$304,MATCH(A6,Teachers!$A$5:$A$304,0)),""))</f>
        <v/>
      </c>
      <c r="D6" s="101"/>
      <c r="E6" s="97"/>
      <c r="F6" s="97"/>
      <c r="G6" s="85" t="str">
        <f aca="false">IF(OR(A6="",D6=""),"",COUNTIFS('Staff Attendance'!$B$5:$B$304,A6,'Staff Attendance'!$E$5:$E$304,"A",'Staff Attendance'!$A$5:$A$304,"&gt;="&amp;D6,'Staff Attendance'!$A$5:$A$304,"&lt;"&amp;EDATE(D6,1)))</f>
        <v/>
      </c>
      <c r="H6" s="98" t="str">
        <f aca="false">IF(G6="","",ROUND(E6/Settings!$O$5*G6,0))</f>
        <v/>
      </c>
      <c r="I6" s="97"/>
      <c r="J6" s="98" t="str">
        <f aca="false">IF(OR(A6="",H6=""),"",E6+F6-H6-I6)</f>
        <v/>
      </c>
      <c r="K6" s="52"/>
    </row>
    <row r="7" customFormat="false" ht="19.5" hidden="false" customHeight="true" outlineLevel="0" collapsed="false">
      <c r="A7" s="52"/>
      <c r="B7" s="89" t="str">
        <f aca="false">IF(A7="","",IFERROR(INDEX(Teachers!$B$5:$B$304,MATCH(A7,Teachers!$A$5:$A$304,0)),"ID not found"))</f>
        <v/>
      </c>
      <c r="C7" s="85" t="str">
        <f aca="false">IF(A7="","",IFERROR(INDEX(Teachers!$E$5:$E$304,MATCH(A7,Teachers!$A$5:$A$304,0)),""))</f>
        <v/>
      </c>
      <c r="D7" s="101"/>
      <c r="E7" s="97"/>
      <c r="F7" s="97"/>
      <c r="G7" s="85" t="str">
        <f aca="false">IF(OR(A7="",D7=""),"",COUNTIFS('Staff Attendance'!$B$5:$B$304,A7,'Staff Attendance'!$E$5:$E$304,"A",'Staff Attendance'!$A$5:$A$304,"&gt;="&amp;D7,'Staff Attendance'!$A$5:$A$304,"&lt;"&amp;EDATE(D7,1)))</f>
        <v/>
      </c>
      <c r="H7" s="98" t="str">
        <f aca="false">IF(G7="","",ROUND(E7/Settings!$O$5*G7,0))</f>
        <v/>
      </c>
      <c r="I7" s="97"/>
      <c r="J7" s="98" t="str">
        <f aca="false">IF(OR(A7="",H7=""),"",E7+F7-H7-I7)</f>
        <v/>
      </c>
      <c r="K7" s="52"/>
    </row>
    <row r="8" customFormat="false" ht="19.5" hidden="false" customHeight="true" outlineLevel="0" collapsed="false">
      <c r="A8" s="52"/>
      <c r="B8" s="89" t="str">
        <f aca="false">IF(A8="","",IFERROR(INDEX(Teachers!$B$5:$B$304,MATCH(A8,Teachers!$A$5:$A$304,0)),"ID not found"))</f>
        <v/>
      </c>
      <c r="C8" s="85" t="str">
        <f aca="false">IF(A8="","",IFERROR(INDEX(Teachers!$E$5:$E$304,MATCH(A8,Teachers!$A$5:$A$304,0)),""))</f>
        <v/>
      </c>
      <c r="D8" s="101"/>
      <c r="E8" s="97"/>
      <c r="F8" s="97"/>
      <c r="G8" s="85" t="str">
        <f aca="false">IF(OR(A8="",D8=""),"",COUNTIFS('Staff Attendance'!$B$5:$B$304,A8,'Staff Attendance'!$E$5:$E$304,"A",'Staff Attendance'!$A$5:$A$304,"&gt;="&amp;D8,'Staff Attendance'!$A$5:$A$304,"&lt;"&amp;EDATE(D8,1)))</f>
        <v/>
      </c>
      <c r="H8" s="98" t="str">
        <f aca="false">IF(G8="","",ROUND(E8/Settings!$O$5*G8,0))</f>
        <v/>
      </c>
      <c r="I8" s="97"/>
      <c r="J8" s="98" t="str">
        <f aca="false">IF(OR(A8="",H8=""),"",E8+F8-H8-I8)</f>
        <v/>
      </c>
      <c r="K8" s="52"/>
    </row>
    <row r="9" customFormat="false" ht="19.5" hidden="false" customHeight="true" outlineLevel="0" collapsed="false">
      <c r="A9" s="52"/>
      <c r="B9" s="89" t="str">
        <f aca="false">IF(A9="","",IFERROR(INDEX(Teachers!$B$5:$B$304,MATCH(A9,Teachers!$A$5:$A$304,0)),"ID not found"))</f>
        <v/>
      </c>
      <c r="C9" s="85" t="str">
        <f aca="false">IF(A9="","",IFERROR(INDEX(Teachers!$E$5:$E$304,MATCH(A9,Teachers!$A$5:$A$304,0)),""))</f>
        <v/>
      </c>
      <c r="D9" s="101"/>
      <c r="E9" s="97"/>
      <c r="F9" s="97"/>
      <c r="G9" s="85" t="str">
        <f aca="false">IF(OR(A9="",D9=""),"",COUNTIFS('Staff Attendance'!$B$5:$B$304,A9,'Staff Attendance'!$E$5:$E$304,"A",'Staff Attendance'!$A$5:$A$304,"&gt;="&amp;D9,'Staff Attendance'!$A$5:$A$304,"&lt;"&amp;EDATE(D9,1)))</f>
        <v/>
      </c>
      <c r="H9" s="98" t="str">
        <f aca="false">IF(G9="","",ROUND(E9/Settings!$O$5*G9,0))</f>
        <v/>
      </c>
      <c r="I9" s="97"/>
      <c r="J9" s="98" t="str">
        <f aca="false">IF(OR(A9="",H9=""),"",E9+F9-H9-I9)</f>
        <v/>
      </c>
      <c r="K9" s="52"/>
    </row>
    <row r="10" customFormat="false" ht="19.5" hidden="false" customHeight="true" outlineLevel="0" collapsed="false">
      <c r="A10" s="52"/>
      <c r="B10" s="89" t="str">
        <f aca="false">IF(A10="","",IFERROR(INDEX(Teachers!$B$5:$B$304,MATCH(A10,Teachers!$A$5:$A$304,0)),"ID not found"))</f>
        <v/>
      </c>
      <c r="C10" s="85" t="str">
        <f aca="false">IF(A10="","",IFERROR(INDEX(Teachers!$E$5:$E$304,MATCH(A10,Teachers!$A$5:$A$304,0)),""))</f>
        <v/>
      </c>
      <c r="D10" s="101"/>
      <c r="E10" s="97"/>
      <c r="F10" s="97"/>
      <c r="G10" s="85" t="str">
        <f aca="false">IF(OR(A10="",D10=""),"",COUNTIFS('Staff Attendance'!$B$5:$B$304,A10,'Staff Attendance'!$E$5:$E$304,"A",'Staff Attendance'!$A$5:$A$304,"&gt;="&amp;D10,'Staff Attendance'!$A$5:$A$304,"&lt;"&amp;EDATE(D10,1)))</f>
        <v/>
      </c>
      <c r="H10" s="98" t="str">
        <f aca="false">IF(G10="","",ROUND(E10/Settings!$O$5*G10,0))</f>
        <v/>
      </c>
      <c r="I10" s="97"/>
      <c r="J10" s="98" t="str">
        <f aca="false">IF(OR(A10="",H10=""),"",E10+F10-H10-I10)</f>
        <v/>
      </c>
      <c r="K10" s="52"/>
    </row>
    <row r="11" customFormat="false" ht="19.5" hidden="false" customHeight="true" outlineLevel="0" collapsed="false">
      <c r="A11" s="52"/>
      <c r="B11" s="89" t="str">
        <f aca="false">IF(A11="","",IFERROR(INDEX(Teachers!$B$5:$B$304,MATCH(A11,Teachers!$A$5:$A$304,0)),"ID not found"))</f>
        <v/>
      </c>
      <c r="C11" s="85" t="str">
        <f aca="false">IF(A11="","",IFERROR(INDEX(Teachers!$E$5:$E$304,MATCH(A11,Teachers!$A$5:$A$304,0)),""))</f>
        <v/>
      </c>
      <c r="D11" s="101"/>
      <c r="E11" s="97"/>
      <c r="F11" s="97"/>
      <c r="G11" s="85" t="str">
        <f aca="false">IF(OR(A11="",D11=""),"",COUNTIFS('Staff Attendance'!$B$5:$B$304,A11,'Staff Attendance'!$E$5:$E$304,"A",'Staff Attendance'!$A$5:$A$304,"&gt;="&amp;D11,'Staff Attendance'!$A$5:$A$304,"&lt;"&amp;EDATE(D11,1)))</f>
        <v/>
      </c>
      <c r="H11" s="98" t="str">
        <f aca="false">IF(G11="","",ROUND(E11/Settings!$O$5*G11,0))</f>
        <v/>
      </c>
      <c r="I11" s="97"/>
      <c r="J11" s="98" t="str">
        <f aca="false">IF(OR(A11="",H11=""),"",E11+F11-H11-I11)</f>
        <v/>
      </c>
      <c r="K11" s="52"/>
    </row>
    <row r="12" customFormat="false" ht="19.5" hidden="false" customHeight="true" outlineLevel="0" collapsed="false">
      <c r="A12" s="52"/>
      <c r="B12" s="89" t="str">
        <f aca="false">IF(A12="","",IFERROR(INDEX(Teachers!$B$5:$B$304,MATCH(A12,Teachers!$A$5:$A$304,0)),"ID not found"))</f>
        <v/>
      </c>
      <c r="C12" s="85" t="str">
        <f aca="false">IF(A12="","",IFERROR(INDEX(Teachers!$E$5:$E$304,MATCH(A12,Teachers!$A$5:$A$304,0)),""))</f>
        <v/>
      </c>
      <c r="D12" s="101"/>
      <c r="E12" s="97"/>
      <c r="F12" s="97"/>
      <c r="G12" s="85" t="str">
        <f aca="false">IF(OR(A12="",D12=""),"",COUNTIFS('Staff Attendance'!$B$5:$B$304,A12,'Staff Attendance'!$E$5:$E$304,"A",'Staff Attendance'!$A$5:$A$304,"&gt;="&amp;D12,'Staff Attendance'!$A$5:$A$304,"&lt;"&amp;EDATE(D12,1)))</f>
        <v/>
      </c>
      <c r="H12" s="98" t="str">
        <f aca="false">IF(G12="","",ROUND(E12/Settings!$O$5*G12,0))</f>
        <v/>
      </c>
      <c r="I12" s="97"/>
      <c r="J12" s="98" t="str">
        <f aca="false">IF(OR(A12="",H12=""),"",E12+F12-H12-I12)</f>
        <v/>
      </c>
      <c r="K12" s="52"/>
    </row>
    <row r="13" customFormat="false" ht="19.5" hidden="false" customHeight="true" outlineLevel="0" collapsed="false">
      <c r="A13" s="52"/>
      <c r="B13" s="89" t="str">
        <f aca="false">IF(A13="","",IFERROR(INDEX(Teachers!$B$5:$B$304,MATCH(A13,Teachers!$A$5:$A$304,0)),"ID not found"))</f>
        <v/>
      </c>
      <c r="C13" s="85" t="str">
        <f aca="false">IF(A13="","",IFERROR(INDEX(Teachers!$E$5:$E$304,MATCH(A13,Teachers!$A$5:$A$304,0)),""))</f>
        <v/>
      </c>
      <c r="D13" s="101"/>
      <c r="E13" s="97"/>
      <c r="F13" s="97"/>
      <c r="G13" s="85" t="str">
        <f aca="false">IF(OR(A13="",D13=""),"",COUNTIFS('Staff Attendance'!$B$5:$B$304,A13,'Staff Attendance'!$E$5:$E$304,"A",'Staff Attendance'!$A$5:$A$304,"&gt;="&amp;D13,'Staff Attendance'!$A$5:$A$304,"&lt;"&amp;EDATE(D13,1)))</f>
        <v/>
      </c>
      <c r="H13" s="98" t="str">
        <f aca="false">IF(G13="","",ROUND(E13/Settings!$O$5*G13,0))</f>
        <v/>
      </c>
      <c r="I13" s="97"/>
      <c r="J13" s="98" t="str">
        <f aca="false">IF(OR(A13="",H13=""),"",E13+F13-H13-I13)</f>
        <v/>
      </c>
      <c r="K13" s="52"/>
    </row>
    <row r="14" customFormat="false" ht="19.5" hidden="false" customHeight="true" outlineLevel="0" collapsed="false">
      <c r="A14" s="52"/>
      <c r="B14" s="89" t="str">
        <f aca="false">IF(A14="","",IFERROR(INDEX(Teachers!$B$5:$B$304,MATCH(A14,Teachers!$A$5:$A$304,0)),"ID not found"))</f>
        <v/>
      </c>
      <c r="C14" s="85" t="str">
        <f aca="false">IF(A14="","",IFERROR(INDEX(Teachers!$E$5:$E$304,MATCH(A14,Teachers!$A$5:$A$304,0)),""))</f>
        <v/>
      </c>
      <c r="D14" s="101"/>
      <c r="E14" s="97"/>
      <c r="F14" s="97"/>
      <c r="G14" s="85" t="str">
        <f aca="false">IF(OR(A14="",D14=""),"",COUNTIFS('Staff Attendance'!$B$5:$B$304,A14,'Staff Attendance'!$E$5:$E$304,"A",'Staff Attendance'!$A$5:$A$304,"&gt;="&amp;D14,'Staff Attendance'!$A$5:$A$304,"&lt;"&amp;EDATE(D14,1)))</f>
        <v/>
      </c>
      <c r="H14" s="98" t="str">
        <f aca="false">IF(G14="","",ROUND(E14/Settings!$O$5*G14,0))</f>
        <v/>
      </c>
      <c r="I14" s="97"/>
      <c r="J14" s="98" t="str">
        <f aca="false">IF(OR(A14="",H14=""),"",E14+F14-H14-I14)</f>
        <v/>
      </c>
      <c r="K14" s="52"/>
    </row>
    <row r="15" customFormat="false" ht="19.5" hidden="false" customHeight="true" outlineLevel="0" collapsed="false">
      <c r="A15" s="52"/>
      <c r="B15" s="89" t="str">
        <f aca="false">IF(A15="","",IFERROR(INDEX(Teachers!$B$5:$B$304,MATCH(A15,Teachers!$A$5:$A$304,0)),"ID not found"))</f>
        <v/>
      </c>
      <c r="C15" s="85" t="str">
        <f aca="false">IF(A15="","",IFERROR(INDEX(Teachers!$E$5:$E$304,MATCH(A15,Teachers!$A$5:$A$304,0)),""))</f>
        <v/>
      </c>
      <c r="D15" s="101"/>
      <c r="E15" s="97"/>
      <c r="F15" s="97"/>
      <c r="G15" s="85" t="str">
        <f aca="false">IF(OR(A15="",D15=""),"",COUNTIFS('Staff Attendance'!$B$5:$B$304,A15,'Staff Attendance'!$E$5:$E$304,"A",'Staff Attendance'!$A$5:$A$304,"&gt;="&amp;D15,'Staff Attendance'!$A$5:$A$304,"&lt;"&amp;EDATE(D15,1)))</f>
        <v/>
      </c>
      <c r="H15" s="98" t="str">
        <f aca="false">IF(G15="","",ROUND(E15/Settings!$O$5*G15,0))</f>
        <v/>
      </c>
      <c r="I15" s="97"/>
      <c r="J15" s="98" t="str">
        <f aca="false">IF(OR(A15="",H15=""),"",E15+F15-H15-I15)</f>
        <v/>
      </c>
      <c r="K15" s="52"/>
    </row>
    <row r="16" customFormat="false" ht="19.5" hidden="false" customHeight="true" outlineLevel="0" collapsed="false">
      <c r="A16" s="52"/>
      <c r="B16" s="89" t="str">
        <f aca="false">IF(A16="","",IFERROR(INDEX(Teachers!$B$5:$B$304,MATCH(A16,Teachers!$A$5:$A$304,0)),"ID not found"))</f>
        <v/>
      </c>
      <c r="C16" s="85" t="str">
        <f aca="false">IF(A16="","",IFERROR(INDEX(Teachers!$E$5:$E$304,MATCH(A16,Teachers!$A$5:$A$304,0)),""))</f>
        <v/>
      </c>
      <c r="D16" s="101"/>
      <c r="E16" s="97"/>
      <c r="F16" s="97"/>
      <c r="G16" s="85" t="str">
        <f aca="false">IF(OR(A16="",D16=""),"",COUNTIFS('Staff Attendance'!$B$5:$B$304,A16,'Staff Attendance'!$E$5:$E$304,"A",'Staff Attendance'!$A$5:$A$304,"&gt;="&amp;D16,'Staff Attendance'!$A$5:$A$304,"&lt;"&amp;EDATE(D16,1)))</f>
        <v/>
      </c>
      <c r="H16" s="98" t="str">
        <f aca="false">IF(G16="","",ROUND(E16/Settings!$O$5*G16,0))</f>
        <v/>
      </c>
      <c r="I16" s="97"/>
      <c r="J16" s="98" t="str">
        <f aca="false">IF(OR(A16="",H16=""),"",E16+F16-H16-I16)</f>
        <v/>
      </c>
      <c r="K16" s="52"/>
    </row>
    <row r="17" customFormat="false" ht="19.5" hidden="false" customHeight="true" outlineLevel="0" collapsed="false">
      <c r="A17" s="52"/>
      <c r="B17" s="89" t="str">
        <f aca="false">IF(A17="","",IFERROR(INDEX(Teachers!$B$5:$B$304,MATCH(A17,Teachers!$A$5:$A$304,0)),"ID not found"))</f>
        <v/>
      </c>
      <c r="C17" s="85" t="str">
        <f aca="false">IF(A17="","",IFERROR(INDEX(Teachers!$E$5:$E$304,MATCH(A17,Teachers!$A$5:$A$304,0)),""))</f>
        <v/>
      </c>
      <c r="D17" s="101"/>
      <c r="E17" s="97"/>
      <c r="F17" s="97"/>
      <c r="G17" s="85" t="str">
        <f aca="false">IF(OR(A17="",D17=""),"",COUNTIFS('Staff Attendance'!$B$5:$B$304,A17,'Staff Attendance'!$E$5:$E$304,"A",'Staff Attendance'!$A$5:$A$304,"&gt;="&amp;D17,'Staff Attendance'!$A$5:$A$304,"&lt;"&amp;EDATE(D17,1)))</f>
        <v/>
      </c>
      <c r="H17" s="98" t="str">
        <f aca="false">IF(G17="","",ROUND(E17/Settings!$O$5*G17,0))</f>
        <v/>
      </c>
      <c r="I17" s="97"/>
      <c r="J17" s="98" t="str">
        <f aca="false">IF(OR(A17="",H17=""),"",E17+F17-H17-I17)</f>
        <v/>
      </c>
      <c r="K17" s="52"/>
    </row>
    <row r="18" customFormat="false" ht="19.5" hidden="false" customHeight="true" outlineLevel="0" collapsed="false">
      <c r="A18" s="52"/>
      <c r="B18" s="89" t="str">
        <f aca="false">IF(A18="","",IFERROR(INDEX(Teachers!$B$5:$B$304,MATCH(A18,Teachers!$A$5:$A$304,0)),"ID not found"))</f>
        <v/>
      </c>
      <c r="C18" s="85" t="str">
        <f aca="false">IF(A18="","",IFERROR(INDEX(Teachers!$E$5:$E$304,MATCH(A18,Teachers!$A$5:$A$304,0)),""))</f>
        <v/>
      </c>
      <c r="D18" s="101"/>
      <c r="E18" s="97"/>
      <c r="F18" s="97"/>
      <c r="G18" s="85" t="str">
        <f aca="false">IF(OR(A18="",D18=""),"",COUNTIFS('Staff Attendance'!$B$5:$B$304,A18,'Staff Attendance'!$E$5:$E$304,"A",'Staff Attendance'!$A$5:$A$304,"&gt;="&amp;D18,'Staff Attendance'!$A$5:$A$304,"&lt;"&amp;EDATE(D18,1)))</f>
        <v/>
      </c>
      <c r="H18" s="98" t="str">
        <f aca="false">IF(G18="","",ROUND(E18/Settings!$O$5*G18,0))</f>
        <v/>
      </c>
      <c r="I18" s="97"/>
      <c r="J18" s="98" t="str">
        <f aca="false">IF(OR(A18="",H18=""),"",E18+F18-H18-I18)</f>
        <v/>
      </c>
      <c r="K18" s="52"/>
    </row>
    <row r="19" customFormat="false" ht="19.5" hidden="false" customHeight="true" outlineLevel="0" collapsed="false">
      <c r="A19" s="52"/>
      <c r="B19" s="89" t="str">
        <f aca="false">IF(A19="","",IFERROR(INDEX(Teachers!$B$5:$B$304,MATCH(A19,Teachers!$A$5:$A$304,0)),"ID not found"))</f>
        <v/>
      </c>
      <c r="C19" s="85" t="str">
        <f aca="false">IF(A19="","",IFERROR(INDEX(Teachers!$E$5:$E$304,MATCH(A19,Teachers!$A$5:$A$304,0)),""))</f>
        <v/>
      </c>
      <c r="D19" s="101"/>
      <c r="E19" s="97"/>
      <c r="F19" s="97"/>
      <c r="G19" s="85" t="str">
        <f aca="false">IF(OR(A19="",D19=""),"",COUNTIFS('Staff Attendance'!$B$5:$B$304,A19,'Staff Attendance'!$E$5:$E$304,"A",'Staff Attendance'!$A$5:$A$304,"&gt;="&amp;D19,'Staff Attendance'!$A$5:$A$304,"&lt;"&amp;EDATE(D19,1)))</f>
        <v/>
      </c>
      <c r="H19" s="98" t="str">
        <f aca="false">IF(G19="","",ROUND(E19/Settings!$O$5*G19,0))</f>
        <v/>
      </c>
      <c r="I19" s="97"/>
      <c r="J19" s="98" t="str">
        <f aca="false">IF(OR(A19="",H19=""),"",E19+F19-H19-I19)</f>
        <v/>
      </c>
      <c r="K19" s="52"/>
    </row>
    <row r="20" customFormat="false" ht="19.5" hidden="false" customHeight="true" outlineLevel="0" collapsed="false">
      <c r="A20" s="52"/>
      <c r="B20" s="89" t="str">
        <f aca="false">IF(A20="","",IFERROR(INDEX(Teachers!$B$5:$B$304,MATCH(A20,Teachers!$A$5:$A$304,0)),"ID not found"))</f>
        <v/>
      </c>
      <c r="C20" s="85" t="str">
        <f aca="false">IF(A20="","",IFERROR(INDEX(Teachers!$E$5:$E$304,MATCH(A20,Teachers!$A$5:$A$304,0)),""))</f>
        <v/>
      </c>
      <c r="D20" s="101"/>
      <c r="E20" s="97"/>
      <c r="F20" s="97"/>
      <c r="G20" s="85" t="str">
        <f aca="false">IF(OR(A20="",D20=""),"",COUNTIFS('Staff Attendance'!$B$5:$B$304,A20,'Staff Attendance'!$E$5:$E$304,"A",'Staff Attendance'!$A$5:$A$304,"&gt;="&amp;D20,'Staff Attendance'!$A$5:$A$304,"&lt;"&amp;EDATE(D20,1)))</f>
        <v/>
      </c>
      <c r="H20" s="98" t="str">
        <f aca="false">IF(G20="","",ROUND(E20/Settings!$O$5*G20,0))</f>
        <v/>
      </c>
      <c r="I20" s="97"/>
      <c r="J20" s="98" t="str">
        <f aca="false">IF(OR(A20="",H20=""),"",E20+F20-H20-I20)</f>
        <v/>
      </c>
      <c r="K20" s="52"/>
    </row>
    <row r="21" customFormat="false" ht="19.5" hidden="false" customHeight="true" outlineLevel="0" collapsed="false">
      <c r="A21" s="52"/>
      <c r="B21" s="89" t="str">
        <f aca="false">IF(A21="","",IFERROR(INDEX(Teachers!$B$5:$B$304,MATCH(A21,Teachers!$A$5:$A$304,0)),"ID not found"))</f>
        <v/>
      </c>
      <c r="C21" s="85" t="str">
        <f aca="false">IF(A21="","",IFERROR(INDEX(Teachers!$E$5:$E$304,MATCH(A21,Teachers!$A$5:$A$304,0)),""))</f>
        <v/>
      </c>
      <c r="D21" s="101"/>
      <c r="E21" s="97"/>
      <c r="F21" s="97"/>
      <c r="G21" s="85" t="str">
        <f aca="false">IF(OR(A21="",D21=""),"",COUNTIFS('Staff Attendance'!$B$5:$B$304,A21,'Staff Attendance'!$E$5:$E$304,"A",'Staff Attendance'!$A$5:$A$304,"&gt;="&amp;D21,'Staff Attendance'!$A$5:$A$304,"&lt;"&amp;EDATE(D21,1)))</f>
        <v/>
      </c>
      <c r="H21" s="98" t="str">
        <f aca="false">IF(G21="","",ROUND(E21/Settings!$O$5*G21,0))</f>
        <v/>
      </c>
      <c r="I21" s="97"/>
      <c r="J21" s="98" t="str">
        <f aca="false">IF(OR(A21="",H21=""),"",E21+F21-H21-I21)</f>
        <v/>
      </c>
      <c r="K21" s="52"/>
    </row>
    <row r="22" customFormat="false" ht="19.5" hidden="false" customHeight="true" outlineLevel="0" collapsed="false">
      <c r="A22" s="52"/>
      <c r="B22" s="89" t="str">
        <f aca="false">IF(A22="","",IFERROR(INDEX(Teachers!$B$5:$B$304,MATCH(A22,Teachers!$A$5:$A$304,0)),"ID not found"))</f>
        <v/>
      </c>
      <c r="C22" s="85" t="str">
        <f aca="false">IF(A22="","",IFERROR(INDEX(Teachers!$E$5:$E$304,MATCH(A22,Teachers!$A$5:$A$304,0)),""))</f>
        <v/>
      </c>
      <c r="D22" s="101"/>
      <c r="E22" s="97"/>
      <c r="F22" s="97"/>
      <c r="G22" s="85" t="str">
        <f aca="false">IF(OR(A22="",D22=""),"",COUNTIFS('Staff Attendance'!$B$5:$B$304,A22,'Staff Attendance'!$E$5:$E$304,"A",'Staff Attendance'!$A$5:$A$304,"&gt;="&amp;D22,'Staff Attendance'!$A$5:$A$304,"&lt;"&amp;EDATE(D22,1)))</f>
        <v/>
      </c>
      <c r="H22" s="98" t="str">
        <f aca="false">IF(G22="","",ROUND(E22/Settings!$O$5*G22,0))</f>
        <v/>
      </c>
      <c r="I22" s="97"/>
      <c r="J22" s="98" t="str">
        <f aca="false">IF(OR(A22="",H22=""),"",E22+F22-H22-I22)</f>
        <v/>
      </c>
      <c r="K22" s="52"/>
    </row>
    <row r="23" customFormat="false" ht="19.5" hidden="false" customHeight="true" outlineLevel="0" collapsed="false">
      <c r="A23" s="52"/>
      <c r="B23" s="89" t="str">
        <f aca="false">IF(A23="","",IFERROR(INDEX(Teachers!$B$5:$B$304,MATCH(A23,Teachers!$A$5:$A$304,0)),"ID not found"))</f>
        <v/>
      </c>
      <c r="C23" s="85" t="str">
        <f aca="false">IF(A23="","",IFERROR(INDEX(Teachers!$E$5:$E$304,MATCH(A23,Teachers!$A$5:$A$304,0)),""))</f>
        <v/>
      </c>
      <c r="D23" s="101"/>
      <c r="E23" s="97"/>
      <c r="F23" s="97"/>
      <c r="G23" s="85" t="str">
        <f aca="false">IF(OR(A23="",D23=""),"",COUNTIFS('Staff Attendance'!$B$5:$B$304,A23,'Staff Attendance'!$E$5:$E$304,"A",'Staff Attendance'!$A$5:$A$304,"&gt;="&amp;D23,'Staff Attendance'!$A$5:$A$304,"&lt;"&amp;EDATE(D23,1)))</f>
        <v/>
      </c>
      <c r="H23" s="98" t="str">
        <f aca="false">IF(G23="","",ROUND(E23/Settings!$O$5*G23,0))</f>
        <v/>
      </c>
      <c r="I23" s="97"/>
      <c r="J23" s="98" t="str">
        <f aca="false">IF(OR(A23="",H23=""),"",E23+F23-H23-I23)</f>
        <v/>
      </c>
      <c r="K23" s="52"/>
    </row>
    <row r="24" customFormat="false" ht="19.5" hidden="false" customHeight="true" outlineLevel="0" collapsed="false">
      <c r="A24" s="52"/>
      <c r="B24" s="89" t="str">
        <f aca="false">IF(A24="","",IFERROR(INDEX(Teachers!$B$5:$B$304,MATCH(A24,Teachers!$A$5:$A$304,0)),"ID not found"))</f>
        <v/>
      </c>
      <c r="C24" s="85" t="str">
        <f aca="false">IF(A24="","",IFERROR(INDEX(Teachers!$E$5:$E$304,MATCH(A24,Teachers!$A$5:$A$304,0)),""))</f>
        <v/>
      </c>
      <c r="D24" s="101"/>
      <c r="E24" s="97"/>
      <c r="F24" s="97"/>
      <c r="G24" s="85" t="str">
        <f aca="false">IF(OR(A24="",D24=""),"",COUNTIFS('Staff Attendance'!$B$5:$B$304,A24,'Staff Attendance'!$E$5:$E$304,"A",'Staff Attendance'!$A$5:$A$304,"&gt;="&amp;D24,'Staff Attendance'!$A$5:$A$304,"&lt;"&amp;EDATE(D24,1)))</f>
        <v/>
      </c>
      <c r="H24" s="98" t="str">
        <f aca="false">IF(G24="","",ROUND(E24/Settings!$O$5*G24,0))</f>
        <v/>
      </c>
      <c r="I24" s="97"/>
      <c r="J24" s="98" t="str">
        <f aca="false">IF(OR(A24="",H24=""),"",E24+F24-H24-I24)</f>
        <v/>
      </c>
      <c r="K24" s="52"/>
    </row>
    <row r="25" customFormat="false" ht="19.5" hidden="false" customHeight="true" outlineLevel="0" collapsed="false">
      <c r="A25" s="52"/>
      <c r="B25" s="89" t="str">
        <f aca="false">IF(A25="","",IFERROR(INDEX(Teachers!$B$5:$B$304,MATCH(A25,Teachers!$A$5:$A$304,0)),"ID not found"))</f>
        <v/>
      </c>
      <c r="C25" s="85" t="str">
        <f aca="false">IF(A25="","",IFERROR(INDEX(Teachers!$E$5:$E$304,MATCH(A25,Teachers!$A$5:$A$304,0)),""))</f>
        <v/>
      </c>
      <c r="D25" s="101"/>
      <c r="E25" s="97"/>
      <c r="F25" s="97"/>
      <c r="G25" s="85" t="str">
        <f aca="false">IF(OR(A25="",D25=""),"",COUNTIFS('Staff Attendance'!$B$5:$B$304,A25,'Staff Attendance'!$E$5:$E$304,"A",'Staff Attendance'!$A$5:$A$304,"&gt;="&amp;D25,'Staff Attendance'!$A$5:$A$304,"&lt;"&amp;EDATE(D25,1)))</f>
        <v/>
      </c>
      <c r="H25" s="98" t="str">
        <f aca="false">IF(G25="","",ROUND(E25/Settings!$O$5*G25,0))</f>
        <v/>
      </c>
      <c r="I25" s="97"/>
      <c r="J25" s="98" t="str">
        <f aca="false">IF(OR(A25="",H25=""),"",E25+F25-H25-I25)</f>
        <v/>
      </c>
      <c r="K25" s="52"/>
    </row>
    <row r="26" customFormat="false" ht="19.5" hidden="false" customHeight="true" outlineLevel="0" collapsed="false">
      <c r="A26" s="52"/>
      <c r="B26" s="89" t="str">
        <f aca="false">IF(A26="","",IFERROR(INDEX(Teachers!$B$5:$B$304,MATCH(A26,Teachers!$A$5:$A$304,0)),"ID not found"))</f>
        <v/>
      </c>
      <c r="C26" s="85" t="str">
        <f aca="false">IF(A26="","",IFERROR(INDEX(Teachers!$E$5:$E$304,MATCH(A26,Teachers!$A$5:$A$304,0)),""))</f>
        <v/>
      </c>
      <c r="D26" s="101"/>
      <c r="E26" s="97"/>
      <c r="F26" s="97"/>
      <c r="G26" s="85" t="str">
        <f aca="false">IF(OR(A26="",D26=""),"",COUNTIFS('Staff Attendance'!$B$5:$B$304,A26,'Staff Attendance'!$E$5:$E$304,"A",'Staff Attendance'!$A$5:$A$304,"&gt;="&amp;D26,'Staff Attendance'!$A$5:$A$304,"&lt;"&amp;EDATE(D26,1)))</f>
        <v/>
      </c>
      <c r="H26" s="98" t="str">
        <f aca="false">IF(G26="","",ROUND(E26/Settings!$O$5*G26,0))</f>
        <v/>
      </c>
      <c r="I26" s="97"/>
      <c r="J26" s="98" t="str">
        <f aca="false">IF(OR(A26="",H26=""),"",E26+F26-H26-I26)</f>
        <v/>
      </c>
      <c r="K26" s="52"/>
    </row>
    <row r="27" customFormat="false" ht="19.5" hidden="false" customHeight="true" outlineLevel="0" collapsed="false">
      <c r="A27" s="52"/>
      <c r="B27" s="89" t="str">
        <f aca="false">IF(A27="","",IFERROR(INDEX(Teachers!$B$5:$B$304,MATCH(A27,Teachers!$A$5:$A$304,0)),"ID not found"))</f>
        <v/>
      </c>
      <c r="C27" s="85" t="str">
        <f aca="false">IF(A27="","",IFERROR(INDEX(Teachers!$E$5:$E$304,MATCH(A27,Teachers!$A$5:$A$304,0)),""))</f>
        <v/>
      </c>
      <c r="D27" s="101"/>
      <c r="E27" s="97"/>
      <c r="F27" s="97"/>
      <c r="G27" s="85" t="str">
        <f aca="false">IF(OR(A27="",D27=""),"",COUNTIFS('Staff Attendance'!$B$5:$B$304,A27,'Staff Attendance'!$E$5:$E$304,"A",'Staff Attendance'!$A$5:$A$304,"&gt;="&amp;D27,'Staff Attendance'!$A$5:$A$304,"&lt;"&amp;EDATE(D27,1)))</f>
        <v/>
      </c>
      <c r="H27" s="98" t="str">
        <f aca="false">IF(G27="","",ROUND(E27/Settings!$O$5*G27,0))</f>
        <v/>
      </c>
      <c r="I27" s="97"/>
      <c r="J27" s="98" t="str">
        <f aca="false">IF(OR(A27="",H27=""),"",E27+F27-H27-I27)</f>
        <v/>
      </c>
      <c r="K27" s="52"/>
    </row>
    <row r="28" customFormat="false" ht="19.5" hidden="false" customHeight="true" outlineLevel="0" collapsed="false">
      <c r="A28" s="52"/>
      <c r="B28" s="89" t="str">
        <f aca="false">IF(A28="","",IFERROR(INDEX(Teachers!$B$5:$B$304,MATCH(A28,Teachers!$A$5:$A$304,0)),"ID not found"))</f>
        <v/>
      </c>
      <c r="C28" s="85" t="str">
        <f aca="false">IF(A28="","",IFERROR(INDEX(Teachers!$E$5:$E$304,MATCH(A28,Teachers!$A$5:$A$304,0)),""))</f>
        <v/>
      </c>
      <c r="D28" s="101"/>
      <c r="E28" s="97"/>
      <c r="F28" s="97"/>
      <c r="G28" s="85" t="str">
        <f aca="false">IF(OR(A28="",D28=""),"",COUNTIFS('Staff Attendance'!$B$5:$B$304,A28,'Staff Attendance'!$E$5:$E$304,"A",'Staff Attendance'!$A$5:$A$304,"&gt;="&amp;D28,'Staff Attendance'!$A$5:$A$304,"&lt;"&amp;EDATE(D28,1)))</f>
        <v/>
      </c>
      <c r="H28" s="98" t="str">
        <f aca="false">IF(G28="","",ROUND(E28/Settings!$O$5*G28,0))</f>
        <v/>
      </c>
      <c r="I28" s="97"/>
      <c r="J28" s="98" t="str">
        <f aca="false">IF(OR(A28="",H28=""),"",E28+F28-H28-I28)</f>
        <v/>
      </c>
      <c r="K28" s="52"/>
    </row>
    <row r="29" customFormat="false" ht="19.5" hidden="false" customHeight="true" outlineLevel="0" collapsed="false">
      <c r="A29" s="52"/>
      <c r="B29" s="89" t="str">
        <f aca="false">IF(A29="","",IFERROR(INDEX(Teachers!$B$5:$B$304,MATCH(A29,Teachers!$A$5:$A$304,0)),"ID not found"))</f>
        <v/>
      </c>
      <c r="C29" s="85" t="str">
        <f aca="false">IF(A29="","",IFERROR(INDEX(Teachers!$E$5:$E$304,MATCH(A29,Teachers!$A$5:$A$304,0)),""))</f>
        <v/>
      </c>
      <c r="D29" s="101"/>
      <c r="E29" s="97"/>
      <c r="F29" s="97"/>
      <c r="G29" s="85" t="str">
        <f aca="false">IF(OR(A29="",D29=""),"",COUNTIFS('Staff Attendance'!$B$5:$B$304,A29,'Staff Attendance'!$E$5:$E$304,"A",'Staff Attendance'!$A$5:$A$304,"&gt;="&amp;D29,'Staff Attendance'!$A$5:$A$304,"&lt;"&amp;EDATE(D29,1)))</f>
        <v/>
      </c>
      <c r="H29" s="98" t="str">
        <f aca="false">IF(G29="","",ROUND(E29/Settings!$O$5*G29,0))</f>
        <v/>
      </c>
      <c r="I29" s="97"/>
      <c r="J29" s="98" t="str">
        <f aca="false">IF(OR(A29="",H29=""),"",E29+F29-H29-I29)</f>
        <v/>
      </c>
      <c r="K29" s="52"/>
    </row>
    <row r="30" customFormat="false" ht="19.5" hidden="false" customHeight="true" outlineLevel="0" collapsed="false">
      <c r="A30" s="52"/>
      <c r="B30" s="89" t="str">
        <f aca="false">IF(A30="","",IFERROR(INDEX(Teachers!$B$5:$B$304,MATCH(A30,Teachers!$A$5:$A$304,0)),"ID not found"))</f>
        <v/>
      </c>
      <c r="C30" s="85" t="str">
        <f aca="false">IF(A30="","",IFERROR(INDEX(Teachers!$E$5:$E$304,MATCH(A30,Teachers!$A$5:$A$304,0)),""))</f>
        <v/>
      </c>
      <c r="D30" s="101"/>
      <c r="E30" s="97"/>
      <c r="F30" s="97"/>
      <c r="G30" s="85" t="str">
        <f aca="false">IF(OR(A30="",D30=""),"",COUNTIFS('Staff Attendance'!$B$5:$B$304,A30,'Staff Attendance'!$E$5:$E$304,"A",'Staff Attendance'!$A$5:$A$304,"&gt;="&amp;D30,'Staff Attendance'!$A$5:$A$304,"&lt;"&amp;EDATE(D30,1)))</f>
        <v/>
      </c>
      <c r="H30" s="98" t="str">
        <f aca="false">IF(G30="","",ROUND(E30/Settings!$O$5*G30,0))</f>
        <v/>
      </c>
      <c r="I30" s="97"/>
      <c r="J30" s="98" t="str">
        <f aca="false">IF(OR(A30="",H30=""),"",E30+F30-H30-I30)</f>
        <v/>
      </c>
      <c r="K30" s="52"/>
    </row>
    <row r="31" customFormat="false" ht="19.5" hidden="false" customHeight="true" outlineLevel="0" collapsed="false">
      <c r="A31" s="52"/>
      <c r="B31" s="89" t="str">
        <f aca="false">IF(A31="","",IFERROR(INDEX(Teachers!$B$5:$B$304,MATCH(A31,Teachers!$A$5:$A$304,0)),"ID not found"))</f>
        <v/>
      </c>
      <c r="C31" s="85" t="str">
        <f aca="false">IF(A31="","",IFERROR(INDEX(Teachers!$E$5:$E$304,MATCH(A31,Teachers!$A$5:$A$304,0)),""))</f>
        <v/>
      </c>
      <c r="D31" s="101"/>
      <c r="E31" s="97"/>
      <c r="F31" s="97"/>
      <c r="G31" s="85" t="str">
        <f aca="false">IF(OR(A31="",D31=""),"",COUNTIFS('Staff Attendance'!$B$5:$B$304,A31,'Staff Attendance'!$E$5:$E$304,"A",'Staff Attendance'!$A$5:$A$304,"&gt;="&amp;D31,'Staff Attendance'!$A$5:$A$304,"&lt;"&amp;EDATE(D31,1)))</f>
        <v/>
      </c>
      <c r="H31" s="98" t="str">
        <f aca="false">IF(G31="","",ROUND(E31/Settings!$O$5*G31,0))</f>
        <v/>
      </c>
      <c r="I31" s="97"/>
      <c r="J31" s="98" t="str">
        <f aca="false">IF(OR(A31="",H31=""),"",E31+F31-H31-I31)</f>
        <v/>
      </c>
      <c r="K31" s="52"/>
    </row>
    <row r="32" customFormat="false" ht="19.5" hidden="false" customHeight="true" outlineLevel="0" collapsed="false">
      <c r="A32" s="52"/>
      <c r="B32" s="89" t="str">
        <f aca="false">IF(A32="","",IFERROR(INDEX(Teachers!$B$5:$B$304,MATCH(A32,Teachers!$A$5:$A$304,0)),"ID not found"))</f>
        <v/>
      </c>
      <c r="C32" s="85" t="str">
        <f aca="false">IF(A32="","",IFERROR(INDEX(Teachers!$E$5:$E$304,MATCH(A32,Teachers!$A$5:$A$304,0)),""))</f>
        <v/>
      </c>
      <c r="D32" s="101"/>
      <c r="E32" s="97"/>
      <c r="F32" s="97"/>
      <c r="G32" s="85" t="str">
        <f aca="false">IF(OR(A32="",D32=""),"",COUNTIFS('Staff Attendance'!$B$5:$B$304,A32,'Staff Attendance'!$E$5:$E$304,"A",'Staff Attendance'!$A$5:$A$304,"&gt;="&amp;D32,'Staff Attendance'!$A$5:$A$304,"&lt;"&amp;EDATE(D32,1)))</f>
        <v/>
      </c>
      <c r="H32" s="98" t="str">
        <f aca="false">IF(G32="","",ROUND(E32/Settings!$O$5*G32,0))</f>
        <v/>
      </c>
      <c r="I32" s="97"/>
      <c r="J32" s="98" t="str">
        <f aca="false">IF(OR(A32="",H32=""),"",E32+F32-H32-I32)</f>
        <v/>
      </c>
      <c r="K32" s="52"/>
    </row>
    <row r="33" customFormat="false" ht="19.5" hidden="false" customHeight="true" outlineLevel="0" collapsed="false">
      <c r="A33" s="52"/>
      <c r="B33" s="89" t="str">
        <f aca="false">IF(A33="","",IFERROR(INDEX(Teachers!$B$5:$B$304,MATCH(A33,Teachers!$A$5:$A$304,0)),"ID not found"))</f>
        <v/>
      </c>
      <c r="C33" s="85" t="str">
        <f aca="false">IF(A33="","",IFERROR(INDEX(Teachers!$E$5:$E$304,MATCH(A33,Teachers!$A$5:$A$304,0)),""))</f>
        <v/>
      </c>
      <c r="D33" s="101"/>
      <c r="E33" s="97"/>
      <c r="F33" s="97"/>
      <c r="G33" s="85" t="str">
        <f aca="false">IF(OR(A33="",D33=""),"",COUNTIFS('Staff Attendance'!$B$5:$B$304,A33,'Staff Attendance'!$E$5:$E$304,"A",'Staff Attendance'!$A$5:$A$304,"&gt;="&amp;D33,'Staff Attendance'!$A$5:$A$304,"&lt;"&amp;EDATE(D33,1)))</f>
        <v/>
      </c>
      <c r="H33" s="98" t="str">
        <f aca="false">IF(G33="","",ROUND(E33/Settings!$O$5*G33,0))</f>
        <v/>
      </c>
      <c r="I33" s="97"/>
      <c r="J33" s="98" t="str">
        <f aca="false">IF(OR(A33="",H33=""),"",E33+F33-H33-I33)</f>
        <v/>
      </c>
      <c r="K33" s="52"/>
    </row>
    <row r="34" customFormat="false" ht="19.5" hidden="false" customHeight="true" outlineLevel="0" collapsed="false">
      <c r="A34" s="52"/>
      <c r="B34" s="89" t="str">
        <f aca="false">IF(A34="","",IFERROR(INDEX(Teachers!$B$5:$B$304,MATCH(A34,Teachers!$A$5:$A$304,0)),"ID not found"))</f>
        <v/>
      </c>
      <c r="C34" s="85" t="str">
        <f aca="false">IF(A34="","",IFERROR(INDEX(Teachers!$E$5:$E$304,MATCH(A34,Teachers!$A$5:$A$304,0)),""))</f>
        <v/>
      </c>
      <c r="D34" s="101"/>
      <c r="E34" s="97"/>
      <c r="F34" s="97"/>
      <c r="G34" s="85" t="str">
        <f aca="false">IF(OR(A34="",D34=""),"",COUNTIFS('Staff Attendance'!$B$5:$B$304,A34,'Staff Attendance'!$E$5:$E$304,"A",'Staff Attendance'!$A$5:$A$304,"&gt;="&amp;D34,'Staff Attendance'!$A$5:$A$304,"&lt;"&amp;EDATE(D34,1)))</f>
        <v/>
      </c>
      <c r="H34" s="98" t="str">
        <f aca="false">IF(G34="","",ROUND(E34/Settings!$O$5*G34,0))</f>
        <v/>
      </c>
      <c r="I34" s="97"/>
      <c r="J34" s="98" t="str">
        <f aca="false">IF(OR(A34="",H34=""),"",E34+F34-H34-I34)</f>
        <v/>
      </c>
      <c r="K34" s="52"/>
    </row>
    <row r="35" customFormat="false" ht="19.5" hidden="false" customHeight="true" outlineLevel="0" collapsed="false">
      <c r="A35" s="52"/>
      <c r="B35" s="89" t="str">
        <f aca="false">IF(A35="","",IFERROR(INDEX(Teachers!$B$5:$B$304,MATCH(A35,Teachers!$A$5:$A$304,0)),"ID not found"))</f>
        <v/>
      </c>
      <c r="C35" s="85" t="str">
        <f aca="false">IF(A35="","",IFERROR(INDEX(Teachers!$E$5:$E$304,MATCH(A35,Teachers!$A$5:$A$304,0)),""))</f>
        <v/>
      </c>
      <c r="D35" s="101"/>
      <c r="E35" s="97"/>
      <c r="F35" s="97"/>
      <c r="G35" s="85" t="str">
        <f aca="false">IF(OR(A35="",D35=""),"",COUNTIFS('Staff Attendance'!$B$5:$B$304,A35,'Staff Attendance'!$E$5:$E$304,"A",'Staff Attendance'!$A$5:$A$304,"&gt;="&amp;D35,'Staff Attendance'!$A$5:$A$304,"&lt;"&amp;EDATE(D35,1)))</f>
        <v/>
      </c>
      <c r="H35" s="98" t="str">
        <f aca="false">IF(G35="","",ROUND(E35/Settings!$O$5*G35,0))</f>
        <v/>
      </c>
      <c r="I35" s="97"/>
      <c r="J35" s="98" t="str">
        <f aca="false">IF(OR(A35="",H35=""),"",E35+F35-H35-I35)</f>
        <v/>
      </c>
      <c r="K35" s="52"/>
    </row>
    <row r="36" customFormat="false" ht="19.5" hidden="false" customHeight="true" outlineLevel="0" collapsed="false">
      <c r="A36" s="52"/>
      <c r="B36" s="89" t="str">
        <f aca="false">IF(A36="","",IFERROR(INDEX(Teachers!$B$5:$B$304,MATCH(A36,Teachers!$A$5:$A$304,0)),"ID not found"))</f>
        <v/>
      </c>
      <c r="C36" s="85" t="str">
        <f aca="false">IF(A36="","",IFERROR(INDEX(Teachers!$E$5:$E$304,MATCH(A36,Teachers!$A$5:$A$304,0)),""))</f>
        <v/>
      </c>
      <c r="D36" s="101"/>
      <c r="E36" s="97"/>
      <c r="F36" s="97"/>
      <c r="G36" s="85" t="str">
        <f aca="false">IF(OR(A36="",D36=""),"",COUNTIFS('Staff Attendance'!$B$5:$B$304,A36,'Staff Attendance'!$E$5:$E$304,"A",'Staff Attendance'!$A$5:$A$304,"&gt;="&amp;D36,'Staff Attendance'!$A$5:$A$304,"&lt;"&amp;EDATE(D36,1)))</f>
        <v/>
      </c>
      <c r="H36" s="98" t="str">
        <f aca="false">IF(G36="","",ROUND(E36/Settings!$O$5*G36,0))</f>
        <v/>
      </c>
      <c r="I36" s="97"/>
      <c r="J36" s="98" t="str">
        <f aca="false">IF(OR(A36="",H36=""),"",E36+F36-H36-I36)</f>
        <v/>
      </c>
      <c r="K36" s="52"/>
    </row>
    <row r="37" customFormat="false" ht="19.5" hidden="false" customHeight="true" outlineLevel="0" collapsed="false">
      <c r="A37" s="52"/>
      <c r="B37" s="89" t="str">
        <f aca="false">IF(A37="","",IFERROR(INDEX(Teachers!$B$5:$B$304,MATCH(A37,Teachers!$A$5:$A$304,0)),"ID not found"))</f>
        <v/>
      </c>
      <c r="C37" s="85" t="str">
        <f aca="false">IF(A37="","",IFERROR(INDEX(Teachers!$E$5:$E$304,MATCH(A37,Teachers!$A$5:$A$304,0)),""))</f>
        <v/>
      </c>
      <c r="D37" s="101"/>
      <c r="E37" s="97"/>
      <c r="F37" s="97"/>
      <c r="G37" s="85" t="str">
        <f aca="false">IF(OR(A37="",D37=""),"",COUNTIFS('Staff Attendance'!$B$5:$B$304,A37,'Staff Attendance'!$E$5:$E$304,"A",'Staff Attendance'!$A$5:$A$304,"&gt;="&amp;D37,'Staff Attendance'!$A$5:$A$304,"&lt;"&amp;EDATE(D37,1)))</f>
        <v/>
      </c>
      <c r="H37" s="98" t="str">
        <f aca="false">IF(G37="","",ROUND(E37/Settings!$O$5*G37,0))</f>
        <v/>
      </c>
      <c r="I37" s="97"/>
      <c r="J37" s="98" t="str">
        <f aca="false">IF(OR(A37="",H37=""),"",E37+F37-H37-I37)</f>
        <v/>
      </c>
      <c r="K37" s="52"/>
    </row>
    <row r="38" customFormat="false" ht="19.5" hidden="false" customHeight="true" outlineLevel="0" collapsed="false">
      <c r="A38" s="52"/>
      <c r="B38" s="89" t="str">
        <f aca="false">IF(A38="","",IFERROR(INDEX(Teachers!$B$5:$B$304,MATCH(A38,Teachers!$A$5:$A$304,0)),"ID not found"))</f>
        <v/>
      </c>
      <c r="C38" s="85" t="str">
        <f aca="false">IF(A38="","",IFERROR(INDEX(Teachers!$E$5:$E$304,MATCH(A38,Teachers!$A$5:$A$304,0)),""))</f>
        <v/>
      </c>
      <c r="D38" s="101"/>
      <c r="E38" s="97"/>
      <c r="F38" s="97"/>
      <c r="G38" s="85" t="str">
        <f aca="false">IF(OR(A38="",D38=""),"",COUNTIFS('Staff Attendance'!$B$5:$B$304,A38,'Staff Attendance'!$E$5:$E$304,"A",'Staff Attendance'!$A$5:$A$304,"&gt;="&amp;D38,'Staff Attendance'!$A$5:$A$304,"&lt;"&amp;EDATE(D38,1)))</f>
        <v/>
      </c>
      <c r="H38" s="98" t="str">
        <f aca="false">IF(G38="","",ROUND(E38/Settings!$O$5*G38,0))</f>
        <v/>
      </c>
      <c r="I38" s="97"/>
      <c r="J38" s="98" t="str">
        <f aca="false">IF(OR(A38="",H38=""),"",E38+F38-H38-I38)</f>
        <v/>
      </c>
      <c r="K38" s="52"/>
    </row>
    <row r="39" customFormat="false" ht="19.5" hidden="false" customHeight="true" outlineLevel="0" collapsed="false">
      <c r="A39" s="52"/>
      <c r="B39" s="89" t="str">
        <f aca="false">IF(A39="","",IFERROR(INDEX(Teachers!$B$5:$B$304,MATCH(A39,Teachers!$A$5:$A$304,0)),"ID not found"))</f>
        <v/>
      </c>
      <c r="C39" s="85" t="str">
        <f aca="false">IF(A39="","",IFERROR(INDEX(Teachers!$E$5:$E$304,MATCH(A39,Teachers!$A$5:$A$304,0)),""))</f>
        <v/>
      </c>
      <c r="D39" s="101"/>
      <c r="E39" s="97"/>
      <c r="F39" s="97"/>
      <c r="G39" s="85" t="str">
        <f aca="false">IF(OR(A39="",D39=""),"",COUNTIFS('Staff Attendance'!$B$5:$B$304,A39,'Staff Attendance'!$E$5:$E$304,"A",'Staff Attendance'!$A$5:$A$304,"&gt;="&amp;D39,'Staff Attendance'!$A$5:$A$304,"&lt;"&amp;EDATE(D39,1)))</f>
        <v/>
      </c>
      <c r="H39" s="98" t="str">
        <f aca="false">IF(G39="","",ROUND(E39/Settings!$O$5*G39,0))</f>
        <v/>
      </c>
      <c r="I39" s="97"/>
      <c r="J39" s="98" t="str">
        <f aca="false">IF(OR(A39="",H39=""),"",E39+F39-H39-I39)</f>
        <v/>
      </c>
      <c r="K39" s="52"/>
    </row>
    <row r="40" customFormat="false" ht="19.5" hidden="false" customHeight="true" outlineLevel="0" collapsed="false">
      <c r="A40" s="52"/>
      <c r="B40" s="89" t="str">
        <f aca="false">IF(A40="","",IFERROR(INDEX(Teachers!$B$5:$B$304,MATCH(A40,Teachers!$A$5:$A$304,0)),"ID not found"))</f>
        <v/>
      </c>
      <c r="C40" s="85" t="str">
        <f aca="false">IF(A40="","",IFERROR(INDEX(Teachers!$E$5:$E$304,MATCH(A40,Teachers!$A$5:$A$304,0)),""))</f>
        <v/>
      </c>
      <c r="D40" s="101"/>
      <c r="E40" s="97"/>
      <c r="F40" s="97"/>
      <c r="G40" s="85" t="str">
        <f aca="false">IF(OR(A40="",D40=""),"",COUNTIFS('Staff Attendance'!$B$5:$B$304,A40,'Staff Attendance'!$E$5:$E$304,"A",'Staff Attendance'!$A$5:$A$304,"&gt;="&amp;D40,'Staff Attendance'!$A$5:$A$304,"&lt;"&amp;EDATE(D40,1)))</f>
        <v/>
      </c>
      <c r="H40" s="98" t="str">
        <f aca="false">IF(G40="","",ROUND(E40/Settings!$O$5*G40,0))</f>
        <v/>
      </c>
      <c r="I40" s="97"/>
      <c r="J40" s="98" t="str">
        <f aca="false">IF(OR(A40="",H40=""),"",E40+F40-H40-I40)</f>
        <v/>
      </c>
      <c r="K40" s="52"/>
    </row>
    <row r="41" customFormat="false" ht="19.5" hidden="false" customHeight="true" outlineLevel="0" collapsed="false">
      <c r="A41" s="52"/>
      <c r="B41" s="89" t="str">
        <f aca="false">IF(A41="","",IFERROR(INDEX(Teachers!$B$5:$B$304,MATCH(A41,Teachers!$A$5:$A$304,0)),"ID not found"))</f>
        <v/>
      </c>
      <c r="C41" s="85" t="str">
        <f aca="false">IF(A41="","",IFERROR(INDEX(Teachers!$E$5:$E$304,MATCH(A41,Teachers!$A$5:$A$304,0)),""))</f>
        <v/>
      </c>
      <c r="D41" s="101"/>
      <c r="E41" s="97"/>
      <c r="F41" s="97"/>
      <c r="G41" s="85" t="str">
        <f aca="false">IF(OR(A41="",D41=""),"",COUNTIFS('Staff Attendance'!$B$5:$B$304,A41,'Staff Attendance'!$E$5:$E$304,"A",'Staff Attendance'!$A$5:$A$304,"&gt;="&amp;D41,'Staff Attendance'!$A$5:$A$304,"&lt;"&amp;EDATE(D41,1)))</f>
        <v/>
      </c>
      <c r="H41" s="98" t="str">
        <f aca="false">IF(G41="","",ROUND(E41/Settings!$O$5*G41,0))</f>
        <v/>
      </c>
      <c r="I41" s="97"/>
      <c r="J41" s="98" t="str">
        <f aca="false">IF(OR(A41="",H41=""),"",E41+F41-H41-I41)</f>
        <v/>
      </c>
      <c r="K41" s="52"/>
    </row>
    <row r="42" customFormat="false" ht="19.5" hidden="false" customHeight="true" outlineLevel="0" collapsed="false">
      <c r="A42" s="52"/>
      <c r="B42" s="89" t="str">
        <f aca="false">IF(A42="","",IFERROR(INDEX(Teachers!$B$5:$B$304,MATCH(A42,Teachers!$A$5:$A$304,0)),"ID not found"))</f>
        <v/>
      </c>
      <c r="C42" s="85" t="str">
        <f aca="false">IF(A42="","",IFERROR(INDEX(Teachers!$E$5:$E$304,MATCH(A42,Teachers!$A$5:$A$304,0)),""))</f>
        <v/>
      </c>
      <c r="D42" s="101"/>
      <c r="E42" s="97"/>
      <c r="F42" s="97"/>
      <c r="G42" s="85" t="str">
        <f aca="false">IF(OR(A42="",D42=""),"",COUNTIFS('Staff Attendance'!$B$5:$B$304,A42,'Staff Attendance'!$E$5:$E$304,"A",'Staff Attendance'!$A$5:$A$304,"&gt;="&amp;D42,'Staff Attendance'!$A$5:$A$304,"&lt;"&amp;EDATE(D42,1)))</f>
        <v/>
      </c>
      <c r="H42" s="98" t="str">
        <f aca="false">IF(G42="","",ROUND(E42/Settings!$O$5*G42,0))</f>
        <v/>
      </c>
      <c r="I42" s="97"/>
      <c r="J42" s="98" t="str">
        <f aca="false">IF(OR(A42="",H42=""),"",E42+F42-H42-I42)</f>
        <v/>
      </c>
      <c r="K42" s="52"/>
    </row>
    <row r="43" customFormat="false" ht="19.5" hidden="false" customHeight="true" outlineLevel="0" collapsed="false">
      <c r="A43" s="52"/>
      <c r="B43" s="89" t="str">
        <f aca="false">IF(A43="","",IFERROR(INDEX(Teachers!$B$5:$B$304,MATCH(A43,Teachers!$A$5:$A$304,0)),"ID not found"))</f>
        <v/>
      </c>
      <c r="C43" s="85" t="str">
        <f aca="false">IF(A43="","",IFERROR(INDEX(Teachers!$E$5:$E$304,MATCH(A43,Teachers!$A$5:$A$304,0)),""))</f>
        <v/>
      </c>
      <c r="D43" s="101"/>
      <c r="E43" s="97"/>
      <c r="F43" s="97"/>
      <c r="G43" s="85" t="str">
        <f aca="false">IF(OR(A43="",D43=""),"",COUNTIFS('Staff Attendance'!$B$5:$B$304,A43,'Staff Attendance'!$E$5:$E$304,"A",'Staff Attendance'!$A$5:$A$304,"&gt;="&amp;D43,'Staff Attendance'!$A$5:$A$304,"&lt;"&amp;EDATE(D43,1)))</f>
        <v/>
      </c>
      <c r="H43" s="98" t="str">
        <f aca="false">IF(G43="","",ROUND(E43/Settings!$O$5*G43,0))</f>
        <v/>
      </c>
      <c r="I43" s="97"/>
      <c r="J43" s="98" t="str">
        <f aca="false">IF(OR(A43="",H43=""),"",E43+F43-H43-I43)</f>
        <v/>
      </c>
      <c r="K43" s="52"/>
    </row>
    <row r="44" customFormat="false" ht="19.5" hidden="false" customHeight="true" outlineLevel="0" collapsed="false">
      <c r="A44" s="52"/>
      <c r="B44" s="89" t="str">
        <f aca="false">IF(A44="","",IFERROR(INDEX(Teachers!$B$5:$B$304,MATCH(A44,Teachers!$A$5:$A$304,0)),"ID not found"))</f>
        <v/>
      </c>
      <c r="C44" s="85" t="str">
        <f aca="false">IF(A44="","",IFERROR(INDEX(Teachers!$E$5:$E$304,MATCH(A44,Teachers!$A$5:$A$304,0)),""))</f>
        <v/>
      </c>
      <c r="D44" s="101"/>
      <c r="E44" s="97"/>
      <c r="F44" s="97"/>
      <c r="G44" s="85" t="str">
        <f aca="false">IF(OR(A44="",D44=""),"",COUNTIFS('Staff Attendance'!$B$5:$B$304,A44,'Staff Attendance'!$E$5:$E$304,"A",'Staff Attendance'!$A$5:$A$304,"&gt;="&amp;D44,'Staff Attendance'!$A$5:$A$304,"&lt;"&amp;EDATE(D44,1)))</f>
        <v/>
      </c>
      <c r="H44" s="98" t="str">
        <f aca="false">IF(G44="","",ROUND(E44/Settings!$O$5*G44,0))</f>
        <v/>
      </c>
      <c r="I44" s="97"/>
      <c r="J44" s="98" t="str">
        <f aca="false">IF(OR(A44="",H44=""),"",E44+F44-H44-I44)</f>
        <v/>
      </c>
      <c r="K44" s="52"/>
    </row>
    <row r="45" customFormat="false" ht="19.5" hidden="false" customHeight="true" outlineLevel="0" collapsed="false">
      <c r="A45" s="52"/>
      <c r="B45" s="89" t="str">
        <f aca="false">IF(A45="","",IFERROR(INDEX(Teachers!$B$5:$B$304,MATCH(A45,Teachers!$A$5:$A$304,0)),"ID not found"))</f>
        <v/>
      </c>
      <c r="C45" s="85" t="str">
        <f aca="false">IF(A45="","",IFERROR(INDEX(Teachers!$E$5:$E$304,MATCH(A45,Teachers!$A$5:$A$304,0)),""))</f>
        <v/>
      </c>
      <c r="D45" s="101"/>
      <c r="E45" s="97"/>
      <c r="F45" s="97"/>
      <c r="G45" s="85" t="str">
        <f aca="false">IF(OR(A45="",D45=""),"",COUNTIFS('Staff Attendance'!$B$5:$B$304,A45,'Staff Attendance'!$E$5:$E$304,"A",'Staff Attendance'!$A$5:$A$304,"&gt;="&amp;D45,'Staff Attendance'!$A$5:$A$304,"&lt;"&amp;EDATE(D45,1)))</f>
        <v/>
      </c>
      <c r="H45" s="98" t="str">
        <f aca="false">IF(G45="","",ROUND(E45/Settings!$O$5*G45,0))</f>
        <v/>
      </c>
      <c r="I45" s="97"/>
      <c r="J45" s="98" t="str">
        <f aca="false">IF(OR(A45="",H45=""),"",E45+F45-H45-I45)</f>
        <v/>
      </c>
      <c r="K45" s="52"/>
    </row>
    <row r="46" customFormat="false" ht="19.5" hidden="false" customHeight="true" outlineLevel="0" collapsed="false">
      <c r="A46" s="52"/>
      <c r="B46" s="89" t="str">
        <f aca="false">IF(A46="","",IFERROR(INDEX(Teachers!$B$5:$B$304,MATCH(A46,Teachers!$A$5:$A$304,0)),"ID not found"))</f>
        <v/>
      </c>
      <c r="C46" s="85" t="str">
        <f aca="false">IF(A46="","",IFERROR(INDEX(Teachers!$E$5:$E$304,MATCH(A46,Teachers!$A$5:$A$304,0)),""))</f>
        <v/>
      </c>
      <c r="D46" s="101"/>
      <c r="E46" s="97"/>
      <c r="F46" s="97"/>
      <c r="G46" s="85" t="str">
        <f aca="false">IF(OR(A46="",D46=""),"",COUNTIFS('Staff Attendance'!$B$5:$B$304,A46,'Staff Attendance'!$E$5:$E$304,"A",'Staff Attendance'!$A$5:$A$304,"&gt;="&amp;D46,'Staff Attendance'!$A$5:$A$304,"&lt;"&amp;EDATE(D46,1)))</f>
        <v/>
      </c>
      <c r="H46" s="98" t="str">
        <f aca="false">IF(G46="","",ROUND(E46/Settings!$O$5*G46,0))</f>
        <v/>
      </c>
      <c r="I46" s="97"/>
      <c r="J46" s="98" t="str">
        <f aca="false">IF(OR(A46="",H46=""),"",E46+F46-H46-I46)</f>
        <v/>
      </c>
      <c r="K46" s="52"/>
    </row>
    <row r="47" customFormat="false" ht="19.5" hidden="false" customHeight="true" outlineLevel="0" collapsed="false">
      <c r="A47" s="52"/>
      <c r="B47" s="89" t="str">
        <f aca="false">IF(A47="","",IFERROR(INDEX(Teachers!$B$5:$B$304,MATCH(A47,Teachers!$A$5:$A$304,0)),"ID not found"))</f>
        <v/>
      </c>
      <c r="C47" s="85" t="str">
        <f aca="false">IF(A47="","",IFERROR(INDEX(Teachers!$E$5:$E$304,MATCH(A47,Teachers!$A$5:$A$304,0)),""))</f>
        <v/>
      </c>
      <c r="D47" s="101"/>
      <c r="E47" s="97"/>
      <c r="F47" s="97"/>
      <c r="G47" s="85" t="str">
        <f aca="false">IF(OR(A47="",D47=""),"",COUNTIFS('Staff Attendance'!$B$5:$B$304,A47,'Staff Attendance'!$E$5:$E$304,"A",'Staff Attendance'!$A$5:$A$304,"&gt;="&amp;D47,'Staff Attendance'!$A$5:$A$304,"&lt;"&amp;EDATE(D47,1)))</f>
        <v/>
      </c>
      <c r="H47" s="98" t="str">
        <f aca="false">IF(G47="","",ROUND(E47/Settings!$O$5*G47,0))</f>
        <v/>
      </c>
      <c r="I47" s="97"/>
      <c r="J47" s="98" t="str">
        <f aca="false">IF(OR(A47="",H47=""),"",E47+F47-H47-I47)</f>
        <v/>
      </c>
      <c r="K47" s="52"/>
    </row>
    <row r="48" customFormat="false" ht="19.5" hidden="false" customHeight="true" outlineLevel="0" collapsed="false">
      <c r="A48" s="52"/>
      <c r="B48" s="89" t="str">
        <f aca="false">IF(A48="","",IFERROR(INDEX(Teachers!$B$5:$B$304,MATCH(A48,Teachers!$A$5:$A$304,0)),"ID not found"))</f>
        <v/>
      </c>
      <c r="C48" s="85" t="str">
        <f aca="false">IF(A48="","",IFERROR(INDEX(Teachers!$E$5:$E$304,MATCH(A48,Teachers!$A$5:$A$304,0)),""))</f>
        <v/>
      </c>
      <c r="D48" s="101"/>
      <c r="E48" s="97"/>
      <c r="F48" s="97"/>
      <c r="G48" s="85" t="str">
        <f aca="false">IF(OR(A48="",D48=""),"",COUNTIFS('Staff Attendance'!$B$5:$B$304,A48,'Staff Attendance'!$E$5:$E$304,"A",'Staff Attendance'!$A$5:$A$304,"&gt;="&amp;D48,'Staff Attendance'!$A$5:$A$304,"&lt;"&amp;EDATE(D48,1)))</f>
        <v/>
      </c>
      <c r="H48" s="98" t="str">
        <f aca="false">IF(G48="","",ROUND(E48/Settings!$O$5*G48,0))</f>
        <v/>
      </c>
      <c r="I48" s="97"/>
      <c r="J48" s="98" t="str">
        <f aca="false">IF(OR(A48="",H48=""),"",E48+F48-H48-I48)</f>
        <v/>
      </c>
      <c r="K48" s="52"/>
    </row>
    <row r="49" customFormat="false" ht="19.5" hidden="false" customHeight="true" outlineLevel="0" collapsed="false">
      <c r="A49" s="52"/>
      <c r="B49" s="89" t="str">
        <f aca="false">IF(A49="","",IFERROR(INDEX(Teachers!$B$5:$B$304,MATCH(A49,Teachers!$A$5:$A$304,0)),"ID not found"))</f>
        <v/>
      </c>
      <c r="C49" s="85" t="str">
        <f aca="false">IF(A49="","",IFERROR(INDEX(Teachers!$E$5:$E$304,MATCH(A49,Teachers!$A$5:$A$304,0)),""))</f>
        <v/>
      </c>
      <c r="D49" s="101"/>
      <c r="E49" s="97"/>
      <c r="F49" s="97"/>
      <c r="G49" s="85" t="str">
        <f aca="false">IF(OR(A49="",D49=""),"",COUNTIFS('Staff Attendance'!$B$5:$B$304,A49,'Staff Attendance'!$E$5:$E$304,"A",'Staff Attendance'!$A$5:$A$304,"&gt;="&amp;D49,'Staff Attendance'!$A$5:$A$304,"&lt;"&amp;EDATE(D49,1)))</f>
        <v/>
      </c>
      <c r="H49" s="98" t="str">
        <f aca="false">IF(G49="","",ROUND(E49/Settings!$O$5*G49,0))</f>
        <v/>
      </c>
      <c r="I49" s="97"/>
      <c r="J49" s="98" t="str">
        <f aca="false">IF(OR(A49="",H49=""),"",E49+F49-H49-I49)</f>
        <v/>
      </c>
      <c r="K49" s="52"/>
    </row>
    <row r="50" customFormat="false" ht="19.5" hidden="false" customHeight="true" outlineLevel="0" collapsed="false">
      <c r="A50" s="52"/>
      <c r="B50" s="89" t="str">
        <f aca="false">IF(A50="","",IFERROR(INDEX(Teachers!$B$5:$B$304,MATCH(A50,Teachers!$A$5:$A$304,0)),"ID not found"))</f>
        <v/>
      </c>
      <c r="C50" s="85" t="str">
        <f aca="false">IF(A50="","",IFERROR(INDEX(Teachers!$E$5:$E$304,MATCH(A50,Teachers!$A$5:$A$304,0)),""))</f>
        <v/>
      </c>
      <c r="D50" s="101"/>
      <c r="E50" s="97"/>
      <c r="F50" s="97"/>
      <c r="G50" s="85" t="str">
        <f aca="false">IF(OR(A50="",D50=""),"",COUNTIFS('Staff Attendance'!$B$5:$B$304,A50,'Staff Attendance'!$E$5:$E$304,"A",'Staff Attendance'!$A$5:$A$304,"&gt;="&amp;D50,'Staff Attendance'!$A$5:$A$304,"&lt;"&amp;EDATE(D50,1)))</f>
        <v/>
      </c>
      <c r="H50" s="98" t="str">
        <f aca="false">IF(G50="","",ROUND(E50/Settings!$O$5*G50,0))</f>
        <v/>
      </c>
      <c r="I50" s="97"/>
      <c r="J50" s="98" t="str">
        <f aca="false">IF(OR(A50="",H50=""),"",E50+F50-H50-I50)</f>
        <v/>
      </c>
      <c r="K50" s="52"/>
    </row>
    <row r="51" customFormat="false" ht="19.5" hidden="false" customHeight="true" outlineLevel="0" collapsed="false">
      <c r="A51" s="52"/>
      <c r="B51" s="89" t="str">
        <f aca="false">IF(A51="","",IFERROR(INDEX(Teachers!$B$5:$B$304,MATCH(A51,Teachers!$A$5:$A$304,0)),"ID not found"))</f>
        <v/>
      </c>
      <c r="C51" s="85" t="str">
        <f aca="false">IF(A51="","",IFERROR(INDEX(Teachers!$E$5:$E$304,MATCH(A51,Teachers!$A$5:$A$304,0)),""))</f>
        <v/>
      </c>
      <c r="D51" s="101"/>
      <c r="E51" s="97"/>
      <c r="F51" s="97"/>
      <c r="G51" s="85" t="str">
        <f aca="false">IF(OR(A51="",D51=""),"",COUNTIFS('Staff Attendance'!$B$5:$B$304,A51,'Staff Attendance'!$E$5:$E$304,"A",'Staff Attendance'!$A$5:$A$304,"&gt;="&amp;D51,'Staff Attendance'!$A$5:$A$304,"&lt;"&amp;EDATE(D51,1)))</f>
        <v/>
      </c>
      <c r="H51" s="98" t="str">
        <f aca="false">IF(G51="","",ROUND(E51/Settings!$O$5*G51,0))</f>
        <v/>
      </c>
      <c r="I51" s="97"/>
      <c r="J51" s="98" t="str">
        <f aca="false">IF(OR(A51="",H51=""),"",E51+F51-H51-I51)</f>
        <v/>
      </c>
      <c r="K51" s="52"/>
    </row>
    <row r="52" customFormat="false" ht="19.5" hidden="false" customHeight="true" outlineLevel="0" collapsed="false">
      <c r="A52" s="52"/>
      <c r="B52" s="89" t="str">
        <f aca="false">IF(A52="","",IFERROR(INDEX(Teachers!$B$5:$B$304,MATCH(A52,Teachers!$A$5:$A$304,0)),"ID not found"))</f>
        <v/>
      </c>
      <c r="C52" s="85" t="str">
        <f aca="false">IF(A52="","",IFERROR(INDEX(Teachers!$E$5:$E$304,MATCH(A52,Teachers!$A$5:$A$304,0)),""))</f>
        <v/>
      </c>
      <c r="D52" s="101"/>
      <c r="E52" s="97"/>
      <c r="F52" s="97"/>
      <c r="G52" s="85" t="str">
        <f aca="false">IF(OR(A52="",D52=""),"",COUNTIFS('Staff Attendance'!$B$5:$B$304,A52,'Staff Attendance'!$E$5:$E$304,"A",'Staff Attendance'!$A$5:$A$304,"&gt;="&amp;D52,'Staff Attendance'!$A$5:$A$304,"&lt;"&amp;EDATE(D52,1)))</f>
        <v/>
      </c>
      <c r="H52" s="98" t="str">
        <f aca="false">IF(G52="","",ROUND(E52/Settings!$O$5*G52,0))</f>
        <v/>
      </c>
      <c r="I52" s="97"/>
      <c r="J52" s="98" t="str">
        <f aca="false">IF(OR(A52="",H52=""),"",E52+F52-H52-I52)</f>
        <v/>
      </c>
      <c r="K52" s="52"/>
    </row>
    <row r="53" customFormat="false" ht="19.5" hidden="false" customHeight="true" outlineLevel="0" collapsed="false">
      <c r="A53" s="52"/>
      <c r="B53" s="89" t="str">
        <f aca="false">IF(A53="","",IFERROR(INDEX(Teachers!$B$5:$B$304,MATCH(A53,Teachers!$A$5:$A$304,0)),"ID not found"))</f>
        <v/>
      </c>
      <c r="C53" s="85" t="str">
        <f aca="false">IF(A53="","",IFERROR(INDEX(Teachers!$E$5:$E$304,MATCH(A53,Teachers!$A$5:$A$304,0)),""))</f>
        <v/>
      </c>
      <c r="D53" s="101"/>
      <c r="E53" s="97"/>
      <c r="F53" s="97"/>
      <c r="G53" s="85" t="str">
        <f aca="false">IF(OR(A53="",D53=""),"",COUNTIFS('Staff Attendance'!$B$5:$B$304,A53,'Staff Attendance'!$E$5:$E$304,"A",'Staff Attendance'!$A$5:$A$304,"&gt;="&amp;D53,'Staff Attendance'!$A$5:$A$304,"&lt;"&amp;EDATE(D53,1)))</f>
        <v/>
      </c>
      <c r="H53" s="98" t="str">
        <f aca="false">IF(G53="","",ROUND(E53/Settings!$O$5*G53,0))</f>
        <v/>
      </c>
      <c r="I53" s="97"/>
      <c r="J53" s="98" t="str">
        <f aca="false">IF(OR(A53="",H53=""),"",E53+F53-H53-I53)</f>
        <v/>
      </c>
      <c r="K53" s="52"/>
    </row>
    <row r="54" customFormat="false" ht="19.5" hidden="false" customHeight="true" outlineLevel="0" collapsed="false">
      <c r="A54" s="52"/>
      <c r="B54" s="89" t="str">
        <f aca="false">IF(A54="","",IFERROR(INDEX(Teachers!$B$5:$B$304,MATCH(A54,Teachers!$A$5:$A$304,0)),"ID not found"))</f>
        <v/>
      </c>
      <c r="C54" s="85" t="str">
        <f aca="false">IF(A54="","",IFERROR(INDEX(Teachers!$E$5:$E$304,MATCH(A54,Teachers!$A$5:$A$304,0)),""))</f>
        <v/>
      </c>
      <c r="D54" s="101"/>
      <c r="E54" s="97"/>
      <c r="F54" s="97"/>
      <c r="G54" s="85" t="str">
        <f aca="false">IF(OR(A54="",D54=""),"",COUNTIFS('Staff Attendance'!$B$5:$B$304,A54,'Staff Attendance'!$E$5:$E$304,"A",'Staff Attendance'!$A$5:$A$304,"&gt;="&amp;D54,'Staff Attendance'!$A$5:$A$304,"&lt;"&amp;EDATE(D54,1)))</f>
        <v/>
      </c>
      <c r="H54" s="98" t="str">
        <f aca="false">IF(G54="","",ROUND(E54/Settings!$O$5*G54,0))</f>
        <v/>
      </c>
      <c r="I54" s="97"/>
      <c r="J54" s="98" t="str">
        <f aca="false">IF(OR(A54="",H54=""),"",E54+F54-H54-I54)</f>
        <v/>
      </c>
      <c r="K54" s="52"/>
    </row>
    <row r="55" customFormat="false" ht="19.5" hidden="false" customHeight="true" outlineLevel="0" collapsed="false">
      <c r="A55" s="52"/>
      <c r="B55" s="89" t="str">
        <f aca="false">IF(A55="","",IFERROR(INDEX(Teachers!$B$5:$B$304,MATCH(A55,Teachers!$A$5:$A$304,0)),"ID not found"))</f>
        <v/>
      </c>
      <c r="C55" s="85" t="str">
        <f aca="false">IF(A55="","",IFERROR(INDEX(Teachers!$E$5:$E$304,MATCH(A55,Teachers!$A$5:$A$304,0)),""))</f>
        <v/>
      </c>
      <c r="D55" s="101"/>
      <c r="E55" s="97"/>
      <c r="F55" s="97"/>
      <c r="G55" s="85" t="str">
        <f aca="false">IF(OR(A55="",D55=""),"",COUNTIFS('Staff Attendance'!$B$5:$B$304,A55,'Staff Attendance'!$E$5:$E$304,"A",'Staff Attendance'!$A$5:$A$304,"&gt;="&amp;D55,'Staff Attendance'!$A$5:$A$304,"&lt;"&amp;EDATE(D55,1)))</f>
        <v/>
      </c>
      <c r="H55" s="98" t="str">
        <f aca="false">IF(G55="","",ROUND(E55/Settings!$O$5*G55,0))</f>
        <v/>
      </c>
      <c r="I55" s="97"/>
      <c r="J55" s="98" t="str">
        <f aca="false">IF(OR(A55="",H55=""),"",E55+F55-H55-I55)</f>
        <v/>
      </c>
      <c r="K55" s="52"/>
    </row>
    <row r="56" customFormat="false" ht="19.5" hidden="false" customHeight="true" outlineLevel="0" collapsed="false">
      <c r="A56" s="52"/>
      <c r="B56" s="89" t="str">
        <f aca="false">IF(A56="","",IFERROR(INDEX(Teachers!$B$5:$B$304,MATCH(A56,Teachers!$A$5:$A$304,0)),"ID not found"))</f>
        <v/>
      </c>
      <c r="C56" s="85" t="str">
        <f aca="false">IF(A56="","",IFERROR(INDEX(Teachers!$E$5:$E$304,MATCH(A56,Teachers!$A$5:$A$304,0)),""))</f>
        <v/>
      </c>
      <c r="D56" s="101"/>
      <c r="E56" s="97"/>
      <c r="F56" s="97"/>
      <c r="G56" s="85" t="str">
        <f aca="false">IF(OR(A56="",D56=""),"",COUNTIFS('Staff Attendance'!$B$5:$B$304,A56,'Staff Attendance'!$E$5:$E$304,"A",'Staff Attendance'!$A$5:$A$304,"&gt;="&amp;D56,'Staff Attendance'!$A$5:$A$304,"&lt;"&amp;EDATE(D56,1)))</f>
        <v/>
      </c>
      <c r="H56" s="98" t="str">
        <f aca="false">IF(G56="","",ROUND(E56/Settings!$O$5*G56,0))</f>
        <v/>
      </c>
      <c r="I56" s="97"/>
      <c r="J56" s="98" t="str">
        <f aca="false">IF(OR(A56="",H56=""),"",E56+F56-H56-I56)</f>
        <v/>
      </c>
      <c r="K56" s="52"/>
    </row>
    <row r="57" customFormat="false" ht="19.5" hidden="false" customHeight="true" outlineLevel="0" collapsed="false">
      <c r="A57" s="52"/>
      <c r="B57" s="89" t="str">
        <f aca="false">IF(A57="","",IFERROR(INDEX(Teachers!$B$5:$B$304,MATCH(A57,Teachers!$A$5:$A$304,0)),"ID not found"))</f>
        <v/>
      </c>
      <c r="C57" s="85" t="str">
        <f aca="false">IF(A57="","",IFERROR(INDEX(Teachers!$E$5:$E$304,MATCH(A57,Teachers!$A$5:$A$304,0)),""))</f>
        <v/>
      </c>
      <c r="D57" s="101"/>
      <c r="E57" s="97"/>
      <c r="F57" s="97"/>
      <c r="G57" s="85" t="str">
        <f aca="false">IF(OR(A57="",D57=""),"",COUNTIFS('Staff Attendance'!$B$5:$B$304,A57,'Staff Attendance'!$E$5:$E$304,"A",'Staff Attendance'!$A$5:$A$304,"&gt;="&amp;D57,'Staff Attendance'!$A$5:$A$304,"&lt;"&amp;EDATE(D57,1)))</f>
        <v/>
      </c>
      <c r="H57" s="98" t="str">
        <f aca="false">IF(G57="","",ROUND(E57/Settings!$O$5*G57,0))</f>
        <v/>
      </c>
      <c r="I57" s="97"/>
      <c r="J57" s="98" t="str">
        <f aca="false">IF(OR(A57="",H57=""),"",E57+F57-H57-I57)</f>
        <v/>
      </c>
      <c r="K57" s="52"/>
    </row>
    <row r="58" customFormat="false" ht="19.5" hidden="false" customHeight="true" outlineLevel="0" collapsed="false">
      <c r="A58" s="52"/>
      <c r="B58" s="89" t="str">
        <f aca="false">IF(A58="","",IFERROR(INDEX(Teachers!$B$5:$B$304,MATCH(A58,Teachers!$A$5:$A$304,0)),"ID not found"))</f>
        <v/>
      </c>
      <c r="C58" s="85" t="str">
        <f aca="false">IF(A58="","",IFERROR(INDEX(Teachers!$E$5:$E$304,MATCH(A58,Teachers!$A$5:$A$304,0)),""))</f>
        <v/>
      </c>
      <c r="D58" s="101"/>
      <c r="E58" s="97"/>
      <c r="F58" s="97"/>
      <c r="G58" s="85" t="str">
        <f aca="false">IF(OR(A58="",D58=""),"",COUNTIFS('Staff Attendance'!$B$5:$B$304,A58,'Staff Attendance'!$E$5:$E$304,"A",'Staff Attendance'!$A$5:$A$304,"&gt;="&amp;D58,'Staff Attendance'!$A$5:$A$304,"&lt;"&amp;EDATE(D58,1)))</f>
        <v/>
      </c>
      <c r="H58" s="98" t="str">
        <f aca="false">IF(G58="","",ROUND(E58/Settings!$O$5*G58,0))</f>
        <v/>
      </c>
      <c r="I58" s="97"/>
      <c r="J58" s="98" t="str">
        <f aca="false">IF(OR(A58="",H58=""),"",E58+F58-H58-I58)</f>
        <v/>
      </c>
      <c r="K58" s="52"/>
    </row>
    <row r="59" customFormat="false" ht="19.5" hidden="false" customHeight="true" outlineLevel="0" collapsed="false">
      <c r="A59" s="52"/>
      <c r="B59" s="89" t="str">
        <f aca="false">IF(A59="","",IFERROR(INDEX(Teachers!$B$5:$B$304,MATCH(A59,Teachers!$A$5:$A$304,0)),"ID not found"))</f>
        <v/>
      </c>
      <c r="C59" s="85" t="str">
        <f aca="false">IF(A59="","",IFERROR(INDEX(Teachers!$E$5:$E$304,MATCH(A59,Teachers!$A$5:$A$304,0)),""))</f>
        <v/>
      </c>
      <c r="D59" s="101"/>
      <c r="E59" s="97"/>
      <c r="F59" s="97"/>
      <c r="G59" s="85" t="str">
        <f aca="false">IF(OR(A59="",D59=""),"",COUNTIFS('Staff Attendance'!$B$5:$B$304,A59,'Staff Attendance'!$E$5:$E$304,"A",'Staff Attendance'!$A$5:$A$304,"&gt;="&amp;D59,'Staff Attendance'!$A$5:$A$304,"&lt;"&amp;EDATE(D59,1)))</f>
        <v/>
      </c>
      <c r="H59" s="98" t="str">
        <f aca="false">IF(G59="","",ROUND(E59/Settings!$O$5*G59,0))</f>
        <v/>
      </c>
      <c r="I59" s="97"/>
      <c r="J59" s="98" t="str">
        <f aca="false">IF(OR(A59="",H59=""),"",E59+F59-H59-I59)</f>
        <v/>
      </c>
      <c r="K59" s="52"/>
    </row>
    <row r="60" customFormat="false" ht="19.5" hidden="false" customHeight="true" outlineLevel="0" collapsed="false">
      <c r="A60" s="52"/>
      <c r="B60" s="89" t="str">
        <f aca="false">IF(A60="","",IFERROR(INDEX(Teachers!$B$5:$B$304,MATCH(A60,Teachers!$A$5:$A$304,0)),"ID not found"))</f>
        <v/>
      </c>
      <c r="C60" s="85" t="str">
        <f aca="false">IF(A60="","",IFERROR(INDEX(Teachers!$E$5:$E$304,MATCH(A60,Teachers!$A$5:$A$304,0)),""))</f>
        <v/>
      </c>
      <c r="D60" s="101"/>
      <c r="E60" s="97"/>
      <c r="F60" s="97"/>
      <c r="G60" s="85" t="str">
        <f aca="false">IF(OR(A60="",D60=""),"",COUNTIFS('Staff Attendance'!$B$5:$B$304,A60,'Staff Attendance'!$E$5:$E$304,"A",'Staff Attendance'!$A$5:$A$304,"&gt;="&amp;D60,'Staff Attendance'!$A$5:$A$304,"&lt;"&amp;EDATE(D60,1)))</f>
        <v/>
      </c>
      <c r="H60" s="98" t="str">
        <f aca="false">IF(G60="","",ROUND(E60/Settings!$O$5*G60,0))</f>
        <v/>
      </c>
      <c r="I60" s="97"/>
      <c r="J60" s="98" t="str">
        <f aca="false">IF(OR(A60="",H60=""),"",E60+F60-H60-I60)</f>
        <v/>
      </c>
      <c r="K60" s="52"/>
    </row>
    <row r="61" customFormat="false" ht="19.5" hidden="false" customHeight="true" outlineLevel="0" collapsed="false">
      <c r="A61" s="52"/>
      <c r="B61" s="89" t="str">
        <f aca="false">IF(A61="","",IFERROR(INDEX(Teachers!$B$5:$B$304,MATCH(A61,Teachers!$A$5:$A$304,0)),"ID not found"))</f>
        <v/>
      </c>
      <c r="C61" s="85" t="str">
        <f aca="false">IF(A61="","",IFERROR(INDEX(Teachers!$E$5:$E$304,MATCH(A61,Teachers!$A$5:$A$304,0)),""))</f>
        <v/>
      </c>
      <c r="D61" s="101"/>
      <c r="E61" s="97"/>
      <c r="F61" s="97"/>
      <c r="G61" s="85" t="str">
        <f aca="false">IF(OR(A61="",D61=""),"",COUNTIFS('Staff Attendance'!$B$5:$B$304,A61,'Staff Attendance'!$E$5:$E$304,"A",'Staff Attendance'!$A$5:$A$304,"&gt;="&amp;D61,'Staff Attendance'!$A$5:$A$304,"&lt;"&amp;EDATE(D61,1)))</f>
        <v/>
      </c>
      <c r="H61" s="98" t="str">
        <f aca="false">IF(G61="","",ROUND(E61/Settings!$O$5*G61,0))</f>
        <v/>
      </c>
      <c r="I61" s="97"/>
      <c r="J61" s="98" t="str">
        <f aca="false">IF(OR(A61="",H61=""),"",E61+F61-H61-I61)</f>
        <v/>
      </c>
      <c r="K61" s="52"/>
    </row>
    <row r="62" customFormat="false" ht="19.5" hidden="false" customHeight="true" outlineLevel="0" collapsed="false">
      <c r="A62" s="52"/>
      <c r="B62" s="89" t="str">
        <f aca="false">IF(A62="","",IFERROR(INDEX(Teachers!$B$5:$B$304,MATCH(A62,Teachers!$A$5:$A$304,0)),"ID not found"))</f>
        <v/>
      </c>
      <c r="C62" s="85" t="str">
        <f aca="false">IF(A62="","",IFERROR(INDEX(Teachers!$E$5:$E$304,MATCH(A62,Teachers!$A$5:$A$304,0)),""))</f>
        <v/>
      </c>
      <c r="D62" s="101"/>
      <c r="E62" s="97"/>
      <c r="F62" s="97"/>
      <c r="G62" s="85" t="str">
        <f aca="false">IF(OR(A62="",D62=""),"",COUNTIFS('Staff Attendance'!$B$5:$B$304,A62,'Staff Attendance'!$E$5:$E$304,"A",'Staff Attendance'!$A$5:$A$304,"&gt;="&amp;D62,'Staff Attendance'!$A$5:$A$304,"&lt;"&amp;EDATE(D62,1)))</f>
        <v/>
      </c>
      <c r="H62" s="98" t="str">
        <f aca="false">IF(G62="","",ROUND(E62/Settings!$O$5*G62,0))</f>
        <v/>
      </c>
      <c r="I62" s="97"/>
      <c r="J62" s="98" t="str">
        <f aca="false">IF(OR(A62="",H62=""),"",E62+F62-H62-I62)</f>
        <v/>
      </c>
      <c r="K62" s="52"/>
    </row>
    <row r="63" customFormat="false" ht="19.5" hidden="false" customHeight="true" outlineLevel="0" collapsed="false">
      <c r="A63" s="52"/>
      <c r="B63" s="89" t="str">
        <f aca="false">IF(A63="","",IFERROR(INDEX(Teachers!$B$5:$B$304,MATCH(A63,Teachers!$A$5:$A$304,0)),"ID not found"))</f>
        <v/>
      </c>
      <c r="C63" s="85" t="str">
        <f aca="false">IF(A63="","",IFERROR(INDEX(Teachers!$E$5:$E$304,MATCH(A63,Teachers!$A$5:$A$304,0)),""))</f>
        <v/>
      </c>
      <c r="D63" s="101"/>
      <c r="E63" s="97"/>
      <c r="F63" s="97"/>
      <c r="G63" s="85" t="str">
        <f aca="false">IF(OR(A63="",D63=""),"",COUNTIFS('Staff Attendance'!$B$5:$B$304,A63,'Staff Attendance'!$E$5:$E$304,"A",'Staff Attendance'!$A$5:$A$304,"&gt;="&amp;D63,'Staff Attendance'!$A$5:$A$304,"&lt;"&amp;EDATE(D63,1)))</f>
        <v/>
      </c>
      <c r="H63" s="98" t="str">
        <f aca="false">IF(G63="","",ROUND(E63/Settings!$O$5*G63,0))</f>
        <v/>
      </c>
      <c r="I63" s="97"/>
      <c r="J63" s="98" t="str">
        <f aca="false">IF(OR(A63="",H63=""),"",E63+F63-H63-I63)</f>
        <v/>
      </c>
      <c r="K63" s="52"/>
    </row>
    <row r="64" customFormat="false" ht="19.5" hidden="false" customHeight="true" outlineLevel="0" collapsed="false">
      <c r="A64" s="52"/>
      <c r="B64" s="89" t="str">
        <f aca="false">IF(A64="","",IFERROR(INDEX(Teachers!$B$5:$B$304,MATCH(A64,Teachers!$A$5:$A$304,0)),"ID not found"))</f>
        <v/>
      </c>
      <c r="C64" s="85" t="str">
        <f aca="false">IF(A64="","",IFERROR(INDEX(Teachers!$E$5:$E$304,MATCH(A64,Teachers!$A$5:$A$304,0)),""))</f>
        <v/>
      </c>
      <c r="D64" s="101"/>
      <c r="E64" s="97"/>
      <c r="F64" s="97"/>
      <c r="G64" s="85" t="str">
        <f aca="false">IF(OR(A64="",D64=""),"",COUNTIFS('Staff Attendance'!$B$5:$B$304,A64,'Staff Attendance'!$E$5:$E$304,"A",'Staff Attendance'!$A$5:$A$304,"&gt;="&amp;D64,'Staff Attendance'!$A$5:$A$304,"&lt;"&amp;EDATE(D64,1)))</f>
        <v/>
      </c>
      <c r="H64" s="98" t="str">
        <f aca="false">IF(G64="","",ROUND(E64/Settings!$O$5*G64,0))</f>
        <v/>
      </c>
      <c r="I64" s="97"/>
      <c r="J64" s="98" t="str">
        <f aca="false">IF(OR(A64="",H64=""),"",E64+F64-H64-I64)</f>
        <v/>
      </c>
      <c r="K64" s="52"/>
    </row>
    <row r="65" customFormat="false" ht="19.5" hidden="false" customHeight="true" outlineLevel="0" collapsed="false">
      <c r="A65" s="52"/>
      <c r="B65" s="89" t="str">
        <f aca="false">IF(A65="","",IFERROR(INDEX(Teachers!$B$5:$B$304,MATCH(A65,Teachers!$A$5:$A$304,0)),"ID not found"))</f>
        <v/>
      </c>
      <c r="C65" s="85" t="str">
        <f aca="false">IF(A65="","",IFERROR(INDEX(Teachers!$E$5:$E$304,MATCH(A65,Teachers!$A$5:$A$304,0)),""))</f>
        <v/>
      </c>
      <c r="D65" s="101"/>
      <c r="E65" s="97"/>
      <c r="F65" s="97"/>
      <c r="G65" s="85" t="str">
        <f aca="false">IF(OR(A65="",D65=""),"",COUNTIFS('Staff Attendance'!$B$5:$B$304,A65,'Staff Attendance'!$E$5:$E$304,"A",'Staff Attendance'!$A$5:$A$304,"&gt;="&amp;D65,'Staff Attendance'!$A$5:$A$304,"&lt;"&amp;EDATE(D65,1)))</f>
        <v/>
      </c>
      <c r="H65" s="98" t="str">
        <f aca="false">IF(G65="","",ROUND(E65/Settings!$O$5*G65,0))</f>
        <v/>
      </c>
      <c r="I65" s="97"/>
      <c r="J65" s="98" t="str">
        <f aca="false">IF(OR(A65="",H65=""),"",E65+F65-H65-I65)</f>
        <v/>
      </c>
      <c r="K65" s="52"/>
    </row>
    <row r="66" customFormat="false" ht="19.5" hidden="false" customHeight="true" outlineLevel="0" collapsed="false">
      <c r="A66" s="52"/>
      <c r="B66" s="89" t="str">
        <f aca="false">IF(A66="","",IFERROR(INDEX(Teachers!$B$5:$B$304,MATCH(A66,Teachers!$A$5:$A$304,0)),"ID not found"))</f>
        <v/>
      </c>
      <c r="C66" s="85" t="str">
        <f aca="false">IF(A66="","",IFERROR(INDEX(Teachers!$E$5:$E$304,MATCH(A66,Teachers!$A$5:$A$304,0)),""))</f>
        <v/>
      </c>
      <c r="D66" s="101"/>
      <c r="E66" s="97"/>
      <c r="F66" s="97"/>
      <c r="G66" s="85" t="str">
        <f aca="false">IF(OR(A66="",D66=""),"",COUNTIFS('Staff Attendance'!$B$5:$B$304,A66,'Staff Attendance'!$E$5:$E$304,"A",'Staff Attendance'!$A$5:$A$304,"&gt;="&amp;D66,'Staff Attendance'!$A$5:$A$304,"&lt;"&amp;EDATE(D66,1)))</f>
        <v/>
      </c>
      <c r="H66" s="98" t="str">
        <f aca="false">IF(G66="","",ROUND(E66/Settings!$O$5*G66,0))</f>
        <v/>
      </c>
      <c r="I66" s="97"/>
      <c r="J66" s="98" t="str">
        <f aca="false">IF(OR(A66="",H66=""),"",E66+F66-H66-I66)</f>
        <v/>
      </c>
      <c r="K66" s="52"/>
    </row>
    <row r="67" customFormat="false" ht="19.5" hidden="false" customHeight="true" outlineLevel="0" collapsed="false">
      <c r="A67" s="52"/>
      <c r="B67" s="89" t="str">
        <f aca="false">IF(A67="","",IFERROR(INDEX(Teachers!$B$5:$B$304,MATCH(A67,Teachers!$A$5:$A$304,0)),"ID not found"))</f>
        <v/>
      </c>
      <c r="C67" s="85" t="str">
        <f aca="false">IF(A67="","",IFERROR(INDEX(Teachers!$E$5:$E$304,MATCH(A67,Teachers!$A$5:$A$304,0)),""))</f>
        <v/>
      </c>
      <c r="D67" s="101"/>
      <c r="E67" s="97"/>
      <c r="F67" s="97"/>
      <c r="G67" s="85" t="str">
        <f aca="false">IF(OR(A67="",D67=""),"",COUNTIFS('Staff Attendance'!$B$5:$B$304,A67,'Staff Attendance'!$E$5:$E$304,"A",'Staff Attendance'!$A$5:$A$304,"&gt;="&amp;D67,'Staff Attendance'!$A$5:$A$304,"&lt;"&amp;EDATE(D67,1)))</f>
        <v/>
      </c>
      <c r="H67" s="98" t="str">
        <f aca="false">IF(G67="","",ROUND(E67/Settings!$O$5*G67,0))</f>
        <v/>
      </c>
      <c r="I67" s="97"/>
      <c r="J67" s="98" t="str">
        <f aca="false">IF(OR(A67="",H67=""),"",E67+F67-H67-I67)</f>
        <v/>
      </c>
      <c r="K67" s="52"/>
    </row>
    <row r="68" customFormat="false" ht="19.5" hidden="false" customHeight="true" outlineLevel="0" collapsed="false">
      <c r="A68" s="52"/>
      <c r="B68" s="89" t="str">
        <f aca="false">IF(A68="","",IFERROR(INDEX(Teachers!$B$5:$B$304,MATCH(A68,Teachers!$A$5:$A$304,0)),"ID not found"))</f>
        <v/>
      </c>
      <c r="C68" s="85" t="str">
        <f aca="false">IF(A68="","",IFERROR(INDEX(Teachers!$E$5:$E$304,MATCH(A68,Teachers!$A$5:$A$304,0)),""))</f>
        <v/>
      </c>
      <c r="D68" s="101"/>
      <c r="E68" s="97"/>
      <c r="F68" s="97"/>
      <c r="G68" s="85" t="str">
        <f aca="false">IF(OR(A68="",D68=""),"",COUNTIFS('Staff Attendance'!$B$5:$B$304,A68,'Staff Attendance'!$E$5:$E$304,"A",'Staff Attendance'!$A$5:$A$304,"&gt;="&amp;D68,'Staff Attendance'!$A$5:$A$304,"&lt;"&amp;EDATE(D68,1)))</f>
        <v/>
      </c>
      <c r="H68" s="98" t="str">
        <f aca="false">IF(G68="","",ROUND(E68/Settings!$O$5*G68,0))</f>
        <v/>
      </c>
      <c r="I68" s="97"/>
      <c r="J68" s="98" t="str">
        <f aca="false">IF(OR(A68="",H68=""),"",E68+F68-H68-I68)</f>
        <v/>
      </c>
      <c r="K68" s="52"/>
    </row>
    <row r="69" customFormat="false" ht="19.5" hidden="false" customHeight="true" outlineLevel="0" collapsed="false">
      <c r="A69" s="52"/>
      <c r="B69" s="89" t="str">
        <f aca="false">IF(A69="","",IFERROR(INDEX(Teachers!$B$5:$B$304,MATCH(A69,Teachers!$A$5:$A$304,0)),"ID not found"))</f>
        <v/>
      </c>
      <c r="C69" s="85" t="str">
        <f aca="false">IF(A69="","",IFERROR(INDEX(Teachers!$E$5:$E$304,MATCH(A69,Teachers!$A$5:$A$304,0)),""))</f>
        <v/>
      </c>
      <c r="D69" s="101"/>
      <c r="E69" s="97"/>
      <c r="F69" s="97"/>
      <c r="G69" s="85" t="str">
        <f aca="false">IF(OR(A69="",D69=""),"",COUNTIFS('Staff Attendance'!$B$5:$B$304,A69,'Staff Attendance'!$E$5:$E$304,"A",'Staff Attendance'!$A$5:$A$304,"&gt;="&amp;D69,'Staff Attendance'!$A$5:$A$304,"&lt;"&amp;EDATE(D69,1)))</f>
        <v/>
      </c>
      <c r="H69" s="98" t="str">
        <f aca="false">IF(G69="","",ROUND(E69/Settings!$O$5*G69,0))</f>
        <v/>
      </c>
      <c r="I69" s="97"/>
      <c r="J69" s="98" t="str">
        <f aca="false">IF(OR(A69="",H69=""),"",E69+F69-H69-I69)</f>
        <v/>
      </c>
      <c r="K69" s="52"/>
    </row>
    <row r="70" customFormat="false" ht="19.5" hidden="false" customHeight="true" outlineLevel="0" collapsed="false">
      <c r="A70" s="52"/>
      <c r="B70" s="89" t="str">
        <f aca="false">IF(A70="","",IFERROR(INDEX(Teachers!$B$5:$B$304,MATCH(A70,Teachers!$A$5:$A$304,0)),"ID not found"))</f>
        <v/>
      </c>
      <c r="C70" s="85" t="str">
        <f aca="false">IF(A70="","",IFERROR(INDEX(Teachers!$E$5:$E$304,MATCH(A70,Teachers!$A$5:$A$304,0)),""))</f>
        <v/>
      </c>
      <c r="D70" s="101"/>
      <c r="E70" s="97"/>
      <c r="F70" s="97"/>
      <c r="G70" s="85" t="str">
        <f aca="false">IF(OR(A70="",D70=""),"",COUNTIFS('Staff Attendance'!$B$5:$B$304,A70,'Staff Attendance'!$E$5:$E$304,"A",'Staff Attendance'!$A$5:$A$304,"&gt;="&amp;D70,'Staff Attendance'!$A$5:$A$304,"&lt;"&amp;EDATE(D70,1)))</f>
        <v/>
      </c>
      <c r="H70" s="98" t="str">
        <f aca="false">IF(G70="","",ROUND(E70/Settings!$O$5*G70,0))</f>
        <v/>
      </c>
      <c r="I70" s="97"/>
      <c r="J70" s="98" t="str">
        <f aca="false">IF(OR(A70="",H70=""),"",E70+F70-H70-I70)</f>
        <v/>
      </c>
      <c r="K70" s="52"/>
    </row>
    <row r="71" customFormat="false" ht="19.5" hidden="false" customHeight="true" outlineLevel="0" collapsed="false">
      <c r="A71" s="52"/>
      <c r="B71" s="89" t="str">
        <f aca="false">IF(A71="","",IFERROR(INDEX(Teachers!$B$5:$B$304,MATCH(A71,Teachers!$A$5:$A$304,0)),"ID not found"))</f>
        <v/>
      </c>
      <c r="C71" s="85" t="str">
        <f aca="false">IF(A71="","",IFERROR(INDEX(Teachers!$E$5:$E$304,MATCH(A71,Teachers!$A$5:$A$304,0)),""))</f>
        <v/>
      </c>
      <c r="D71" s="101"/>
      <c r="E71" s="97"/>
      <c r="F71" s="97"/>
      <c r="G71" s="85" t="str">
        <f aca="false">IF(OR(A71="",D71=""),"",COUNTIFS('Staff Attendance'!$B$5:$B$304,A71,'Staff Attendance'!$E$5:$E$304,"A",'Staff Attendance'!$A$5:$A$304,"&gt;="&amp;D71,'Staff Attendance'!$A$5:$A$304,"&lt;"&amp;EDATE(D71,1)))</f>
        <v/>
      </c>
      <c r="H71" s="98" t="str">
        <f aca="false">IF(G71="","",ROUND(E71/Settings!$O$5*G71,0))</f>
        <v/>
      </c>
      <c r="I71" s="97"/>
      <c r="J71" s="98" t="str">
        <f aca="false">IF(OR(A71="",H71=""),"",E71+F71-H71-I71)</f>
        <v/>
      </c>
      <c r="K71" s="52"/>
    </row>
    <row r="72" customFormat="false" ht="19.5" hidden="false" customHeight="true" outlineLevel="0" collapsed="false">
      <c r="A72" s="52"/>
      <c r="B72" s="89" t="str">
        <f aca="false">IF(A72="","",IFERROR(INDEX(Teachers!$B$5:$B$304,MATCH(A72,Teachers!$A$5:$A$304,0)),"ID not found"))</f>
        <v/>
      </c>
      <c r="C72" s="85" t="str">
        <f aca="false">IF(A72="","",IFERROR(INDEX(Teachers!$E$5:$E$304,MATCH(A72,Teachers!$A$5:$A$304,0)),""))</f>
        <v/>
      </c>
      <c r="D72" s="101"/>
      <c r="E72" s="97"/>
      <c r="F72" s="97"/>
      <c r="G72" s="85" t="str">
        <f aca="false">IF(OR(A72="",D72=""),"",COUNTIFS('Staff Attendance'!$B$5:$B$304,A72,'Staff Attendance'!$E$5:$E$304,"A",'Staff Attendance'!$A$5:$A$304,"&gt;="&amp;D72,'Staff Attendance'!$A$5:$A$304,"&lt;"&amp;EDATE(D72,1)))</f>
        <v/>
      </c>
      <c r="H72" s="98" t="str">
        <f aca="false">IF(G72="","",ROUND(E72/Settings!$O$5*G72,0))</f>
        <v/>
      </c>
      <c r="I72" s="97"/>
      <c r="J72" s="98" t="str">
        <f aca="false">IF(OR(A72="",H72=""),"",E72+F72-H72-I72)</f>
        <v/>
      </c>
      <c r="K72" s="52"/>
    </row>
    <row r="73" customFormat="false" ht="19.5" hidden="false" customHeight="true" outlineLevel="0" collapsed="false">
      <c r="A73" s="52"/>
      <c r="B73" s="89" t="str">
        <f aca="false">IF(A73="","",IFERROR(INDEX(Teachers!$B$5:$B$304,MATCH(A73,Teachers!$A$5:$A$304,0)),"ID not found"))</f>
        <v/>
      </c>
      <c r="C73" s="85" t="str">
        <f aca="false">IF(A73="","",IFERROR(INDEX(Teachers!$E$5:$E$304,MATCH(A73,Teachers!$A$5:$A$304,0)),""))</f>
        <v/>
      </c>
      <c r="D73" s="101"/>
      <c r="E73" s="97"/>
      <c r="F73" s="97"/>
      <c r="G73" s="85" t="str">
        <f aca="false">IF(OR(A73="",D73=""),"",COUNTIFS('Staff Attendance'!$B$5:$B$304,A73,'Staff Attendance'!$E$5:$E$304,"A",'Staff Attendance'!$A$5:$A$304,"&gt;="&amp;D73,'Staff Attendance'!$A$5:$A$304,"&lt;"&amp;EDATE(D73,1)))</f>
        <v/>
      </c>
      <c r="H73" s="98" t="str">
        <f aca="false">IF(G73="","",ROUND(E73/Settings!$O$5*G73,0))</f>
        <v/>
      </c>
      <c r="I73" s="97"/>
      <c r="J73" s="98" t="str">
        <f aca="false">IF(OR(A73="",H73=""),"",E73+F73-H73-I73)</f>
        <v/>
      </c>
      <c r="K73" s="52"/>
    </row>
    <row r="74" customFormat="false" ht="19.5" hidden="false" customHeight="true" outlineLevel="0" collapsed="false">
      <c r="A74" s="52"/>
      <c r="B74" s="89" t="str">
        <f aca="false">IF(A74="","",IFERROR(INDEX(Teachers!$B$5:$B$304,MATCH(A74,Teachers!$A$5:$A$304,0)),"ID not found"))</f>
        <v/>
      </c>
      <c r="C74" s="85" t="str">
        <f aca="false">IF(A74="","",IFERROR(INDEX(Teachers!$E$5:$E$304,MATCH(A74,Teachers!$A$5:$A$304,0)),""))</f>
        <v/>
      </c>
      <c r="D74" s="101"/>
      <c r="E74" s="97"/>
      <c r="F74" s="97"/>
      <c r="G74" s="85" t="str">
        <f aca="false">IF(OR(A74="",D74=""),"",COUNTIFS('Staff Attendance'!$B$5:$B$304,A74,'Staff Attendance'!$E$5:$E$304,"A",'Staff Attendance'!$A$5:$A$304,"&gt;="&amp;D74,'Staff Attendance'!$A$5:$A$304,"&lt;"&amp;EDATE(D74,1)))</f>
        <v/>
      </c>
      <c r="H74" s="98" t="str">
        <f aca="false">IF(G74="","",ROUND(E74/Settings!$O$5*G74,0))</f>
        <v/>
      </c>
      <c r="I74" s="97"/>
      <c r="J74" s="98" t="str">
        <f aca="false">IF(OR(A74="",H74=""),"",E74+F74-H74-I74)</f>
        <v/>
      </c>
      <c r="K74" s="52"/>
    </row>
    <row r="75" customFormat="false" ht="19.5" hidden="false" customHeight="true" outlineLevel="0" collapsed="false">
      <c r="A75" s="52"/>
      <c r="B75" s="89" t="str">
        <f aca="false">IF(A75="","",IFERROR(INDEX(Teachers!$B$5:$B$304,MATCH(A75,Teachers!$A$5:$A$304,0)),"ID not found"))</f>
        <v/>
      </c>
      <c r="C75" s="85" t="str">
        <f aca="false">IF(A75="","",IFERROR(INDEX(Teachers!$E$5:$E$304,MATCH(A75,Teachers!$A$5:$A$304,0)),""))</f>
        <v/>
      </c>
      <c r="D75" s="101"/>
      <c r="E75" s="97"/>
      <c r="F75" s="97"/>
      <c r="G75" s="85" t="str">
        <f aca="false">IF(OR(A75="",D75=""),"",COUNTIFS('Staff Attendance'!$B$5:$B$304,A75,'Staff Attendance'!$E$5:$E$304,"A",'Staff Attendance'!$A$5:$A$304,"&gt;="&amp;D75,'Staff Attendance'!$A$5:$A$304,"&lt;"&amp;EDATE(D75,1)))</f>
        <v/>
      </c>
      <c r="H75" s="98" t="str">
        <f aca="false">IF(G75="","",ROUND(E75/Settings!$O$5*G75,0))</f>
        <v/>
      </c>
      <c r="I75" s="97"/>
      <c r="J75" s="98" t="str">
        <f aca="false">IF(OR(A75="",H75=""),"",E75+F75-H75-I75)</f>
        <v/>
      </c>
      <c r="K75" s="52"/>
    </row>
    <row r="76" customFormat="false" ht="19.5" hidden="false" customHeight="true" outlineLevel="0" collapsed="false">
      <c r="A76" s="52"/>
      <c r="B76" s="89" t="str">
        <f aca="false">IF(A76="","",IFERROR(INDEX(Teachers!$B$5:$B$304,MATCH(A76,Teachers!$A$5:$A$304,0)),"ID not found"))</f>
        <v/>
      </c>
      <c r="C76" s="85" t="str">
        <f aca="false">IF(A76="","",IFERROR(INDEX(Teachers!$E$5:$E$304,MATCH(A76,Teachers!$A$5:$A$304,0)),""))</f>
        <v/>
      </c>
      <c r="D76" s="101"/>
      <c r="E76" s="97"/>
      <c r="F76" s="97"/>
      <c r="G76" s="85" t="str">
        <f aca="false">IF(OR(A76="",D76=""),"",COUNTIFS('Staff Attendance'!$B$5:$B$304,A76,'Staff Attendance'!$E$5:$E$304,"A",'Staff Attendance'!$A$5:$A$304,"&gt;="&amp;D76,'Staff Attendance'!$A$5:$A$304,"&lt;"&amp;EDATE(D76,1)))</f>
        <v/>
      </c>
      <c r="H76" s="98" t="str">
        <f aca="false">IF(G76="","",ROUND(E76/Settings!$O$5*G76,0))</f>
        <v/>
      </c>
      <c r="I76" s="97"/>
      <c r="J76" s="98" t="str">
        <f aca="false">IF(OR(A76="",H76=""),"",E76+F76-H76-I76)</f>
        <v/>
      </c>
      <c r="K76" s="52"/>
    </row>
    <row r="77" customFormat="false" ht="19.5" hidden="false" customHeight="true" outlineLevel="0" collapsed="false">
      <c r="A77" s="52"/>
      <c r="B77" s="89" t="str">
        <f aca="false">IF(A77="","",IFERROR(INDEX(Teachers!$B$5:$B$304,MATCH(A77,Teachers!$A$5:$A$304,0)),"ID not found"))</f>
        <v/>
      </c>
      <c r="C77" s="85" t="str">
        <f aca="false">IF(A77="","",IFERROR(INDEX(Teachers!$E$5:$E$304,MATCH(A77,Teachers!$A$5:$A$304,0)),""))</f>
        <v/>
      </c>
      <c r="D77" s="101"/>
      <c r="E77" s="97"/>
      <c r="F77" s="97"/>
      <c r="G77" s="85" t="str">
        <f aca="false">IF(OR(A77="",D77=""),"",COUNTIFS('Staff Attendance'!$B$5:$B$304,A77,'Staff Attendance'!$E$5:$E$304,"A",'Staff Attendance'!$A$5:$A$304,"&gt;="&amp;D77,'Staff Attendance'!$A$5:$A$304,"&lt;"&amp;EDATE(D77,1)))</f>
        <v/>
      </c>
      <c r="H77" s="98" t="str">
        <f aca="false">IF(G77="","",ROUND(E77/Settings!$O$5*G77,0))</f>
        <v/>
      </c>
      <c r="I77" s="97"/>
      <c r="J77" s="98" t="str">
        <f aca="false">IF(OR(A77="",H77=""),"",E77+F77-H77-I77)</f>
        <v/>
      </c>
      <c r="K77" s="52"/>
    </row>
    <row r="78" customFormat="false" ht="19.5" hidden="false" customHeight="true" outlineLevel="0" collapsed="false">
      <c r="A78" s="52"/>
      <c r="B78" s="89" t="str">
        <f aca="false">IF(A78="","",IFERROR(INDEX(Teachers!$B$5:$B$304,MATCH(A78,Teachers!$A$5:$A$304,0)),"ID not found"))</f>
        <v/>
      </c>
      <c r="C78" s="85" t="str">
        <f aca="false">IF(A78="","",IFERROR(INDEX(Teachers!$E$5:$E$304,MATCH(A78,Teachers!$A$5:$A$304,0)),""))</f>
        <v/>
      </c>
      <c r="D78" s="101"/>
      <c r="E78" s="97"/>
      <c r="F78" s="97"/>
      <c r="G78" s="85" t="str">
        <f aca="false">IF(OR(A78="",D78=""),"",COUNTIFS('Staff Attendance'!$B$5:$B$304,A78,'Staff Attendance'!$E$5:$E$304,"A",'Staff Attendance'!$A$5:$A$304,"&gt;="&amp;D78,'Staff Attendance'!$A$5:$A$304,"&lt;"&amp;EDATE(D78,1)))</f>
        <v/>
      </c>
      <c r="H78" s="98" t="str">
        <f aca="false">IF(G78="","",ROUND(E78/Settings!$O$5*G78,0))</f>
        <v/>
      </c>
      <c r="I78" s="97"/>
      <c r="J78" s="98" t="str">
        <f aca="false">IF(OR(A78="",H78=""),"",E78+F78-H78-I78)</f>
        <v/>
      </c>
      <c r="K78" s="52"/>
    </row>
    <row r="79" customFormat="false" ht="19.5" hidden="false" customHeight="true" outlineLevel="0" collapsed="false">
      <c r="A79" s="52"/>
      <c r="B79" s="89" t="str">
        <f aca="false">IF(A79="","",IFERROR(INDEX(Teachers!$B$5:$B$304,MATCH(A79,Teachers!$A$5:$A$304,0)),"ID not found"))</f>
        <v/>
      </c>
      <c r="C79" s="85" t="str">
        <f aca="false">IF(A79="","",IFERROR(INDEX(Teachers!$E$5:$E$304,MATCH(A79,Teachers!$A$5:$A$304,0)),""))</f>
        <v/>
      </c>
      <c r="D79" s="101"/>
      <c r="E79" s="97"/>
      <c r="F79" s="97"/>
      <c r="G79" s="85" t="str">
        <f aca="false">IF(OR(A79="",D79=""),"",COUNTIFS('Staff Attendance'!$B$5:$B$304,A79,'Staff Attendance'!$E$5:$E$304,"A",'Staff Attendance'!$A$5:$A$304,"&gt;="&amp;D79,'Staff Attendance'!$A$5:$A$304,"&lt;"&amp;EDATE(D79,1)))</f>
        <v/>
      </c>
      <c r="H79" s="98" t="str">
        <f aca="false">IF(G79="","",ROUND(E79/Settings!$O$5*G79,0))</f>
        <v/>
      </c>
      <c r="I79" s="97"/>
      <c r="J79" s="98" t="str">
        <f aca="false">IF(OR(A79="",H79=""),"",E79+F79-H79-I79)</f>
        <v/>
      </c>
      <c r="K79" s="52"/>
    </row>
    <row r="80" customFormat="false" ht="19.5" hidden="false" customHeight="true" outlineLevel="0" collapsed="false">
      <c r="A80" s="52"/>
      <c r="B80" s="89" t="str">
        <f aca="false">IF(A80="","",IFERROR(INDEX(Teachers!$B$5:$B$304,MATCH(A80,Teachers!$A$5:$A$304,0)),"ID not found"))</f>
        <v/>
      </c>
      <c r="C80" s="85" t="str">
        <f aca="false">IF(A80="","",IFERROR(INDEX(Teachers!$E$5:$E$304,MATCH(A80,Teachers!$A$5:$A$304,0)),""))</f>
        <v/>
      </c>
      <c r="D80" s="101"/>
      <c r="E80" s="97"/>
      <c r="F80" s="97"/>
      <c r="G80" s="85" t="str">
        <f aca="false">IF(OR(A80="",D80=""),"",COUNTIFS('Staff Attendance'!$B$5:$B$304,A80,'Staff Attendance'!$E$5:$E$304,"A",'Staff Attendance'!$A$5:$A$304,"&gt;="&amp;D80,'Staff Attendance'!$A$5:$A$304,"&lt;"&amp;EDATE(D80,1)))</f>
        <v/>
      </c>
      <c r="H80" s="98" t="str">
        <f aca="false">IF(G80="","",ROUND(E80/Settings!$O$5*G80,0))</f>
        <v/>
      </c>
      <c r="I80" s="97"/>
      <c r="J80" s="98" t="str">
        <f aca="false">IF(OR(A80="",H80=""),"",E80+F80-H80-I80)</f>
        <v/>
      </c>
      <c r="K80" s="52"/>
    </row>
    <row r="81" customFormat="false" ht="19.5" hidden="false" customHeight="true" outlineLevel="0" collapsed="false">
      <c r="A81" s="52"/>
      <c r="B81" s="89" t="str">
        <f aca="false">IF(A81="","",IFERROR(INDEX(Teachers!$B$5:$B$304,MATCH(A81,Teachers!$A$5:$A$304,0)),"ID not found"))</f>
        <v/>
      </c>
      <c r="C81" s="85" t="str">
        <f aca="false">IF(A81="","",IFERROR(INDEX(Teachers!$E$5:$E$304,MATCH(A81,Teachers!$A$5:$A$304,0)),""))</f>
        <v/>
      </c>
      <c r="D81" s="101"/>
      <c r="E81" s="97"/>
      <c r="F81" s="97"/>
      <c r="G81" s="85" t="str">
        <f aca="false">IF(OR(A81="",D81=""),"",COUNTIFS('Staff Attendance'!$B$5:$B$304,A81,'Staff Attendance'!$E$5:$E$304,"A",'Staff Attendance'!$A$5:$A$304,"&gt;="&amp;D81,'Staff Attendance'!$A$5:$A$304,"&lt;"&amp;EDATE(D81,1)))</f>
        <v/>
      </c>
      <c r="H81" s="98" t="str">
        <f aca="false">IF(G81="","",ROUND(E81/Settings!$O$5*G81,0))</f>
        <v/>
      </c>
      <c r="I81" s="97"/>
      <c r="J81" s="98" t="str">
        <f aca="false">IF(OR(A81="",H81=""),"",E81+F81-H81-I81)</f>
        <v/>
      </c>
      <c r="K81" s="52"/>
    </row>
    <row r="82" customFormat="false" ht="19.5" hidden="false" customHeight="true" outlineLevel="0" collapsed="false">
      <c r="A82" s="52"/>
      <c r="B82" s="89" t="str">
        <f aca="false">IF(A82="","",IFERROR(INDEX(Teachers!$B$5:$B$304,MATCH(A82,Teachers!$A$5:$A$304,0)),"ID not found"))</f>
        <v/>
      </c>
      <c r="C82" s="85" t="str">
        <f aca="false">IF(A82="","",IFERROR(INDEX(Teachers!$E$5:$E$304,MATCH(A82,Teachers!$A$5:$A$304,0)),""))</f>
        <v/>
      </c>
      <c r="D82" s="101"/>
      <c r="E82" s="97"/>
      <c r="F82" s="97"/>
      <c r="G82" s="85" t="str">
        <f aca="false">IF(OR(A82="",D82=""),"",COUNTIFS('Staff Attendance'!$B$5:$B$304,A82,'Staff Attendance'!$E$5:$E$304,"A",'Staff Attendance'!$A$5:$A$304,"&gt;="&amp;D82,'Staff Attendance'!$A$5:$A$304,"&lt;"&amp;EDATE(D82,1)))</f>
        <v/>
      </c>
      <c r="H82" s="98" t="str">
        <f aca="false">IF(G82="","",ROUND(E82/Settings!$O$5*G82,0))</f>
        <v/>
      </c>
      <c r="I82" s="97"/>
      <c r="J82" s="98" t="str">
        <f aca="false">IF(OR(A82="",H82=""),"",E82+F82-H82-I82)</f>
        <v/>
      </c>
      <c r="K82" s="52"/>
    </row>
    <row r="83" customFormat="false" ht="19.5" hidden="false" customHeight="true" outlineLevel="0" collapsed="false">
      <c r="A83" s="52"/>
      <c r="B83" s="89" t="str">
        <f aca="false">IF(A83="","",IFERROR(INDEX(Teachers!$B$5:$B$304,MATCH(A83,Teachers!$A$5:$A$304,0)),"ID not found"))</f>
        <v/>
      </c>
      <c r="C83" s="85" t="str">
        <f aca="false">IF(A83="","",IFERROR(INDEX(Teachers!$E$5:$E$304,MATCH(A83,Teachers!$A$5:$A$304,0)),""))</f>
        <v/>
      </c>
      <c r="D83" s="101"/>
      <c r="E83" s="97"/>
      <c r="F83" s="97"/>
      <c r="G83" s="85" t="str">
        <f aca="false">IF(OR(A83="",D83=""),"",COUNTIFS('Staff Attendance'!$B$5:$B$304,A83,'Staff Attendance'!$E$5:$E$304,"A",'Staff Attendance'!$A$5:$A$304,"&gt;="&amp;D83,'Staff Attendance'!$A$5:$A$304,"&lt;"&amp;EDATE(D83,1)))</f>
        <v/>
      </c>
      <c r="H83" s="98" t="str">
        <f aca="false">IF(G83="","",ROUND(E83/Settings!$O$5*G83,0))</f>
        <v/>
      </c>
      <c r="I83" s="97"/>
      <c r="J83" s="98" t="str">
        <f aca="false">IF(OR(A83="",H83=""),"",E83+F83-H83-I83)</f>
        <v/>
      </c>
      <c r="K83" s="52"/>
    </row>
    <row r="84" customFormat="false" ht="19.5" hidden="false" customHeight="true" outlineLevel="0" collapsed="false">
      <c r="A84" s="52"/>
      <c r="B84" s="89" t="str">
        <f aca="false">IF(A84="","",IFERROR(INDEX(Teachers!$B$5:$B$304,MATCH(A84,Teachers!$A$5:$A$304,0)),"ID not found"))</f>
        <v/>
      </c>
      <c r="C84" s="85" t="str">
        <f aca="false">IF(A84="","",IFERROR(INDEX(Teachers!$E$5:$E$304,MATCH(A84,Teachers!$A$5:$A$304,0)),""))</f>
        <v/>
      </c>
      <c r="D84" s="101"/>
      <c r="E84" s="97"/>
      <c r="F84" s="97"/>
      <c r="G84" s="85" t="str">
        <f aca="false">IF(OR(A84="",D84=""),"",COUNTIFS('Staff Attendance'!$B$5:$B$304,A84,'Staff Attendance'!$E$5:$E$304,"A",'Staff Attendance'!$A$5:$A$304,"&gt;="&amp;D84,'Staff Attendance'!$A$5:$A$304,"&lt;"&amp;EDATE(D84,1)))</f>
        <v/>
      </c>
      <c r="H84" s="98" t="str">
        <f aca="false">IF(G84="","",ROUND(E84/Settings!$O$5*G84,0))</f>
        <v/>
      </c>
      <c r="I84" s="97"/>
      <c r="J84" s="98" t="str">
        <f aca="false">IF(OR(A84="",H84=""),"",E84+F84-H84-I84)</f>
        <v/>
      </c>
      <c r="K84" s="52"/>
    </row>
    <row r="85" customFormat="false" ht="19.5" hidden="false" customHeight="true" outlineLevel="0" collapsed="false">
      <c r="A85" s="52"/>
      <c r="B85" s="89" t="str">
        <f aca="false">IF(A85="","",IFERROR(INDEX(Teachers!$B$5:$B$304,MATCH(A85,Teachers!$A$5:$A$304,0)),"ID not found"))</f>
        <v/>
      </c>
      <c r="C85" s="85" t="str">
        <f aca="false">IF(A85="","",IFERROR(INDEX(Teachers!$E$5:$E$304,MATCH(A85,Teachers!$A$5:$A$304,0)),""))</f>
        <v/>
      </c>
      <c r="D85" s="101"/>
      <c r="E85" s="97"/>
      <c r="F85" s="97"/>
      <c r="G85" s="85" t="str">
        <f aca="false">IF(OR(A85="",D85=""),"",COUNTIFS('Staff Attendance'!$B$5:$B$304,A85,'Staff Attendance'!$E$5:$E$304,"A",'Staff Attendance'!$A$5:$A$304,"&gt;="&amp;D85,'Staff Attendance'!$A$5:$A$304,"&lt;"&amp;EDATE(D85,1)))</f>
        <v/>
      </c>
      <c r="H85" s="98" t="str">
        <f aca="false">IF(G85="","",ROUND(E85/Settings!$O$5*G85,0))</f>
        <v/>
      </c>
      <c r="I85" s="97"/>
      <c r="J85" s="98" t="str">
        <f aca="false">IF(OR(A85="",H85=""),"",E85+F85-H85-I85)</f>
        <v/>
      </c>
      <c r="K85" s="52"/>
    </row>
    <row r="86" customFormat="false" ht="19.5" hidden="false" customHeight="true" outlineLevel="0" collapsed="false">
      <c r="A86" s="52"/>
      <c r="B86" s="89" t="str">
        <f aca="false">IF(A86="","",IFERROR(INDEX(Teachers!$B$5:$B$304,MATCH(A86,Teachers!$A$5:$A$304,0)),"ID not found"))</f>
        <v/>
      </c>
      <c r="C86" s="85" t="str">
        <f aca="false">IF(A86="","",IFERROR(INDEX(Teachers!$E$5:$E$304,MATCH(A86,Teachers!$A$5:$A$304,0)),""))</f>
        <v/>
      </c>
      <c r="D86" s="101"/>
      <c r="E86" s="97"/>
      <c r="F86" s="97"/>
      <c r="G86" s="85" t="str">
        <f aca="false">IF(OR(A86="",D86=""),"",COUNTIFS('Staff Attendance'!$B$5:$B$304,A86,'Staff Attendance'!$E$5:$E$304,"A",'Staff Attendance'!$A$5:$A$304,"&gt;="&amp;D86,'Staff Attendance'!$A$5:$A$304,"&lt;"&amp;EDATE(D86,1)))</f>
        <v/>
      </c>
      <c r="H86" s="98" t="str">
        <f aca="false">IF(G86="","",ROUND(E86/Settings!$O$5*G86,0))</f>
        <v/>
      </c>
      <c r="I86" s="97"/>
      <c r="J86" s="98" t="str">
        <f aca="false">IF(OR(A86="",H86=""),"",E86+F86-H86-I86)</f>
        <v/>
      </c>
      <c r="K86" s="52"/>
    </row>
    <row r="87" customFormat="false" ht="19.5" hidden="false" customHeight="true" outlineLevel="0" collapsed="false">
      <c r="A87" s="52"/>
      <c r="B87" s="89" t="str">
        <f aca="false">IF(A87="","",IFERROR(INDEX(Teachers!$B$5:$B$304,MATCH(A87,Teachers!$A$5:$A$304,0)),"ID not found"))</f>
        <v/>
      </c>
      <c r="C87" s="85" t="str">
        <f aca="false">IF(A87="","",IFERROR(INDEX(Teachers!$E$5:$E$304,MATCH(A87,Teachers!$A$5:$A$304,0)),""))</f>
        <v/>
      </c>
      <c r="D87" s="101"/>
      <c r="E87" s="97"/>
      <c r="F87" s="97"/>
      <c r="G87" s="85" t="str">
        <f aca="false">IF(OR(A87="",D87=""),"",COUNTIFS('Staff Attendance'!$B$5:$B$304,A87,'Staff Attendance'!$E$5:$E$304,"A",'Staff Attendance'!$A$5:$A$304,"&gt;="&amp;D87,'Staff Attendance'!$A$5:$A$304,"&lt;"&amp;EDATE(D87,1)))</f>
        <v/>
      </c>
      <c r="H87" s="98" t="str">
        <f aca="false">IF(G87="","",ROUND(E87/Settings!$O$5*G87,0))</f>
        <v/>
      </c>
      <c r="I87" s="97"/>
      <c r="J87" s="98" t="str">
        <f aca="false">IF(OR(A87="",H87=""),"",E87+F87-H87-I87)</f>
        <v/>
      </c>
      <c r="K87" s="52"/>
    </row>
    <row r="88" customFormat="false" ht="19.5" hidden="false" customHeight="true" outlineLevel="0" collapsed="false">
      <c r="A88" s="52"/>
      <c r="B88" s="89" t="str">
        <f aca="false">IF(A88="","",IFERROR(INDEX(Teachers!$B$5:$B$304,MATCH(A88,Teachers!$A$5:$A$304,0)),"ID not found"))</f>
        <v/>
      </c>
      <c r="C88" s="85" t="str">
        <f aca="false">IF(A88="","",IFERROR(INDEX(Teachers!$E$5:$E$304,MATCH(A88,Teachers!$A$5:$A$304,0)),""))</f>
        <v/>
      </c>
      <c r="D88" s="101"/>
      <c r="E88" s="97"/>
      <c r="F88" s="97"/>
      <c r="G88" s="85" t="str">
        <f aca="false">IF(OR(A88="",D88=""),"",COUNTIFS('Staff Attendance'!$B$5:$B$304,A88,'Staff Attendance'!$E$5:$E$304,"A",'Staff Attendance'!$A$5:$A$304,"&gt;="&amp;D88,'Staff Attendance'!$A$5:$A$304,"&lt;"&amp;EDATE(D88,1)))</f>
        <v/>
      </c>
      <c r="H88" s="98" t="str">
        <f aca="false">IF(G88="","",ROUND(E88/Settings!$O$5*G88,0))</f>
        <v/>
      </c>
      <c r="I88" s="97"/>
      <c r="J88" s="98" t="str">
        <f aca="false">IF(OR(A88="",H88=""),"",E88+F88-H88-I88)</f>
        <v/>
      </c>
      <c r="K88" s="52"/>
    </row>
    <row r="89" customFormat="false" ht="19.5" hidden="false" customHeight="true" outlineLevel="0" collapsed="false">
      <c r="A89" s="52"/>
      <c r="B89" s="89" t="str">
        <f aca="false">IF(A89="","",IFERROR(INDEX(Teachers!$B$5:$B$304,MATCH(A89,Teachers!$A$5:$A$304,0)),"ID not found"))</f>
        <v/>
      </c>
      <c r="C89" s="85" t="str">
        <f aca="false">IF(A89="","",IFERROR(INDEX(Teachers!$E$5:$E$304,MATCH(A89,Teachers!$A$5:$A$304,0)),""))</f>
        <v/>
      </c>
      <c r="D89" s="101"/>
      <c r="E89" s="97"/>
      <c r="F89" s="97"/>
      <c r="G89" s="85" t="str">
        <f aca="false">IF(OR(A89="",D89=""),"",COUNTIFS('Staff Attendance'!$B$5:$B$304,A89,'Staff Attendance'!$E$5:$E$304,"A",'Staff Attendance'!$A$5:$A$304,"&gt;="&amp;D89,'Staff Attendance'!$A$5:$A$304,"&lt;"&amp;EDATE(D89,1)))</f>
        <v/>
      </c>
      <c r="H89" s="98" t="str">
        <f aca="false">IF(G89="","",ROUND(E89/Settings!$O$5*G89,0))</f>
        <v/>
      </c>
      <c r="I89" s="97"/>
      <c r="J89" s="98" t="str">
        <f aca="false">IF(OR(A89="",H89=""),"",E89+F89-H89-I89)</f>
        <v/>
      </c>
      <c r="K89" s="52"/>
    </row>
    <row r="90" customFormat="false" ht="19.5" hidden="false" customHeight="true" outlineLevel="0" collapsed="false">
      <c r="A90" s="52"/>
      <c r="B90" s="89" t="str">
        <f aca="false">IF(A90="","",IFERROR(INDEX(Teachers!$B$5:$B$304,MATCH(A90,Teachers!$A$5:$A$304,0)),"ID not found"))</f>
        <v/>
      </c>
      <c r="C90" s="85" t="str">
        <f aca="false">IF(A90="","",IFERROR(INDEX(Teachers!$E$5:$E$304,MATCH(A90,Teachers!$A$5:$A$304,0)),""))</f>
        <v/>
      </c>
      <c r="D90" s="101"/>
      <c r="E90" s="97"/>
      <c r="F90" s="97"/>
      <c r="G90" s="85" t="str">
        <f aca="false">IF(OR(A90="",D90=""),"",COUNTIFS('Staff Attendance'!$B$5:$B$304,A90,'Staff Attendance'!$E$5:$E$304,"A",'Staff Attendance'!$A$5:$A$304,"&gt;="&amp;D90,'Staff Attendance'!$A$5:$A$304,"&lt;"&amp;EDATE(D90,1)))</f>
        <v/>
      </c>
      <c r="H90" s="98" t="str">
        <f aca="false">IF(G90="","",ROUND(E90/Settings!$O$5*G90,0))</f>
        <v/>
      </c>
      <c r="I90" s="97"/>
      <c r="J90" s="98" t="str">
        <f aca="false">IF(OR(A90="",H90=""),"",E90+F90-H90-I90)</f>
        <v/>
      </c>
      <c r="K90" s="52"/>
    </row>
    <row r="91" customFormat="false" ht="19.5" hidden="false" customHeight="true" outlineLevel="0" collapsed="false">
      <c r="A91" s="52"/>
      <c r="B91" s="89" t="str">
        <f aca="false">IF(A91="","",IFERROR(INDEX(Teachers!$B$5:$B$304,MATCH(A91,Teachers!$A$5:$A$304,0)),"ID not found"))</f>
        <v/>
      </c>
      <c r="C91" s="85" t="str">
        <f aca="false">IF(A91="","",IFERROR(INDEX(Teachers!$E$5:$E$304,MATCH(A91,Teachers!$A$5:$A$304,0)),""))</f>
        <v/>
      </c>
      <c r="D91" s="101"/>
      <c r="E91" s="97"/>
      <c r="F91" s="97"/>
      <c r="G91" s="85" t="str">
        <f aca="false">IF(OR(A91="",D91=""),"",COUNTIFS('Staff Attendance'!$B$5:$B$304,A91,'Staff Attendance'!$E$5:$E$304,"A",'Staff Attendance'!$A$5:$A$304,"&gt;="&amp;D91,'Staff Attendance'!$A$5:$A$304,"&lt;"&amp;EDATE(D91,1)))</f>
        <v/>
      </c>
      <c r="H91" s="98" t="str">
        <f aca="false">IF(G91="","",ROUND(E91/Settings!$O$5*G91,0))</f>
        <v/>
      </c>
      <c r="I91" s="97"/>
      <c r="J91" s="98" t="str">
        <f aca="false">IF(OR(A91="",H91=""),"",E91+F91-H91-I91)</f>
        <v/>
      </c>
      <c r="K91" s="52"/>
    </row>
    <row r="92" customFormat="false" ht="19.5" hidden="false" customHeight="true" outlineLevel="0" collapsed="false">
      <c r="A92" s="52"/>
      <c r="B92" s="89" t="str">
        <f aca="false">IF(A92="","",IFERROR(INDEX(Teachers!$B$5:$B$304,MATCH(A92,Teachers!$A$5:$A$304,0)),"ID not found"))</f>
        <v/>
      </c>
      <c r="C92" s="85" t="str">
        <f aca="false">IF(A92="","",IFERROR(INDEX(Teachers!$E$5:$E$304,MATCH(A92,Teachers!$A$5:$A$304,0)),""))</f>
        <v/>
      </c>
      <c r="D92" s="101"/>
      <c r="E92" s="97"/>
      <c r="F92" s="97"/>
      <c r="G92" s="85" t="str">
        <f aca="false">IF(OR(A92="",D92=""),"",COUNTIFS('Staff Attendance'!$B$5:$B$304,A92,'Staff Attendance'!$E$5:$E$304,"A",'Staff Attendance'!$A$5:$A$304,"&gt;="&amp;D92,'Staff Attendance'!$A$5:$A$304,"&lt;"&amp;EDATE(D92,1)))</f>
        <v/>
      </c>
      <c r="H92" s="98" t="str">
        <f aca="false">IF(G92="","",ROUND(E92/Settings!$O$5*G92,0))</f>
        <v/>
      </c>
      <c r="I92" s="97"/>
      <c r="J92" s="98" t="str">
        <f aca="false">IF(OR(A92="",H92=""),"",E92+F92-H92-I92)</f>
        <v/>
      </c>
      <c r="K92" s="52"/>
    </row>
    <row r="93" customFormat="false" ht="19.5" hidden="false" customHeight="true" outlineLevel="0" collapsed="false">
      <c r="A93" s="52"/>
      <c r="B93" s="89" t="str">
        <f aca="false">IF(A93="","",IFERROR(INDEX(Teachers!$B$5:$B$304,MATCH(A93,Teachers!$A$5:$A$304,0)),"ID not found"))</f>
        <v/>
      </c>
      <c r="C93" s="85" t="str">
        <f aca="false">IF(A93="","",IFERROR(INDEX(Teachers!$E$5:$E$304,MATCH(A93,Teachers!$A$5:$A$304,0)),""))</f>
        <v/>
      </c>
      <c r="D93" s="101"/>
      <c r="E93" s="97"/>
      <c r="F93" s="97"/>
      <c r="G93" s="85" t="str">
        <f aca="false">IF(OR(A93="",D93=""),"",COUNTIFS('Staff Attendance'!$B$5:$B$304,A93,'Staff Attendance'!$E$5:$E$304,"A",'Staff Attendance'!$A$5:$A$304,"&gt;="&amp;D93,'Staff Attendance'!$A$5:$A$304,"&lt;"&amp;EDATE(D93,1)))</f>
        <v/>
      </c>
      <c r="H93" s="98" t="str">
        <f aca="false">IF(G93="","",ROUND(E93/Settings!$O$5*G93,0))</f>
        <v/>
      </c>
      <c r="I93" s="97"/>
      <c r="J93" s="98" t="str">
        <f aca="false">IF(OR(A93="",H93=""),"",E93+F93-H93-I93)</f>
        <v/>
      </c>
      <c r="K93" s="52"/>
    </row>
    <row r="94" customFormat="false" ht="19.5" hidden="false" customHeight="true" outlineLevel="0" collapsed="false">
      <c r="A94" s="52"/>
      <c r="B94" s="89" t="str">
        <f aca="false">IF(A94="","",IFERROR(INDEX(Teachers!$B$5:$B$304,MATCH(A94,Teachers!$A$5:$A$304,0)),"ID not found"))</f>
        <v/>
      </c>
      <c r="C94" s="85" t="str">
        <f aca="false">IF(A94="","",IFERROR(INDEX(Teachers!$E$5:$E$304,MATCH(A94,Teachers!$A$5:$A$304,0)),""))</f>
        <v/>
      </c>
      <c r="D94" s="101"/>
      <c r="E94" s="97"/>
      <c r="F94" s="97"/>
      <c r="G94" s="85" t="str">
        <f aca="false">IF(OR(A94="",D94=""),"",COUNTIFS('Staff Attendance'!$B$5:$B$304,A94,'Staff Attendance'!$E$5:$E$304,"A",'Staff Attendance'!$A$5:$A$304,"&gt;="&amp;D94,'Staff Attendance'!$A$5:$A$304,"&lt;"&amp;EDATE(D94,1)))</f>
        <v/>
      </c>
      <c r="H94" s="98" t="str">
        <f aca="false">IF(G94="","",ROUND(E94/Settings!$O$5*G94,0))</f>
        <v/>
      </c>
      <c r="I94" s="97"/>
      <c r="J94" s="98" t="str">
        <f aca="false">IF(OR(A94="",H94=""),"",E94+F94-H94-I94)</f>
        <v/>
      </c>
      <c r="K94" s="52"/>
    </row>
    <row r="95" customFormat="false" ht="19.5" hidden="false" customHeight="true" outlineLevel="0" collapsed="false">
      <c r="A95" s="52"/>
      <c r="B95" s="89" t="str">
        <f aca="false">IF(A95="","",IFERROR(INDEX(Teachers!$B$5:$B$304,MATCH(A95,Teachers!$A$5:$A$304,0)),"ID not found"))</f>
        <v/>
      </c>
      <c r="C95" s="85" t="str">
        <f aca="false">IF(A95="","",IFERROR(INDEX(Teachers!$E$5:$E$304,MATCH(A95,Teachers!$A$5:$A$304,0)),""))</f>
        <v/>
      </c>
      <c r="D95" s="101"/>
      <c r="E95" s="97"/>
      <c r="F95" s="97"/>
      <c r="G95" s="85" t="str">
        <f aca="false">IF(OR(A95="",D95=""),"",COUNTIFS('Staff Attendance'!$B$5:$B$304,A95,'Staff Attendance'!$E$5:$E$304,"A",'Staff Attendance'!$A$5:$A$304,"&gt;="&amp;D95,'Staff Attendance'!$A$5:$A$304,"&lt;"&amp;EDATE(D95,1)))</f>
        <v/>
      </c>
      <c r="H95" s="98" t="str">
        <f aca="false">IF(G95="","",ROUND(E95/Settings!$O$5*G95,0))</f>
        <v/>
      </c>
      <c r="I95" s="97"/>
      <c r="J95" s="98" t="str">
        <f aca="false">IF(OR(A95="",H95=""),"",E95+F95-H95-I95)</f>
        <v/>
      </c>
      <c r="K95" s="52"/>
    </row>
    <row r="96" customFormat="false" ht="19.5" hidden="false" customHeight="true" outlineLevel="0" collapsed="false">
      <c r="A96" s="52"/>
      <c r="B96" s="89" t="str">
        <f aca="false">IF(A96="","",IFERROR(INDEX(Teachers!$B$5:$B$304,MATCH(A96,Teachers!$A$5:$A$304,0)),"ID not found"))</f>
        <v/>
      </c>
      <c r="C96" s="85" t="str">
        <f aca="false">IF(A96="","",IFERROR(INDEX(Teachers!$E$5:$E$304,MATCH(A96,Teachers!$A$5:$A$304,0)),""))</f>
        <v/>
      </c>
      <c r="D96" s="101"/>
      <c r="E96" s="97"/>
      <c r="F96" s="97"/>
      <c r="G96" s="85" t="str">
        <f aca="false">IF(OR(A96="",D96=""),"",COUNTIFS('Staff Attendance'!$B$5:$B$304,A96,'Staff Attendance'!$E$5:$E$304,"A",'Staff Attendance'!$A$5:$A$304,"&gt;="&amp;D96,'Staff Attendance'!$A$5:$A$304,"&lt;"&amp;EDATE(D96,1)))</f>
        <v/>
      </c>
      <c r="H96" s="98" t="str">
        <f aca="false">IF(G96="","",ROUND(E96/Settings!$O$5*G96,0))</f>
        <v/>
      </c>
      <c r="I96" s="97"/>
      <c r="J96" s="98" t="str">
        <f aca="false">IF(OR(A96="",H96=""),"",E96+F96-H96-I96)</f>
        <v/>
      </c>
      <c r="K96" s="52"/>
    </row>
    <row r="97" customFormat="false" ht="19.5" hidden="false" customHeight="true" outlineLevel="0" collapsed="false">
      <c r="A97" s="52"/>
      <c r="B97" s="89" t="str">
        <f aca="false">IF(A97="","",IFERROR(INDEX(Teachers!$B$5:$B$304,MATCH(A97,Teachers!$A$5:$A$304,0)),"ID not found"))</f>
        <v/>
      </c>
      <c r="C97" s="85" t="str">
        <f aca="false">IF(A97="","",IFERROR(INDEX(Teachers!$E$5:$E$304,MATCH(A97,Teachers!$A$5:$A$304,0)),""))</f>
        <v/>
      </c>
      <c r="D97" s="101"/>
      <c r="E97" s="97"/>
      <c r="F97" s="97"/>
      <c r="G97" s="85" t="str">
        <f aca="false">IF(OR(A97="",D97=""),"",COUNTIFS('Staff Attendance'!$B$5:$B$304,A97,'Staff Attendance'!$E$5:$E$304,"A",'Staff Attendance'!$A$5:$A$304,"&gt;="&amp;D97,'Staff Attendance'!$A$5:$A$304,"&lt;"&amp;EDATE(D97,1)))</f>
        <v/>
      </c>
      <c r="H97" s="98" t="str">
        <f aca="false">IF(G97="","",ROUND(E97/Settings!$O$5*G97,0))</f>
        <v/>
      </c>
      <c r="I97" s="97"/>
      <c r="J97" s="98" t="str">
        <f aca="false">IF(OR(A97="",H97=""),"",E97+F97-H97-I97)</f>
        <v/>
      </c>
      <c r="K97" s="52"/>
    </row>
    <row r="98" customFormat="false" ht="19.5" hidden="false" customHeight="true" outlineLevel="0" collapsed="false">
      <c r="A98" s="52"/>
      <c r="B98" s="89" t="str">
        <f aca="false">IF(A98="","",IFERROR(INDEX(Teachers!$B$5:$B$304,MATCH(A98,Teachers!$A$5:$A$304,0)),"ID not found"))</f>
        <v/>
      </c>
      <c r="C98" s="85" t="str">
        <f aca="false">IF(A98="","",IFERROR(INDEX(Teachers!$E$5:$E$304,MATCH(A98,Teachers!$A$5:$A$304,0)),""))</f>
        <v/>
      </c>
      <c r="D98" s="101"/>
      <c r="E98" s="97"/>
      <c r="F98" s="97"/>
      <c r="G98" s="85" t="str">
        <f aca="false">IF(OR(A98="",D98=""),"",COUNTIFS('Staff Attendance'!$B$5:$B$304,A98,'Staff Attendance'!$E$5:$E$304,"A",'Staff Attendance'!$A$5:$A$304,"&gt;="&amp;D98,'Staff Attendance'!$A$5:$A$304,"&lt;"&amp;EDATE(D98,1)))</f>
        <v/>
      </c>
      <c r="H98" s="98" t="str">
        <f aca="false">IF(G98="","",ROUND(E98/Settings!$O$5*G98,0))</f>
        <v/>
      </c>
      <c r="I98" s="97"/>
      <c r="J98" s="98" t="str">
        <f aca="false">IF(OR(A98="",H98=""),"",E98+F98-H98-I98)</f>
        <v/>
      </c>
      <c r="K98" s="52"/>
    </row>
    <row r="99" customFormat="false" ht="19.5" hidden="false" customHeight="true" outlineLevel="0" collapsed="false">
      <c r="A99" s="52"/>
      <c r="B99" s="89" t="str">
        <f aca="false">IF(A99="","",IFERROR(INDEX(Teachers!$B$5:$B$304,MATCH(A99,Teachers!$A$5:$A$304,0)),"ID not found"))</f>
        <v/>
      </c>
      <c r="C99" s="85" t="str">
        <f aca="false">IF(A99="","",IFERROR(INDEX(Teachers!$E$5:$E$304,MATCH(A99,Teachers!$A$5:$A$304,0)),""))</f>
        <v/>
      </c>
      <c r="D99" s="101"/>
      <c r="E99" s="97"/>
      <c r="F99" s="97"/>
      <c r="G99" s="85" t="str">
        <f aca="false">IF(OR(A99="",D99=""),"",COUNTIFS('Staff Attendance'!$B$5:$B$304,A99,'Staff Attendance'!$E$5:$E$304,"A",'Staff Attendance'!$A$5:$A$304,"&gt;="&amp;D99,'Staff Attendance'!$A$5:$A$304,"&lt;"&amp;EDATE(D99,1)))</f>
        <v/>
      </c>
      <c r="H99" s="98" t="str">
        <f aca="false">IF(G99="","",ROUND(E99/Settings!$O$5*G99,0))</f>
        <v/>
      </c>
      <c r="I99" s="97"/>
      <c r="J99" s="98" t="str">
        <f aca="false">IF(OR(A99="",H99=""),"",E99+F99-H99-I99)</f>
        <v/>
      </c>
      <c r="K99" s="52"/>
    </row>
    <row r="100" customFormat="false" ht="19.5" hidden="false" customHeight="true" outlineLevel="0" collapsed="false">
      <c r="A100" s="52"/>
      <c r="B100" s="89" t="str">
        <f aca="false">IF(A100="","",IFERROR(INDEX(Teachers!$B$5:$B$304,MATCH(A100,Teachers!$A$5:$A$304,0)),"ID not found"))</f>
        <v/>
      </c>
      <c r="C100" s="85" t="str">
        <f aca="false">IF(A100="","",IFERROR(INDEX(Teachers!$E$5:$E$304,MATCH(A100,Teachers!$A$5:$A$304,0)),""))</f>
        <v/>
      </c>
      <c r="D100" s="101"/>
      <c r="E100" s="97"/>
      <c r="F100" s="97"/>
      <c r="G100" s="85" t="str">
        <f aca="false">IF(OR(A100="",D100=""),"",COUNTIFS('Staff Attendance'!$B$5:$B$304,A100,'Staff Attendance'!$E$5:$E$304,"A",'Staff Attendance'!$A$5:$A$304,"&gt;="&amp;D100,'Staff Attendance'!$A$5:$A$304,"&lt;"&amp;EDATE(D100,1)))</f>
        <v/>
      </c>
      <c r="H100" s="98" t="str">
        <f aca="false">IF(G100="","",ROUND(E100/Settings!$O$5*G100,0))</f>
        <v/>
      </c>
      <c r="I100" s="97"/>
      <c r="J100" s="98" t="str">
        <f aca="false">IF(OR(A100="",H100=""),"",E100+F100-H100-I100)</f>
        <v/>
      </c>
      <c r="K100" s="52"/>
    </row>
    <row r="101" customFormat="false" ht="19.5" hidden="false" customHeight="true" outlineLevel="0" collapsed="false">
      <c r="A101" s="52"/>
      <c r="B101" s="89" t="str">
        <f aca="false">IF(A101="","",IFERROR(INDEX(Teachers!$B$5:$B$304,MATCH(A101,Teachers!$A$5:$A$304,0)),"ID not found"))</f>
        <v/>
      </c>
      <c r="C101" s="85" t="str">
        <f aca="false">IF(A101="","",IFERROR(INDEX(Teachers!$E$5:$E$304,MATCH(A101,Teachers!$A$5:$A$304,0)),""))</f>
        <v/>
      </c>
      <c r="D101" s="101"/>
      <c r="E101" s="97"/>
      <c r="F101" s="97"/>
      <c r="G101" s="85" t="str">
        <f aca="false">IF(OR(A101="",D101=""),"",COUNTIFS('Staff Attendance'!$B$5:$B$304,A101,'Staff Attendance'!$E$5:$E$304,"A",'Staff Attendance'!$A$5:$A$304,"&gt;="&amp;D101,'Staff Attendance'!$A$5:$A$304,"&lt;"&amp;EDATE(D101,1)))</f>
        <v/>
      </c>
      <c r="H101" s="98" t="str">
        <f aca="false">IF(G101="","",ROUND(E101/Settings!$O$5*G101,0))</f>
        <v/>
      </c>
      <c r="I101" s="97"/>
      <c r="J101" s="98" t="str">
        <f aca="false">IF(OR(A101="",H101=""),"",E101+F101-H101-I101)</f>
        <v/>
      </c>
      <c r="K101" s="52"/>
    </row>
    <row r="102" customFormat="false" ht="19.5" hidden="false" customHeight="true" outlineLevel="0" collapsed="false">
      <c r="A102" s="52"/>
      <c r="B102" s="89" t="str">
        <f aca="false">IF(A102="","",IFERROR(INDEX(Teachers!$B$5:$B$304,MATCH(A102,Teachers!$A$5:$A$304,0)),"ID not found"))</f>
        <v/>
      </c>
      <c r="C102" s="85" t="str">
        <f aca="false">IF(A102="","",IFERROR(INDEX(Teachers!$E$5:$E$304,MATCH(A102,Teachers!$A$5:$A$304,0)),""))</f>
        <v/>
      </c>
      <c r="D102" s="101"/>
      <c r="E102" s="97"/>
      <c r="F102" s="97"/>
      <c r="G102" s="85" t="str">
        <f aca="false">IF(OR(A102="",D102=""),"",COUNTIFS('Staff Attendance'!$B$5:$B$304,A102,'Staff Attendance'!$E$5:$E$304,"A",'Staff Attendance'!$A$5:$A$304,"&gt;="&amp;D102,'Staff Attendance'!$A$5:$A$304,"&lt;"&amp;EDATE(D102,1)))</f>
        <v/>
      </c>
      <c r="H102" s="98" t="str">
        <f aca="false">IF(G102="","",ROUND(E102/Settings!$O$5*G102,0))</f>
        <v/>
      </c>
      <c r="I102" s="97"/>
      <c r="J102" s="98" t="str">
        <f aca="false">IF(OR(A102="",H102=""),"",E102+F102-H102-I102)</f>
        <v/>
      </c>
      <c r="K102" s="52"/>
    </row>
    <row r="103" customFormat="false" ht="19.5" hidden="false" customHeight="true" outlineLevel="0" collapsed="false">
      <c r="A103" s="52"/>
      <c r="B103" s="89" t="str">
        <f aca="false">IF(A103="","",IFERROR(INDEX(Teachers!$B$5:$B$304,MATCH(A103,Teachers!$A$5:$A$304,0)),"ID not found"))</f>
        <v/>
      </c>
      <c r="C103" s="85" t="str">
        <f aca="false">IF(A103="","",IFERROR(INDEX(Teachers!$E$5:$E$304,MATCH(A103,Teachers!$A$5:$A$304,0)),""))</f>
        <v/>
      </c>
      <c r="D103" s="101"/>
      <c r="E103" s="97"/>
      <c r="F103" s="97"/>
      <c r="G103" s="85" t="str">
        <f aca="false">IF(OR(A103="",D103=""),"",COUNTIFS('Staff Attendance'!$B$5:$B$304,A103,'Staff Attendance'!$E$5:$E$304,"A",'Staff Attendance'!$A$5:$A$304,"&gt;="&amp;D103,'Staff Attendance'!$A$5:$A$304,"&lt;"&amp;EDATE(D103,1)))</f>
        <v/>
      </c>
      <c r="H103" s="98" t="str">
        <f aca="false">IF(G103="","",ROUND(E103/Settings!$O$5*G103,0))</f>
        <v/>
      </c>
      <c r="I103" s="97"/>
      <c r="J103" s="98" t="str">
        <f aca="false">IF(OR(A103="",H103=""),"",E103+F103-H103-I103)</f>
        <v/>
      </c>
      <c r="K103" s="52"/>
    </row>
    <row r="104" customFormat="false" ht="19.5" hidden="false" customHeight="true" outlineLevel="0" collapsed="false">
      <c r="A104" s="52"/>
      <c r="B104" s="89" t="str">
        <f aca="false">IF(A104="","",IFERROR(INDEX(Teachers!$B$5:$B$304,MATCH(A104,Teachers!$A$5:$A$304,0)),"ID not found"))</f>
        <v/>
      </c>
      <c r="C104" s="85" t="str">
        <f aca="false">IF(A104="","",IFERROR(INDEX(Teachers!$E$5:$E$304,MATCH(A104,Teachers!$A$5:$A$304,0)),""))</f>
        <v/>
      </c>
      <c r="D104" s="101"/>
      <c r="E104" s="97"/>
      <c r="F104" s="97"/>
      <c r="G104" s="85" t="str">
        <f aca="false">IF(OR(A104="",D104=""),"",COUNTIFS('Staff Attendance'!$B$5:$B$304,A104,'Staff Attendance'!$E$5:$E$304,"A",'Staff Attendance'!$A$5:$A$304,"&gt;="&amp;D104,'Staff Attendance'!$A$5:$A$304,"&lt;"&amp;EDATE(D104,1)))</f>
        <v/>
      </c>
      <c r="H104" s="98" t="str">
        <f aca="false">IF(G104="","",ROUND(E104/Settings!$O$5*G104,0))</f>
        <v/>
      </c>
      <c r="I104" s="97"/>
      <c r="J104" s="98" t="str">
        <f aca="false">IF(OR(A104="",H104=""),"",E104+F104-H104-I104)</f>
        <v/>
      </c>
      <c r="K104" s="52"/>
    </row>
    <row r="105" customFormat="false" ht="19.5" hidden="false" customHeight="true" outlineLevel="0" collapsed="false">
      <c r="A105" s="52"/>
      <c r="B105" s="89" t="str">
        <f aca="false">IF(A105="","",IFERROR(INDEX(Teachers!$B$5:$B$304,MATCH(A105,Teachers!$A$5:$A$304,0)),"ID not found"))</f>
        <v/>
      </c>
      <c r="C105" s="85" t="str">
        <f aca="false">IF(A105="","",IFERROR(INDEX(Teachers!$E$5:$E$304,MATCH(A105,Teachers!$A$5:$A$304,0)),""))</f>
        <v/>
      </c>
      <c r="D105" s="101"/>
      <c r="E105" s="97"/>
      <c r="F105" s="97"/>
      <c r="G105" s="85" t="str">
        <f aca="false">IF(OR(A105="",D105=""),"",COUNTIFS('Staff Attendance'!$B$5:$B$304,A105,'Staff Attendance'!$E$5:$E$304,"A",'Staff Attendance'!$A$5:$A$304,"&gt;="&amp;D105,'Staff Attendance'!$A$5:$A$304,"&lt;"&amp;EDATE(D105,1)))</f>
        <v/>
      </c>
      <c r="H105" s="98" t="str">
        <f aca="false">IF(G105="","",ROUND(E105/Settings!$O$5*G105,0))</f>
        <v/>
      </c>
      <c r="I105" s="97"/>
      <c r="J105" s="98" t="str">
        <f aca="false">IF(OR(A105="",H105=""),"",E105+F105-H105-I105)</f>
        <v/>
      </c>
      <c r="K105" s="52"/>
    </row>
    <row r="106" customFormat="false" ht="19.5" hidden="false" customHeight="true" outlineLevel="0" collapsed="false">
      <c r="A106" s="52"/>
      <c r="B106" s="89" t="str">
        <f aca="false">IF(A106="","",IFERROR(INDEX(Teachers!$B$5:$B$304,MATCH(A106,Teachers!$A$5:$A$304,0)),"ID not found"))</f>
        <v/>
      </c>
      <c r="C106" s="85" t="str">
        <f aca="false">IF(A106="","",IFERROR(INDEX(Teachers!$E$5:$E$304,MATCH(A106,Teachers!$A$5:$A$304,0)),""))</f>
        <v/>
      </c>
      <c r="D106" s="101"/>
      <c r="E106" s="97"/>
      <c r="F106" s="97"/>
      <c r="G106" s="85" t="str">
        <f aca="false">IF(OR(A106="",D106=""),"",COUNTIFS('Staff Attendance'!$B$5:$B$304,A106,'Staff Attendance'!$E$5:$E$304,"A",'Staff Attendance'!$A$5:$A$304,"&gt;="&amp;D106,'Staff Attendance'!$A$5:$A$304,"&lt;"&amp;EDATE(D106,1)))</f>
        <v/>
      </c>
      <c r="H106" s="98" t="str">
        <f aca="false">IF(G106="","",ROUND(E106/Settings!$O$5*G106,0))</f>
        <v/>
      </c>
      <c r="I106" s="97"/>
      <c r="J106" s="98" t="str">
        <f aca="false">IF(OR(A106="",H106=""),"",E106+F106-H106-I106)</f>
        <v/>
      </c>
      <c r="K106" s="52"/>
    </row>
    <row r="107" customFormat="false" ht="19.5" hidden="false" customHeight="true" outlineLevel="0" collapsed="false">
      <c r="A107" s="52"/>
      <c r="B107" s="89" t="str">
        <f aca="false">IF(A107="","",IFERROR(INDEX(Teachers!$B$5:$B$304,MATCH(A107,Teachers!$A$5:$A$304,0)),"ID not found"))</f>
        <v/>
      </c>
      <c r="C107" s="85" t="str">
        <f aca="false">IF(A107="","",IFERROR(INDEX(Teachers!$E$5:$E$304,MATCH(A107,Teachers!$A$5:$A$304,0)),""))</f>
        <v/>
      </c>
      <c r="D107" s="101"/>
      <c r="E107" s="97"/>
      <c r="F107" s="97"/>
      <c r="G107" s="85" t="str">
        <f aca="false">IF(OR(A107="",D107=""),"",COUNTIFS('Staff Attendance'!$B$5:$B$304,A107,'Staff Attendance'!$E$5:$E$304,"A",'Staff Attendance'!$A$5:$A$304,"&gt;="&amp;D107,'Staff Attendance'!$A$5:$A$304,"&lt;"&amp;EDATE(D107,1)))</f>
        <v/>
      </c>
      <c r="H107" s="98" t="str">
        <f aca="false">IF(G107="","",ROUND(E107/Settings!$O$5*G107,0))</f>
        <v/>
      </c>
      <c r="I107" s="97"/>
      <c r="J107" s="98" t="str">
        <f aca="false">IF(OR(A107="",H107=""),"",E107+F107-H107-I107)</f>
        <v/>
      </c>
      <c r="K107" s="52"/>
    </row>
    <row r="108" customFormat="false" ht="19.5" hidden="false" customHeight="true" outlineLevel="0" collapsed="false">
      <c r="A108" s="52"/>
      <c r="B108" s="89" t="str">
        <f aca="false">IF(A108="","",IFERROR(INDEX(Teachers!$B$5:$B$304,MATCH(A108,Teachers!$A$5:$A$304,0)),"ID not found"))</f>
        <v/>
      </c>
      <c r="C108" s="85" t="str">
        <f aca="false">IF(A108="","",IFERROR(INDEX(Teachers!$E$5:$E$304,MATCH(A108,Teachers!$A$5:$A$304,0)),""))</f>
        <v/>
      </c>
      <c r="D108" s="101"/>
      <c r="E108" s="97"/>
      <c r="F108" s="97"/>
      <c r="G108" s="85" t="str">
        <f aca="false">IF(OR(A108="",D108=""),"",COUNTIFS('Staff Attendance'!$B$5:$B$304,A108,'Staff Attendance'!$E$5:$E$304,"A",'Staff Attendance'!$A$5:$A$304,"&gt;="&amp;D108,'Staff Attendance'!$A$5:$A$304,"&lt;"&amp;EDATE(D108,1)))</f>
        <v/>
      </c>
      <c r="H108" s="98" t="str">
        <f aca="false">IF(G108="","",ROUND(E108/Settings!$O$5*G108,0))</f>
        <v/>
      </c>
      <c r="I108" s="97"/>
      <c r="J108" s="98" t="str">
        <f aca="false">IF(OR(A108="",H108=""),"",E108+F108-H108-I108)</f>
        <v/>
      </c>
      <c r="K108" s="52"/>
    </row>
    <row r="109" customFormat="false" ht="19.5" hidden="false" customHeight="true" outlineLevel="0" collapsed="false">
      <c r="A109" s="52"/>
      <c r="B109" s="89" t="str">
        <f aca="false">IF(A109="","",IFERROR(INDEX(Teachers!$B$5:$B$304,MATCH(A109,Teachers!$A$5:$A$304,0)),"ID not found"))</f>
        <v/>
      </c>
      <c r="C109" s="85" t="str">
        <f aca="false">IF(A109="","",IFERROR(INDEX(Teachers!$E$5:$E$304,MATCH(A109,Teachers!$A$5:$A$304,0)),""))</f>
        <v/>
      </c>
      <c r="D109" s="101"/>
      <c r="E109" s="97"/>
      <c r="F109" s="97"/>
      <c r="G109" s="85" t="str">
        <f aca="false">IF(OR(A109="",D109=""),"",COUNTIFS('Staff Attendance'!$B$5:$B$304,A109,'Staff Attendance'!$E$5:$E$304,"A",'Staff Attendance'!$A$5:$A$304,"&gt;="&amp;D109,'Staff Attendance'!$A$5:$A$304,"&lt;"&amp;EDATE(D109,1)))</f>
        <v/>
      </c>
      <c r="H109" s="98" t="str">
        <f aca="false">IF(G109="","",ROUND(E109/Settings!$O$5*G109,0))</f>
        <v/>
      </c>
      <c r="I109" s="97"/>
      <c r="J109" s="98" t="str">
        <f aca="false">IF(OR(A109="",H109=""),"",E109+F109-H109-I109)</f>
        <v/>
      </c>
      <c r="K109" s="52"/>
    </row>
    <row r="110" customFormat="false" ht="19.5" hidden="false" customHeight="true" outlineLevel="0" collapsed="false">
      <c r="A110" s="52"/>
      <c r="B110" s="89" t="str">
        <f aca="false">IF(A110="","",IFERROR(INDEX(Teachers!$B$5:$B$304,MATCH(A110,Teachers!$A$5:$A$304,0)),"ID not found"))</f>
        <v/>
      </c>
      <c r="C110" s="85" t="str">
        <f aca="false">IF(A110="","",IFERROR(INDEX(Teachers!$E$5:$E$304,MATCH(A110,Teachers!$A$5:$A$304,0)),""))</f>
        <v/>
      </c>
      <c r="D110" s="101"/>
      <c r="E110" s="97"/>
      <c r="F110" s="97"/>
      <c r="G110" s="85" t="str">
        <f aca="false">IF(OR(A110="",D110=""),"",COUNTIFS('Staff Attendance'!$B$5:$B$304,A110,'Staff Attendance'!$E$5:$E$304,"A",'Staff Attendance'!$A$5:$A$304,"&gt;="&amp;D110,'Staff Attendance'!$A$5:$A$304,"&lt;"&amp;EDATE(D110,1)))</f>
        <v/>
      </c>
      <c r="H110" s="98" t="str">
        <f aca="false">IF(G110="","",ROUND(E110/Settings!$O$5*G110,0))</f>
        <v/>
      </c>
      <c r="I110" s="97"/>
      <c r="J110" s="98" t="str">
        <f aca="false">IF(OR(A110="",H110=""),"",E110+F110-H110-I110)</f>
        <v/>
      </c>
      <c r="K110" s="52"/>
    </row>
    <row r="111" customFormat="false" ht="19.5" hidden="false" customHeight="true" outlineLevel="0" collapsed="false">
      <c r="A111" s="52"/>
      <c r="B111" s="89" t="str">
        <f aca="false">IF(A111="","",IFERROR(INDEX(Teachers!$B$5:$B$304,MATCH(A111,Teachers!$A$5:$A$304,0)),"ID not found"))</f>
        <v/>
      </c>
      <c r="C111" s="85" t="str">
        <f aca="false">IF(A111="","",IFERROR(INDEX(Teachers!$E$5:$E$304,MATCH(A111,Teachers!$A$5:$A$304,0)),""))</f>
        <v/>
      </c>
      <c r="D111" s="101"/>
      <c r="E111" s="97"/>
      <c r="F111" s="97"/>
      <c r="G111" s="85" t="str">
        <f aca="false">IF(OR(A111="",D111=""),"",COUNTIFS('Staff Attendance'!$B$5:$B$304,A111,'Staff Attendance'!$E$5:$E$304,"A",'Staff Attendance'!$A$5:$A$304,"&gt;="&amp;D111,'Staff Attendance'!$A$5:$A$304,"&lt;"&amp;EDATE(D111,1)))</f>
        <v/>
      </c>
      <c r="H111" s="98" t="str">
        <f aca="false">IF(G111="","",ROUND(E111/Settings!$O$5*G111,0))</f>
        <v/>
      </c>
      <c r="I111" s="97"/>
      <c r="J111" s="98" t="str">
        <f aca="false">IF(OR(A111="",H111=""),"",E111+F111-H111-I111)</f>
        <v/>
      </c>
      <c r="K111" s="52"/>
    </row>
    <row r="112" customFormat="false" ht="19.5" hidden="false" customHeight="true" outlineLevel="0" collapsed="false">
      <c r="A112" s="52"/>
      <c r="B112" s="89" t="str">
        <f aca="false">IF(A112="","",IFERROR(INDEX(Teachers!$B$5:$B$304,MATCH(A112,Teachers!$A$5:$A$304,0)),"ID not found"))</f>
        <v/>
      </c>
      <c r="C112" s="85" t="str">
        <f aca="false">IF(A112="","",IFERROR(INDEX(Teachers!$E$5:$E$304,MATCH(A112,Teachers!$A$5:$A$304,0)),""))</f>
        <v/>
      </c>
      <c r="D112" s="101"/>
      <c r="E112" s="97"/>
      <c r="F112" s="97"/>
      <c r="G112" s="85" t="str">
        <f aca="false">IF(OR(A112="",D112=""),"",COUNTIFS('Staff Attendance'!$B$5:$B$304,A112,'Staff Attendance'!$E$5:$E$304,"A",'Staff Attendance'!$A$5:$A$304,"&gt;="&amp;D112,'Staff Attendance'!$A$5:$A$304,"&lt;"&amp;EDATE(D112,1)))</f>
        <v/>
      </c>
      <c r="H112" s="98" t="str">
        <f aca="false">IF(G112="","",ROUND(E112/Settings!$O$5*G112,0))</f>
        <v/>
      </c>
      <c r="I112" s="97"/>
      <c r="J112" s="98" t="str">
        <f aca="false">IF(OR(A112="",H112=""),"",E112+F112-H112-I112)</f>
        <v/>
      </c>
      <c r="K112" s="52"/>
    </row>
    <row r="113" customFormat="false" ht="19.5" hidden="false" customHeight="true" outlineLevel="0" collapsed="false">
      <c r="A113" s="52"/>
      <c r="B113" s="89" t="str">
        <f aca="false">IF(A113="","",IFERROR(INDEX(Teachers!$B$5:$B$304,MATCH(A113,Teachers!$A$5:$A$304,0)),"ID not found"))</f>
        <v/>
      </c>
      <c r="C113" s="85" t="str">
        <f aca="false">IF(A113="","",IFERROR(INDEX(Teachers!$E$5:$E$304,MATCH(A113,Teachers!$A$5:$A$304,0)),""))</f>
        <v/>
      </c>
      <c r="D113" s="101"/>
      <c r="E113" s="97"/>
      <c r="F113" s="97"/>
      <c r="G113" s="85" t="str">
        <f aca="false">IF(OR(A113="",D113=""),"",COUNTIFS('Staff Attendance'!$B$5:$B$304,A113,'Staff Attendance'!$E$5:$E$304,"A",'Staff Attendance'!$A$5:$A$304,"&gt;="&amp;D113,'Staff Attendance'!$A$5:$A$304,"&lt;"&amp;EDATE(D113,1)))</f>
        <v/>
      </c>
      <c r="H113" s="98" t="str">
        <f aca="false">IF(G113="","",ROUND(E113/Settings!$O$5*G113,0))</f>
        <v/>
      </c>
      <c r="I113" s="97"/>
      <c r="J113" s="98" t="str">
        <f aca="false">IF(OR(A113="",H113=""),"",E113+F113-H113-I113)</f>
        <v/>
      </c>
      <c r="K113" s="52"/>
    </row>
    <row r="114" customFormat="false" ht="19.5" hidden="false" customHeight="true" outlineLevel="0" collapsed="false">
      <c r="A114" s="52"/>
      <c r="B114" s="89" t="str">
        <f aca="false">IF(A114="","",IFERROR(INDEX(Teachers!$B$5:$B$304,MATCH(A114,Teachers!$A$5:$A$304,0)),"ID not found"))</f>
        <v/>
      </c>
      <c r="C114" s="85" t="str">
        <f aca="false">IF(A114="","",IFERROR(INDEX(Teachers!$E$5:$E$304,MATCH(A114,Teachers!$A$5:$A$304,0)),""))</f>
        <v/>
      </c>
      <c r="D114" s="101"/>
      <c r="E114" s="97"/>
      <c r="F114" s="97"/>
      <c r="G114" s="85" t="str">
        <f aca="false">IF(OR(A114="",D114=""),"",COUNTIFS('Staff Attendance'!$B$5:$B$304,A114,'Staff Attendance'!$E$5:$E$304,"A",'Staff Attendance'!$A$5:$A$304,"&gt;="&amp;D114,'Staff Attendance'!$A$5:$A$304,"&lt;"&amp;EDATE(D114,1)))</f>
        <v/>
      </c>
      <c r="H114" s="98" t="str">
        <f aca="false">IF(G114="","",ROUND(E114/Settings!$O$5*G114,0))</f>
        <v/>
      </c>
      <c r="I114" s="97"/>
      <c r="J114" s="98" t="str">
        <f aca="false">IF(OR(A114="",H114=""),"",E114+F114-H114-I114)</f>
        <v/>
      </c>
      <c r="K114" s="52"/>
    </row>
    <row r="115" customFormat="false" ht="19.5" hidden="false" customHeight="true" outlineLevel="0" collapsed="false">
      <c r="A115" s="52"/>
      <c r="B115" s="89" t="str">
        <f aca="false">IF(A115="","",IFERROR(INDEX(Teachers!$B$5:$B$304,MATCH(A115,Teachers!$A$5:$A$304,0)),"ID not found"))</f>
        <v/>
      </c>
      <c r="C115" s="85" t="str">
        <f aca="false">IF(A115="","",IFERROR(INDEX(Teachers!$E$5:$E$304,MATCH(A115,Teachers!$A$5:$A$304,0)),""))</f>
        <v/>
      </c>
      <c r="D115" s="101"/>
      <c r="E115" s="97"/>
      <c r="F115" s="97"/>
      <c r="G115" s="85" t="str">
        <f aca="false">IF(OR(A115="",D115=""),"",COUNTIFS('Staff Attendance'!$B$5:$B$304,A115,'Staff Attendance'!$E$5:$E$304,"A",'Staff Attendance'!$A$5:$A$304,"&gt;="&amp;D115,'Staff Attendance'!$A$5:$A$304,"&lt;"&amp;EDATE(D115,1)))</f>
        <v/>
      </c>
      <c r="H115" s="98" t="str">
        <f aca="false">IF(G115="","",ROUND(E115/Settings!$O$5*G115,0))</f>
        <v/>
      </c>
      <c r="I115" s="97"/>
      <c r="J115" s="98" t="str">
        <f aca="false">IF(OR(A115="",H115=""),"",E115+F115-H115-I115)</f>
        <v/>
      </c>
      <c r="K115" s="52"/>
    </row>
    <row r="116" customFormat="false" ht="19.5" hidden="false" customHeight="true" outlineLevel="0" collapsed="false">
      <c r="A116" s="52"/>
      <c r="B116" s="89" t="str">
        <f aca="false">IF(A116="","",IFERROR(INDEX(Teachers!$B$5:$B$304,MATCH(A116,Teachers!$A$5:$A$304,0)),"ID not found"))</f>
        <v/>
      </c>
      <c r="C116" s="85" t="str">
        <f aca="false">IF(A116="","",IFERROR(INDEX(Teachers!$E$5:$E$304,MATCH(A116,Teachers!$A$5:$A$304,0)),""))</f>
        <v/>
      </c>
      <c r="D116" s="101"/>
      <c r="E116" s="97"/>
      <c r="F116" s="97"/>
      <c r="G116" s="85" t="str">
        <f aca="false">IF(OR(A116="",D116=""),"",COUNTIFS('Staff Attendance'!$B$5:$B$304,A116,'Staff Attendance'!$E$5:$E$304,"A",'Staff Attendance'!$A$5:$A$304,"&gt;="&amp;D116,'Staff Attendance'!$A$5:$A$304,"&lt;"&amp;EDATE(D116,1)))</f>
        <v/>
      </c>
      <c r="H116" s="98" t="str">
        <f aca="false">IF(G116="","",ROUND(E116/Settings!$O$5*G116,0))</f>
        <v/>
      </c>
      <c r="I116" s="97"/>
      <c r="J116" s="98" t="str">
        <f aca="false">IF(OR(A116="",H116=""),"",E116+F116-H116-I116)</f>
        <v/>
      </c>
      <c r="K116" s="52"/>
    </row>
    <row r="117" customFormat="false" ht="19.5" hidden="false" customHeight="true" outlineLevel="0" collapsed="false">
      <c r="A117" s="52"/>
      <c r="B117" s="89" t="str">
        <f aca="false">IF(A117="","",IFERROR(INDEX(Teachers!$B$5:$B$304,MATCH(A117,Teachers!$A$5:$A$304,0)),"ID not found"))</f>
        <v/>
      </c>
      <c r="C117" s="85" t="str">
        <f aca="false">IF(A117="","",IFERROR(INDEX(Teachers!$E$5:$E$304,MATCH(A117,Teachers!$A$5:$A$304,0)),""))</f>
        <v/>
      </c>
      <c r="D117" s="101"/>
      <c r="E117" s="97"/>
      <c r="F117" s="97"/>
      <c r="G117" s="85" t="str">
        <f aca="false">IF(OR(A117="",D117=""),"",COUNTIFS('Staff Attendance'!$B$5:$B$304,A117,'Staff Attendance'!$E$5:$E$304,"A",'Staff Attendance'!$A$5:$A$304,"&gt;="&amp;D117,'Staff Attendance'!$A$5:$A$304,"&lt;"&amp;EDATE(D117,1)))</f>
        <v/>
      </c>
      <c r="H117" s="98" t="str">
        <f aca="false">IF(G117="","",ROUND(E117/Settings!$O$5*G117,0))</f>
        <v/>
      </c>
      <c r="I117" s="97"/>
      <c r="J117" s="98" t="str">
        <f aca="false">IF(OR(A117="",H117=""),"",E117+F117-H117-I117)</f>
        <v/>
      </c>
      <c r="K117" s="52"/>
    </row>
    <row r="118" customFormat="false" ht="19.5" hidden="false" customHeight="true" outlineLevel="0" collapsed="false">
      <c r="A118" s="52"/>
      <c r="B118" s="89" t="str">
        <f aca="false">IF(A118="","",IFERROR(INDEX(Teachers!$B$5:$B$304,MATCH(A118,Teachers!$A$5:$A$304,0)),"ID not found"))</f>
        <v/>
      </c>
      <c r="C118" s="85" t="str">
        <f aca="false">IF(A118="","",IFERROR(INDEX(Teachers!$E$5:$E$304,MATCH(A118,Teachers!$A$5:$A$304,0)),""))</f>
        <v/>
      </c>
      <c r="D118" s="101"/>
      <c r="E118" s="97"/>
      <c r="F118" s="97"/>
      <c r="G118" s="85" t="str">
        <f aca="false">IF(OR(A118="",D118=""),"",COUNTIFS('Staff Attendance'!$B$5:$B$304,A118,'Staff Attendance'!$E$5:$E$304,"A",'Staff Attendance'!$A$5:$A$304,"&gt;="&amp;D118,'Staff Attendance'!$A$5:$A$304,"&lt;"&amp;EDATE(D118,1)))</f>
        <v/>
      </c>
      <c r="H118" s="98" t="str">
        <f aca="false">IF(G118="","",ROUND(E118/Settings!$O$5*G118,0))</f>
        <v/>
      </c>
      <c r="I118" s="97"/>
      <c r="J118" s="98" t="str">
        <f aca="false">IF(OR(A118="",H118=""),"",E118+F118-H118-I118)</f>
        <v/>
      </c>
      <c r="K118" s="52"/>
    </row>
    <row r="119" customFormat="false" ht="19.5" hidden="false" customHeight="true" outlineLevel="0" collapsed="false">
      <c r="A119" s="52"/>
      <c r="B119" s="89" t="str">
        <f aca="false">IF(A119="","",IFERROR(INDEX(Teachers!$B$5:$B$304,MATCH(A119,Teachers!$A$5:$A$304,0)),"ID not found"))</f>
        <v/>
      </c>
      <c r="C119" s="85" t="str">
        <f aca="false">IF(A119="","",IFERROR(INDEX(Teachers!$E$5:$E$304,MATCH(A119,Teachers!$A$5:$A$304,0)),""))</f>
        <v/>
      </c>
      <c r="D119" s="101"/>
      <c r="E119" s="97"/>
      <c r="F119" s="97"/>
      <c r="G119" s="85" t="str">
        <f aca="false">IF(OR(A119="",D119=""),"",COUNTIFS('Staff Attendance'!$B$5:$B$304,A119,'Staff Attendance'!$E$5:$E$304,"A",'Staff Attendance'!$A$5:$A$304,"&gt;="&amp;D119,'Staff Attendance'!$A$5:$A$304,"&lt;"&amp;EDATE(D119,1)))</f>
        <v/>
      </c>
      <c r="H119" s="98" t="str">
        <f aca="false">IF(G119="","",ROUND(E119/Settings!$O$5*G119,0))</f>
        <v/>
      </c>
      <c r="I119" s="97"/>
      <c r="J119" s="98" t="str">
        <f aca="false">IF(OR(A119="",H119=""),"",E119+F119-H119-I119)</f>
        <v/>
      </c>
      <c r="K119" s="52"/>
    </row>
    <row r="120" customFormat="false" ht="19.5" hidden="false" customHeight="true" outlineLevel="0" collapsed="false">
      <c r="A120" s="52"/>
      <c r="B120" s="89" t="str">
        <f aca="false">IF(A120="","",IFERROR(INDEX(Teachers!$B$5:$B$304,MATCH(A120,Teachers!$A$5:$A$304,0)),"ID not found"))</f>
        <v/>
      </c>
      <c r="C120" s="85" t="str">
        <f aca="false">IF(A120="","",IFERROR(INDEX(Teachers!$E$5:$E$304,MATCH(A120,Teachers!$A$5:$A$304,0)),""))</f>
        <v/>
      </c>
      <c r="D120" s="101"/>
      <c r="E120" s="97"/>
      <c r="F120" s="97"/>
      <c r="G120" s="85" t="str">
        <f aca="false">IF(OR(A120="",D120=""),"",COUNTIFS('Staff Attendance'!$B$5:$B$304,A120,'Staff Attendance'!$E$5:$E$304,"A",'Staff Attendance'!$A$5:$A$304,"&gt;="&amp;D120,'Staff Attendance'!$A$5:$A$304,"&lt;"&amp;EDATE(D120,1)))</f>
        <v/>
      </c>
      <c r="H120" s="98" t="str">
        <f aca="false">IF(G120="","",ROUND(E120/Settings!$O$5*G120,0))</f>
        <v/>
      </c>
      <c r="I120" s="97"/>
      <c r="J120" s="98" t="str">
        <f aca="false">IF(OR(A120="",H120=""),"",E120+F120-H120-I120)</f>
        <v/>
      </c>
      <c r="K120" s="52"/>
    </row>
    <row r="121" customFormat="false" ht="19.5" hidden="false" customHeight="true" outlineLevel="0" collapsed="false">
      <c r="A121" s="52"/>
      <c r="B121" s="89" t="str">
        <f aca="false">IF(A121="","",IFERROR(INDEX(Teachers!$B$5:$B$304,MATCH(A121,Teachers!$A$5:$A$304,0)),"ID not found"))</f>
        <v/>
      </c>
      <c r="C121" s="85" t="str">
        <f aca="false">IF(A121="","",IFERROR(INDEX(Teachers!$E$5:$E$304,MATCH(A121,Teachers!$A$5:$A$304,0)),""))</f>
        <v/>
      </c>
      <c r="D121" s="101"/>
      <c r="E121" s="97"/>
      <c r="F121" s="97"/>
      <c r="G121" s="85" t="str">
        <f aca="false">IF(OR(A121="",D121=""),"",COUNTIFS('Staff Attendance'!$B$5:$B$304,A121,'Staff Attendance'!$E$5:$E$304,"A",'Staff Attendance'!$A$5:$A$304,"&gt;="&amp;D121,'Staff Attendance'!$A$5:$A$304,"&lt;"&amp;EDATE(D121,1)))</f>
        <v/>
      </c>
      <c r="H121" s="98" t="str">
        <f aca="false">IF(G121="","",ROUND(E121/Settings!$O$5*G121,0))</f>
        <v/>
      </c>
      <c r="I121" s="97"/>
      <c r="J121" s="98" t="str">
        <f aca="false">IF(OR(A121="",H121=""),"",E121+F121-H121-I121)</f>
        <v/>
      </c>
      <c r="K121" s="52"/>
    </row>
    <row r="122" customFormat="false" ht="19.5" hidden="false" customHeight="true" outlineLevel="0" collapsed="false">
      <c r="A122" s="52"/>
      <c r="B122" s="89" t="str">
        <f aca="false">IF(A122="","",IFERROR(INDEX(Teachers!$B$5:$B$304,MATCH(A122,Teachers!$A$5:$A$304,0)),"ID not found"))</f>
        <v/>
      </c>
      <c r="C122" s="85" t="str">
        <f aca="false">IF(A122="","",IFERROR(INDEX(Teachers!$E$5:$E$304,MATCH(A122,Teachers!$A$5:$A$304,0)),""))</f>
        <v/>
      </c>
      <c r="D122" s="101"/>
      <c r="E122" s="97"/>
      <c r="F122" s="97"/>
      <c r="G122" s="85" t="str">
        <f aca="false">IF(OR(A122="",D122=""),"",COUNTIFS('Staff Attendance'!$B$5:$B$304,A122,'Staff Attendance'!$E$5:$E$304,"A",'Staff Attendance'!$A$5:$A$304,"&gt;="&amp;D122,'Staff Attendance'!$A$5:$A$304,"&lt;"&amp;EDATE(D122,1)))</f>
        <v/>
      </c>
      <c r="H122" s="98" t="str">
        <f aca="false">IF(G122="","",ROUND(E122/Settings!$O$5*G122,0))</f>
        <v/>
      </c>
      <c r="I122" s="97"/>
      <c r="J122" s="98" t="str">
        <f aca="false">IF(OR(A122="",H122=""),"",E122+F122-H122-I122)</f>
        <v/>
      </c>
      <c r="K122" s="52"/>
    </row>
    <row r="123" customFormat="false" ht="19.5" hidden="false" customHeight="true" outlineLevel="0" collapsed="false">
      <c r="A123" s="52"/>
      <c r="B123" s="89" t="str">
        <f aca="false">IF(A123="","",IFERROR(INDEX(Teachers!$B$5:$B$304,MATCH(A123,Teachers!$A$5:$A$304,0)),"ID not found"))</f>
        <v/>
      </c>
      <c r="C123" s="85" t="str">
        <f aca="false">IF(A123="","",IFERROR(INDEX(Teachers!$E$5:$E$304,MATCH(A123,Teachers!$A$5:$A$304,0)),""))</f>
        <v/>
      </c>
      <c r="D123" s="101"/>
      <c r="E123" s="97"/>
      <c r="F123" s="97"/>
      <c r="G123" s="85" t="str">
        <f aca="false">IF(OR(A123="",D123=""),"",COUNTIFS('Staff Attendance'!$B$5:$B$304,A123,'Staff Attendance'!$E$5:$E$304,"A",'Staff Attendance'!$A$5:$A$304,"&gt;="&amp;D123,'Staff Attendance'!$A$5:$A$304,"&lt;"&amp;EDATE(D123,1)))</f>
        <v/>
      </c>
      <c r="H123" s="98" t="str">
        <f aca="false">IF(G123="","",ROUND(E123/Settings!$O$5*G123,0))</f>
        <v/>
      </c>
      <c r="I123" s="97"/>
      <c r="J123" s="98" t="str">
        <f aca="false">IF(OR(A123="",H123=""),"",E123+F123-H123-I123)</f>
        <v/>
      </c>
      <c r="K123" s="52"/>
    </row>
    <row r="124" customFormat="false" ht="19.5" hidden="false" customHeight="true" outlineLevel="0" collapsed="false">
      <c r="A124" s="52"/>
      <c r="B124" s="89" t="str">
        <f aca="false">IF(A124="","",IFERROR(INDEX(Teachers!$B$5:$B$304,MATCH(A124,Teachers!$A$5:$A$304,0)),"ID not found"))</f>
        <v/>
      </c>
      <c r="C124" s="85" t="str">
        <f aca="false">IF(A124="","",IFERROR(INDEX(Teachers!$E$5:$E$304,MATCH(A124,Teachers!$A$5:$A$304,0)),""))</f>
        <v/>
      </c>
      <c r="D124" s="101"/>
      <c r="E124" s="97"/>
      <c r="F124" s="97"/>
      <c r="G124" s="85" t="str">
        <f aca="false">IF(OR(A124="",D124=""),"",COUNTIFS('Staff Attendance'!$B$5:$B$304,A124,'Staff Attendance'!$E$5:$E$304,"A",'Staff Attendance'!$A$5:$A$304,"&gt;="&amp;D124,'Staff Attendance'!$A$5:$A$304,"&lt;"&amp;EDATE(D124,1)))</f>
        <v/>
      </c>
      <c r="H124" s="98" t="str">
        <f aca="false">IF(G124="","",ROUND(E124/Settings!$O$5*G124,0))</f>
        <v/>
      </c>
      <c r="I124" s="97"/>
      <c r="J124" s="98" t="str">
        <f aca="false">IF(OR(A124="",H124=""),"",E124+F124-H124-I124)</f>
        <v/>
      </c>
      <c r="K124" s="52"/>
    </row>
    <row r="125" customFormat="false" ht="19.5" hidden="false" customHeight="true" outlineLevel="0" collapsed="false">
      <c r="A125" s="52"/>
      <c r="B125" s="89" t="str">
        <f aca="false">IF(A125="","",IFERROR(INDEX(Teachers!$B$5:$B$304,MATCH(A125,Teachers!$A$5:$A$304,0)),"ID not found"))</f>
        <v/>
      </c>
      <c r="C125" s="85" t="str">
        <f aca="false">IF(A125="","",IFERROR(INDEX(Teachers!$E$5:$E$304,MATCH(A125,Teachers!$A$5:$A$304,0)),""))</f>
        <v/>
      </c>
      <c r="D125" s="101"/>
      <c r="E125" s="97"/>
      <c r="F125" s="97"/>
      <c r="G125" s="85" t="str">
        <f aca="false">IF(OR(A125="",D125=""),"",COUNTIFS('Staff Attendance'!$B$5:$B$304,A125,'Staff Attendance'!$E$5:$E$304,"A",'Staff Attendance'!$A$5:$A$304,"&gt;="&amp;D125,'Staff Attendance'!$A$5:$A$304,"&lt;"&amp;EDATE(D125,1)))</f>
        <v/>
      </c>
      <c r="H125" s="98" t="str">
        <f aca="false">IF(G125="","",ROUND(E125/Settings!$O$5*G125,0))</f>
        <v/>
      </c>
      <c r="I125" s="97"/>
      <c r="J125" s="98" t="str">
        <f aca="false">IF(OR(A125="",H125=""),"",E125+F125-H125-I125)</f>
        <v/>
      </c>
      <c r="K125" s="52"/>
    </row>
    <row r="126" customFormat="false" ht="19.5" hidden="false" customHeight="true" outlineLevel="0" collapsed="false">
      <c r="A126" s="52"/>
      <c r="B126" s="89" t="str">
        <f aca="false">IF(A126="","",IFERROR(INDEX(Teachers!$B$5:$B$304,MATCH(A126,Teachers!$A$5:$A$304,0)),"ID not found"))</f>
        <v/>
      </c>
      <c r="C126" s="85" t="str">
        <f aca="false">IF(A126="","",IFERROR(INDEX(Teachers!$E$5:$E$304,MATCH(A126,Teachers!$A$5:$A$304,0)),""))</f>
        <v/>
      </c>
      <c r="D126" s="101"/>
      <c r="E126" s="97"/>
      <c r="F126" s="97"/>
      <c r="G126" s="85" t="str">
        <f aca="false">IF(OR(A126="",D126=""),"",COUNTIFS('Staff Attendance'!$B$5:$B$304,A126,'Staff Attendance'!$E$5:$E$304,"A",'Staff Attendance'!$A$5:$A$304,"&gt;="&amp;D126,'Staff Attendance'!$A$5:$A$304,"&lt;"&amp;EDATE(D126,1)))</f>
        <v/>
      </c>
      <c r="H126" s="98" t="str">
        <f aca="false">IF(G126="","",ROUND(E126/Settings!$O$5*G126,0))</f>
        <v/>
      </c>
      <c r="I126" s="97"/>
      <c r="J126" s="98" t="str">
        <f aca="false">IF(OR(A126="",H126=""),"",E126+F126-H126-I126)</f>
        <v/>
      </c>
      <c r="K126" s="52"/>
    </row>
    <row r="127" customFormat="false" ht="19.5" hidden="false" customHeight="true" outlineLevel="0" collapsed="false">
      <c r="A127" s="52"/>
      <c r="B127" s="89" t="str">
        <f aca="false">IF(A127="","",IFERROR(INDEX(Teachers!$B$5:$B$304,MATCH(A127,Teachers!$A$5:$A$304,0)),"ID not found"))</f>
        <v/>
      </c>
      <c r="C127" s="85" t="str">
        <f aca="false">IF(A127="","",IFERROR(INDEX(Teachers!$E$5:$E$304,MATCH(A127,Teachers!$A$5:$A$304,0)),""))</f>
        <v/>
      </c>
      <c r="D127" s="101"/>
      <c r="E127" s="97"/>
      <c r="F127" s="97"/>
      <c r="G127" s="85" t="str">
        <f aca="false">IF(OR(A127="",D127=""),"",COUNTIFS('Staff Attendance'!$B$5:$B$304,A127,'Staff Attendance'!$E$5:$E$304,"A",'Staff Attendance'!$A$5:$A$304,"&gt;="&amp;D127,'Staff Attendance'!$A$5:$A$304,"&lt;"&amp;EDATE(D127,1)))</f>
        <v/>
      </c>
      <c r="H127" s="98" t="str">
        <f aca="false">IF(G127="","",ROUND(E127/Settings!$O$5*G127,0))</f>
        <v/>
      </c>
      <c r="I127" s="97"/>
      <c r="J127" s="98" t="str">
        <f aca="false">IF(OR(A127="",H127=""),"",E127+F127-H127-I127)</f>
        <v/>
      </c>
      <c r="K127" s="52"/>
    </row>
    <row r="128" customFormat="false" ht="19.5" hidden="false" customHeight="true" outlineLevel="0" collapsed="false">
      <c r="A128" s="52"/>
      <c r="B128" s="89" t="str">
        <f aca="false">IF(A128="","",IFERROR(INDEX(Teachers!$B$5:$B$304,MATCH(A128,Teachers!$A$5:$A$304,0)),"ID not found"))</f>
        <v/>
      </c>
      <c r="C128" s="85" t="str">
        <f aca="false">IF(A128="","",IFERROR(INDEX(Teachers!$E$5:$E$304,MATCH(A128,Teachers!$A$5:$A$304,0)),""))</f>
        <v/>
      </c>
      <c r="D128" s="101"/>
      <c r="E128" s="97"/>
      <c r="F128" s="97"/>
      <c r="G128" s="85" t="str">
        <f aca="false">IF(OR(A128="",D128=""),"",COUNTIFS('Staff Attendance'!$B$5:$B$304,A128,'Staff Attendance'!$E$5:$E$304,"A",'Staff Attendance'!$A$5:$A$304,"&gt;="&amp;D128,'Staff Attendance'!$A$5:$A$304,"&lt;"&amp;EDATE(D128,1)))</f>
        <v/>
      </c>
      <c r="H128" s="98" t="str">
        <f aca="false">IF(G128="","",ROUND(E128/Settings!$O$5*G128,0))</f>
        <v/>
      </c>
      <c r="I128" s="97"/>
      <c r="J128" s="98" t="str">
        <f aca="false">IF(OR(A128="",H128=""),"",E128+F128-H128-I128)</f>
        <v/>
      </c>
      <c r="K128" s="52"/>
    </row>
    <row r="129" customFormat="false" ht="19.5" hidden="false" customHeight="true" outlineLevel="0" collapsed="false">
      <c r="A129" s="52"/>
      <c r="B129" s="89" t="str">
        <f aca="false">IF(A129="","",IFERROR(INDEX(Teachers!$B$5:$B$304,MATCH(A129,Teachers!$A$5:$A$304,0)),"ID not found"))</f>
        <v/>
      </c>
      <c r="C129" s="85" t="str">
        <f aca="false">IF(A129="","",IFERROR(INDEX(Teachers!$E$5:$E$304,MATCH(A129,Teachers!$A$5:$A$304,0)),""))</f>
        <v/>
      </c>
      <c r="D129" s="101"/>
      <c r="E129" s="97"/>
      <c r="F129" s="97"/>
      <c r="G129" s="85" t="str">
        <f aca="false">IF(OR(A129="",D129=""),"",COUNTIFS('Staff Attendance'!$B$5:$B$304,A129,'Staff Attendance'!$E$5:$E$304,"A",'Staff Attendance'!$A$5:$A$304,"&gt;="&amp;D129,'Staff Attendance'!$A$5:$A$304,"&lt;"&amp;EDATE(D129,1)))</f>
        <v/>
      </c>
      <c r="H129" s="98" t="str">
        <f aca="false">IF(G129="","",ROUND(E129/Settings!$O$5*G129,0))</f>
        <v/>
      </c>
      <c r="I129" s="97"/>
      <c r="J129" s="98" t="str">
        <f aca="false">IF(OR(A129="",H129=""),"",E129+F129-H129-I129)</f>
        <v/>
      </c>
      <c r="K129" s="52"/>
    </row>
    <row r="130" customFormat="false" ht="19.5" hidden="false" customHeight="true" outlineLevel="0" collapsed="false">
      <c r="A130" s="52"/>
      <c r="B130" s="89" t="str">
        <f aca="false">IF(A130="","",IFERROR(INDEX(Teachers!$B$5:$B$304,MATCH(A130,Teachers!$A$5:$A$304,0)),"ID not found"))</f>
        <v/>
      </c>
      <c r="C130" s="85" t="str">
        <f aca="false">IF(A130="","",IFERROR(INDEX(Teachers!$E$5:$E$304,MATCH(A130,Teachers!$A$5:$A$304,0)),""))</f>
        <v/>
      </c>
      <c r="D130" s="101"/>
      <c r="E130" s="97"/>
      <c r="F130" s="97"/>
      <c r="G130" s="85" t="str">
        <f aca="false">IF(OR(A130="",D130=""),"",COUNTIFS('Staff Attendance'!$B$5:$B$304,A130,'Staff Attendance'!$E$5:$E$304,"A",'Staff Attendance'!$A$5:$A$304,"&gt;="&amp;D130,'Staff Attendance'!$A$5:$A$304,"&lt;"&amp;EDATE(D130,1)))</f>
        <v/>
      </c>
      <c r="H130" s="98" t="str">
        <f aca="false">IF(G130="","",ROUND(E130/Settings!$O$5*G130,0))</f>
        <v/>
      </c>
      <c r="I130" s="97"/>
      <c r="J130" s="98" t="str">
        <f aca="false">IF(OR(A130="",H130=""),"",E130+F130-H130-I130)</f>
        <v/>
      </c>
      <c r="K130" s="52"/>
    </row>
    <row r="131" customFormat="false" ht="19.5" hidden="false" customHeight="true" outlineLevel="0" collapsed="false">
      <c r="A131" s="52"/>
      <c r="B131" s="89" t="str">
        <f aca="false">IF(A131="","",IFERROR(INDEX(Teachers!$B$5:$B$304,MATCH(A131,Teachers!$A$5:$A$304,0)),"ID not found"))</f>
        <v/>
      </c>
      <c r="C131" s="85" t="str">
        <f aca="false">IF(A131="","",IFERROR(INDEX(Teachers!$E$5:$E$304,MATCH(A131,Teachers!$A$5:$A$304,0)),""))</f>
        <v/>
      </c>
      <c r="D131" s="101"/>
      <c r="E131" s="97"/>
      <c r="F131" s="97"/>
      <c r="G131" s="85" t="str">
        <f aca="false">IF(OR(A131="",D131=""),"",COUNTIFS('Staff Attendance'!$B$5:$B$304,A131,'Staff Attendance'!$E$5:$E$304,"A",'Staff Attendance'!$A$5:$A$304,"&gt;="&amp;D131,'Staff Attendance'!$A$5:$A$304,"&lt;"&amp;EDATE(D131,1)))</f>
        <v/>
      </c>
      <c r="H131" s="98" t="str">
        <f aca="false">IF(G131="","",ROUND(E131/Settings!$O$5*G131,0))</f>
        <v/>
      </c>
      <c r="I131" s="97"/>
      <c r="J131" s="98" t="str">
        <f aca="false">IF(OR(A131="",H131=""),"",E131+F131-H131-I131)</f>
        <v/>
      </c>
      <c r="K131" s="52"/>
    </row>
    <row r="132" customFormat="false" ht="19.5" hidden="false" customHeight="true" outlineLevel="0" collapsed="false">
      <c r="A132" s="52"/>
      <c r="B132" s="89" t="str">
        <f aca="false">IF(A132="","",IFERROR(INDEX(Teachers!$B$5:$B$304,MATCH(A132,Teachers!$A$5:$A$304,0)),"ID not found"))</f>
        <v/>
      </c>
      <c r="C132" s="85" t="str">
        <f aca="false">IF(A132="","",IFERROR(INDEX(Teachers!$E$5:$E$304,MATCH(A132,Teachers!$A$5:$A$304,0)),""))</f>
        <v/>
      </c>
      <c r="D132" s="101"/>
      <c r="E132" s="97"/>
      <c r="F132" s="97"/>
      <c r="G132" s="85" t="str">
        <f aca="false">IF(OR(A132="",D132=""),"",COUNTIFS('Staff Attendance'!$B$5:$B$304,A132,'Staff Attendance'!$E$5:$E$304,"A",'Staff Attendance'!$A$5:$A$304,"&gt;="&amp;D132,'Staff Attendance'!$A$5:$A$304,"&lt;"&amp;EDATE(D132,1)))</f>
        <v/>
      </c>
      <c r="H132" s="98" t="str">
        <f aca="false">IF(G132="","",ROUND(E132/Settings!$O$5*G132,0))</f>
        <v/>
      </c>
      <c r="I132" s="97"/>
      <c r="J132" s="98" t="str">
        <f aca="false">IF(OR(A132="",H132=""),"",E132+F132-H132-I132)</f>
        <v/>
      </c>
      <c r="K132" s="52"/>
    </row>
    <row r="133" customFormat="false" ht="19.5" hidden="false" customHeight="true" outlineLevel="0" collapsed="false">
      <c r="A133" s="52"/>
      <c r="B133" s="89" t="str">
        <f aca="false">IF(A133="","",IFERROR(INDEX(Teachers!$B$5:$B$304,MATCH(A133,Teachers!$A$5:$A$304,0)),"ID not found"))</f>
        <v/>
      </c>
      <c r="C133" s="85" t="str">
        <f aca="false">IF(A133="","",IFERROR(INDEX(Teachers!$E$5:$E$304,MATCH(A133,Teachers!$A$5:$A$304,0)),""))</f>
        <v/>
      </c>
      <c r="D133" s="101"/>
      <c r="E133" s="97"/>
      <c r="F133" s="97"/>
      <c r="G133" s="85" t="str">
        <f aca="false">IF(OR(A133="",D133=""),"",COUNTIFS('Staff Attendance'!$B$5:$B$304,A133,'Staff Attendance'!$E$5:$E$304,"A",'Staff Attendance'!$A$5:$A$304,"&gt;="&amp;D133,'Staff Attendance'!$A$5:$A$304,"&lt;"&amp;EDATE(D133,1)))</f>
        <v/>
      </c>
      <c r="H133" s="98" t="str">
        <f aca="false">IF(G133="","",ROUND(E133/Settings!$O$5*G133,0))</f>
        <v/>
      </c>
      <c r="I133" s="97"/>
      <c r="J133" s="98" t="str">
        <f aca="false">IF(OR(A133="",H133=""),"",E133+F133-H133-I133)</f>
        <v/>
      </c>
      <c r="K133" s="52"/>
    </row>
    <row r="134" customFormat="false" ht="19.5" hidden="false" customHeight="true" outlineLevel="0" collapsed="false">
      <c r="A134" s="52"/>
      <c r="B134" s="89" t="str">
        <f aca="false">IF(A134="","",IFERROR(INDEX(Teachers!$B$5:$B$304,MATCH(A134,Teachers!$A$5:$A$304,0)),"ID not found"))</f>
        <v/>
      </c>
      <c r="C134" s="85" t="str">
        <f aca="false">IF(A134="","",IFERROR(INDEX(Teachers!$E$5:$E$304,MATCH(A134,Teachers!$A$5:$A$304,0)),""))</f>
        <v/>
      </c>
      <c r="D134" s="101"/>
      <c r="E134" s="97"/>
      <c r="F134" s="97"/>
      <c r="G134" s="85" t="str">
        <f aca="false">IF(OR(A134="",D134=""),"",COUNTIFS('Staff Attendance'!$B$5:$B$304,A134,'Staff Attendance'!$E$5:$E$304,"A",'Staff Attendance'!$A$5:$A$304,"&gt;="&amp;D134,'Staff Attendance'!$A$5:$A$304,"&lt;"&amp;EDATE(D134,1)))</f>
        <v/>
      </c>
      <c r="H134" s="98" t="str">
        <f aca="false">IF(G134="","",ROUND(E134/Settings!$O$5*G134,0))</f>
        <v/>
      </c>
      <c r="I134" s="97"/>
      <c r="J134" s="98" t="str">
        <f aca="false">IF(OR(A134="",H134=""),"",E134+F134-H134-I134)</f>
        <v/>
      </c>
      <c r="K134" s="52"/>
    </row>
    <row r="135" customFormat="false" ht="19.5" hidden="false" customHeight="true" outlineLevel="0" collapsed="false">
      <c r="A135" s="52"/>
      <c r="B135" s="89" t="str">
        <f aca="false">IF(A135="","",IFERROR(INDEX(Teachers!$B$5:$B$304,MATCH(A135,Teachers!$A$5:$A$304,0)),"ID not found"))</f>
        <v/>
      </c>
      <c r="C135" s="85" t="str">
        <f aca="false">IF(A135="","",IFERROR(INDEX(Teachers!$E$5:$E$304,MATCH(A135,Teachers!$A$5:$A$304,0)),""))</f>
        <v/>
      </c>
      <c r="D135" s="101"/>
      <c r="E135" s="97"/>
      <c r="F135" s="97"/>
      <c r="G135" s="85" t="str">
        <f aca="false">IF(OR(A135="",D135=""),"",COUNTIFS('Staff Attendance'!$B$5:$B$304,A135,'Staff Attendance'!$E$5:$E$304,"A",'Staff Attendance'!$A$5:$A$304,"&gt;="&amp;D135,'Staff Attendance'!$A$5:$A$304,"&lt;"&amp;EDATE(D135,1)))</f>
        <v/>
      </c>
      <c r="H135" s="98" t="str">
        <f aca="false">IF(G135="","",ROUND(E135/Settings!$O$5*G135,0))</f>
        <v/>
      </c>
      <c r="I135" s="97"/>
      <c r="J135" s="98" t="str">
        <f aca="false">IF(OR(A135="",H135=""),"",E135+F135-H135-I135)</f>
        <v/>
      </c>
      <c r="K135" s="52"/>
    </row>
    <row r="136" customFormat="false" ht="19.5" hidden="false" customHeight="true" outlineLevel="0" collapsed="false">
      <c r="A136" s="52"/>
      <c r="B136" s="89" t="str">
        <f aca="false">IF(A136="","",IFERROR(INDEX(Teachers!$B$5:$B$304,MATCH(A136,Teachers!$A$5:$A$304,0)),"ID not found"))</f>
        <v/>
      </c>
      <c r="C136" s="85" t="str">
        <f aca="false">IF(A136="","",IFERROR(INDEX(Teachers!$E$5:$E$304,MATCH(A136,Teachers!$A$5:$A$304,0)),""))</f>
        <v/>
      </c>
      <c r="D136" s="101"/>
      <c r="E136" s="97"/>
      <c r="F136" s="97"/>
      <c r="G136" s="85" t="str">
        <f aca="false">IF(OR(A136="",D136=""),"",COUNTIFS('Staff Attendance'!$B$5:$B$304,A136,'Staff Attendance'!$E$5:$E$304,"A",'Staff Attendance'!$A$5:$A$304,"&gt;="&amp;D136,'Staff Attendance'!$A$5:$A$304,"&lt;"&amp;EDATE(D136,1)))</f>
        <v/>
      </c>
      <c r="H136" s="98" t="str">
        <f aca="false">IF(G136="","",ROUND(E136/Settings!$O$5*G136,0))</f>
        <v/>
      </c>
      <c r="I136" s="97"/>
      <c r="J136" s="98" t="str">
        <f aca="false">IF(OR(A136="",H136=""),"",E136+F136-H136-I136)</f>
        <v/>
      </c>
      <c r="K136" s="52"/>
    </row>
    <row r="137" customFormat="false" ht="19.5" hidden="false" customHeight="true" outlineLevel="0" collapsed="false">
      <c r="A137" s="52"/>
      <c r="B137" s="89" t="str">
        <f aca="false">IF(A137="","",IFERROR(INDEX(Teachers!$B$5:$B$304,MATCH(A137,Teachers!$A$5:$A$304,0)),"ID not found"))</f>
        <v/>
      </c>
      <c r="C137" s="85" t="str">
        <f aca="false">IF(A137="","",IFERROR(INDEX(Teachers!$E$5:$E$304,MATCH(A137,Teachers!$A$5:$A$304,0)),""))</f>
        <v/>
      </c>
      <c r="D137" s="101"/>
      <c r="E137" s="97"/>
      <c r="F137" s="97"/>
      <c r="G137" s="85" t="str">
        <f aca="false">IF(OR(A137="",D137=""),"",COUNTIFS('Staff Attendance'!$B$5:$B$304,A137,'Staff Attendance'!$E$5:$E$304,"A",'Staff Attendance'!$A$5:$A$304,"&gt;="&amp;D137,'Staff Attendance'!$A$5:$A$304,"&lt;"&amp;EDATE(D137,1)))</f>
        <v/>
      </c>
      <c r="H137" s="98" t="str">
        <f aca="false">IF(G137="","",ROUND(E137/Settings!$O$5*G137,0))</f>
        <v/>
      </c>
      <c r="I137" s="97"/>
      <c r="J137" s="98" t="str">
        <f aca="false">IF(OR(A137="",H137=""),"",E137+F137-H137-I137)</f>
        <v/>
      </c>
      <c r="K137" s="52"/>
    </row>
    <row r="138" customFormat="false" ht="19.5" hidden="false" customHeight="true" outlineLevel="0" collapsed="false">
      <c r="A138" s="52"/>
      <c r="B138" s="89" t="str">
        <f aca="false">IF(A138="","",IFERROR(INDEX(Teachers!$B$5:$B$304,MATCH(A138,Teachers!$A$5:$A$304,0)),"ID not found"))</f>
        <v/>
      </c>
      <c r="C138" s="85" t="str">
        <f aca="false">IF(A138="","",IFERROR(INDEX(Teachers!$E$5:$E$304,MATCH(A138,Teachers!$A$5:$A$304,0)),""))</f>
        <v/>
      </c>
      <c r="D138" s="101"/>
      <c r="E138" s="97"/>
      <c r="F138" s="97"/>
      <c r="G138" s="85" t="str">
        <f aca="false">IF(OR(A138="",D138=""),"",COUNTIFS('Staff Attendance'!$B$5:$B$304,A138,'Staff Attendance'!$E$5:$E$304,"A",'Staff Attendance'!$A$5:$A$304,"&gt;="&amp;D138,'Staff Attendance'!$A$5:$A$304,"&lt;"&amp;EDATE(D138,1)))</f>
        <v/>
      </c>
      <c r="H138" s="98" t="str">
        <f aca="false">IF(G138="","",ROUND(E138/Settings!$O$5*G138,0))</f>
        <v/>
      </c>
      <c r="I138" s="97"/>
      <c r="J138" s="98" t="str">
        <f aca="false">IF(OR(A138="",H138=""),"",E138+F138-H138-I138)</f>
        <v/>
      </c>
      <c r="K138" s="52"/>
    </row>
    <row r="139" customFormat="false" ht="19.5" hidden="false" customHeight="true" outlineLevel="0" collapsed="false">
      <c r="A139" s="52"/>
      <c r="B139" s="89" t="str">
        <f aca="false">IF(A139="","",IFERROR(INDEX(Teachers!$B$5:$B$304,MATCH(A139,Teachers!$A$5:$A$304,0)),"ID not found"))</f>
        <v/>
      </c>
      <c r="C139" s="85" t="str">
        <f aca="false">IF(A139="","",IFERROR(INDEX(Teachers!$E$5:$E$304,MATCH(A139,Teachers!$A$5:$A$304,0)),""))</f>
        <v/>
      </c>
      <c r="D139" s="101"/>
      <c r="E139" s="97"/>
      <c r="F139" s="97"/>
      <c r="G139" s="85" t="str">
        <f aca="false">IF(OR(A139="",D139=""),"",COUNTIFS('Staff Attendance'!$B$5:$B$304,A139,'Staff Attendance'!$E$5:$E$304,"A",'Staff Attendance'!$A$5:$A$304,"&gt;="&amp;D139,'Staff Attendance'!$A$5:$A$304,"&lt;"&amp;EDATE(D139,1)))</f>
        <v/>
      </c>
      <c r="H139" s="98" t="str">
        <f aca="false">IF(G139="","",ROUND(E139/Settings!$O$5*G139,0))</f>
        <v/>
      </c>
      <c r="I139" s="97"/>
      <c r="J139" s="98" t="str">
        <f aca="false">IF(OR(A139="",H139=""),"",E139+F139-H139-I139)</f>
        <v/>
      </c>
      <c r="K139" s="52"/>
    </row>
    <row r="140" customFormat="false" ht="19.5" hidden="false" customHeight="true" outlineLevel="0" collapsed="false">
      <c r="A140" s="52"/>
      <c r="B140" s="89" t="str">
        <f aca="false">IF(A140="","",IFERROR(INDEX(Teachers!$B$5:$B$304,MATCH(A140,Teachers!$A$5:$A$304,0)),"ID not found"))</f>
        <v/>
      </c>
      <c r="C140" s="85" t="str">
        <f aca="false">IF(A140="","",IFERROR(INDEX(Teachers!$E$5:$E$304,MATCH(A140,Teachers!$A$5:$A$304,0)),""))</f>
        <v/>
      </c>
      <c r="D140" s="101"/>
      <c r="E140" s="97"/>
      <c r="F140" s="97"/>
      <c r="G140" s="85" t="str">
        <f aca="false">IF(OR(A140="",D140=""),"",COUNTIFS('Staff Attendance'!$B$5:$B$304,A140,'Staff Attendance'!$E$5:$E$304,"A",'Staff Attendance'!$A$5:$A$304,"&gt;="&amp;D140,'Staff Attendance'!$A$5:$A$304,"&lt;"&amp;EDATE(D140,1)))</f>
        <v/>
      </c>
      <c r="H140" s="98" t="str">
        <f aca="false">IF(G140="","",ROUND(E140/Settings!$O$5*G140,0))</f>
        <v/>
      </c>
      <c r="I140" s="97"/>
      <c r="J140" s="98" t="str">
        <f aca="false">IF(OR(A140="",H140=""),"",E140+F140-H140-I140)</f>
        <v/>
      </c>
      <c r="K140" s="52"/>
    </row>
    <row r="141" customFormat="false" ht="19.5" hidden="false" customHeight="true" outlineLevel="0" collapsed="false">
      <c r="A141" s="52"/>
      <c r="B141" s="89" t="str">
        <f aca="false">IF(A141="","",IFERROR(INDEX(Teachers!$B$5:$B$304,MATCH(A141,Teachers!$A$5:$A$304,0)),"ID not found"))</f>
        <v/>
      </c>
      <c r="C141" s="85" t="str">
        <f aca="false">IF(A141="","",IFERROR(INDEX(Teachers!$E$5:$E$304,MATCH(A141,Teachers!$A$5:$A$304,0)),""))</f>
        <v/>
      </c>
      <c r="D141" s="101"/>
      <c r="E141" s="97"/>
      <c r="F141" s="97"/>
      <c r="G141" s="85" t="str">
        <f aca="false">IF(OR(A141="",D141=""),"",COUNTIFS('Staff Attendance'!$B$5:$B$304,A141,'Staff Attendance'!$E$5:$E$304,"A",'Staff Attendance'!$A$5:$A$304,"&gt;="&amp;D141,'Staff Attendance'!$A$5:$A$304,"&lt;"&amp;EDATE(D141,1)))</f>
        <v/>
      </c>
      <c r="H141" s="98" t="str">
        <f aca="false">IF(G141="","",ROUND(E141/Settings!$O$5*G141,0))</f>
        <v/>
      </c>
      <c r="I141" s="97"/>
      <c r="J141" s="98" t="str">
        <f aca="false">IF(OR(A141="",H141=""),"",E141+F141-H141-I141)</f>
        <v/>
      </c>
      <c r="K141" s="52"/>
    </row>
    <row r="142" customFormat="false" ht="19.5" hidden="false" customHeight="true" outlineLevel="0" collapsed="false">
      <c r="A142" s="52"/>
      <c r="B142" s="89" t="str">
        <f aca="false">IF(A142="","",IFERROR(INDEX(Teachers!$B$5:$B$304,MATCH(A142,Teachers!$A$5:$A$304,0)),"ID not found"))</f>
        <v/>
      </c>
      <c r="C142" s="85" t="str">
        <f aca="false">IF(A142="","",IFERROR(INDEX(Teachers!$E$5:$E$304,MATCH(A142,Teachers!$A$5:$A$304,0)),""))</f>
        <v/>
      </c>
      <c r="D142" s="101"/>
      <c r="E142" s="97"/>
      <c r="F142" s="97"/>
      <c r="G142" s="85" t="str">
        <f aca="false">IF(OR(A142="",D142=""),"",COUNTIFS('Staff Attendance'!$B$5:$B$304,A142,'Staff Attendance'!$E$5:$E$304,"A",'Staff Attendance'!$A$5:$A$304,"&gt;="&amp;D142,'Staff Attendance'!$A$5:$A$304,"&lt;"&amp;EDATE(D142,1)))</f>
        <v/>
      </c>
      <c r="H142" s="98" t="str">
        <f aca="false">IF(G142="","",ROUND(E142/Settings!$O$5*G142,0))</f>
        <v/>
      </c>
      <c r="I142" s="97"/>
      <c r="J142" s="98" t="str">
        <f aca="false">IF(OR(A142="",H142=""),"",E142+F142-H142-I142)</f>
        <v/>
      </c>
      <c r="K142" s="52"/>
    </row>
    <row r="143" customFormat="false" ht="19.5" hidden="false" customHeight="true" outlineLevel="0" collapsed="false">
      <c r="A143" s="52"/>
      <c r="B143" s="89" t="str">
        <f aca="false">IF(A143="","",IFERROR(INDEX(Teachers!$B$5:$B$304,MATCH(A143,Teachers!$A$5:$A$304,0)),"ID not found"))</f>
        <v/>
      </c>
      <c r="C143" s="85" t="str">
        <f aca="false">IF(A143="","",IFERROR(INDEX(Teachers!$E$5:$E$304,MATCH(A143,Teachers!$A$5:$A$304,0)),""))</f>
        <v/>
      </c>
      <c r="D143" s="101"/>
      <c r="E143" s="97"/>
      <c r="F143" s="97"/>
      <c r="G143" s="85" t="str">
        <f aca="false">IF(OR(A143="",D143=""),"",COUNTIFS('Staff Attendance'!$B$5:$B$304,A143,'Staff Attendance'!$E$5:$E$304,"A",'Staff Attendance'!$A$5:$A$304,"&gt;="&amp;D143,'Staff Attendance'!$A$5:$A$304,"&lt;"&amp;EDATE(D143,1)))</f>
        <v/>
      </c>
      <c r="H143" s="98" t="str">
        <f aca="false">IF(G143="","",ROUND(E143/Settings!$O$5*G143,0))</f>
        <v/>
      </c>
      <c r="I143" s="97"/>
      <c r="J143" s="98" t="str">
        <f aca="false">IF(OR(A143="",H143=""),"",E143+F143-H143-I143)</f>
        <v/>
      </c>
      <c r="K143" s="52"/>
    </row>
    <row r="144" customFormat="false" ht="19.5" hidden="false" customHeight="true" outlineLevel="0" collapsed="false">
      <c r="A144" s="52"/>
      <c r="B144" s="89" t="str">
        <f aca="false">IF(A144="","",IFERROR(INDEX(Teachers!$B$5:$B$304,MATCH(A144,Teachers!$A$5:$A$304,0)),"ID not found"))</f>
        <v/>
      </c>
      <c r="C144" s="85" t="str">
        <f aca="false">IF(A144="","",IFERROR(INDEX(Teachers!$E$5:$E$304,MATCH(A144,Teachers!$A$5:$A$304,0)),""))</f>
        <v/>
      </c>
      <c r="D144" s="101"/>
      <c r="E144" s="97"/>
      <c r="F144" s="97"/>
      <c r="G144" s="85" t="str">
        <f aca="false">IF(OR(A144="",D144=""),"",COUNTIFS('Staff Attendance'!$B$5:$B$304,A144,'Staff Attendance'!$E$5:$E$304,"A",'Staff Attendance'!$A$5:$A$304,"&gt;="&amp;D144,'Staff Attendance'!$A$5:$A$304,"&lt;"&amp;EDATE(D144,1)))</f>
        <v/>
      </c>
      <c r="H144" s="98" t="str">
        <f aca="false">IF(G144="","",ROUND(E144/Settings!$O$5*G144,0))</f>
        <v/>
      </c>
      <c r="I144" s="97"/>
      <c r="J144" s="98" t="str">
        <f aca="false">IF(OR(A144="",H144=""),"",E144+F144-H144-I144)</f>
        <v/>
      </c>
      <c r="K144" s="52"/>
    </row>
    <row r="145" customFormat="false" ht="19.5" hidden="false" customHeight="true" outlineLevel="0" collapsed="false">
      <c r="A145" s="52"/>
      <c r="B145" s="89" t="str">
        <f aca="false">IF(A145="","",IFERROR(INDEX(Teachers!$B$5:$B$304,MATCH(A145,Teachers!$A$5:$A$304,0)),"ID not found"))</f>
        <v/>
      </c>
      <c r="C145" s="85" t="str">
        <f aca="false">IF(A145="","",IFERROR(INDEX(Teachers!$E$5:$E$304,MATCH(A145,Teachers!$A$5:$A$304,0)),""))</f>
        <v/>
      </c>
      <c r="D145" s="101"/>
      <c r="E145" s="97"/>
      <c r="F145" s="97"/>
      <c r="G145" s="85" t="str">
        <f aca="false">IF(OR(A145="",D145=""),"",COUNTIFS('Staff Attendance'!$B$5:$B$304,A145,'Staff Attendance'!$E$5:$E$304,"A",'Staff Attendance'!$A$5:$A$304,"&gt;="&amp;D145,'Staff Attendance'!$A$5:$A$304,"&lt;"&amp;EDATE(D145,1)))</f>
        <v/>
      </c>
      <c r="H145" s="98" t="str">
        <f aca="false">IF(G145="","",ROUND(E145/Settings!$O$5*G145,0))</f>
        <v/>
      </c>
      <c r="I145" s="97"/>
      <c r="J145" s="98" t="str">
        <f aca="false">IF(OR(A145="",H145=""),"",E145+F145-H145-I145)</f>
        <v/>
      </c>
      <c r="K145" s="52"/>
    </row>
    <row r="146" customFormat="false" ht="19.5" hidden="false" customHeight="true" outlineLevel="0" collapsed="false">
      <c r="A146" s="52"/>
      <c r="B146" s="89" t="str">
        <f aca="false">IF(A146="","",IFERROR(INDEX(Teachers!$B$5:$B$304,MATCH(A146,Teachers!$A$5:$A$304,0)),"ID not found"))</f>
        <v/>
      </c>
      <c r="C146" s="85" t="str">
        <f aca="false">IF(A146="","",IFERROR(INDEX(Teachers!$E$5:$E$304,MATCH(A146,Teachers!$A$5:$A$304,0)),""))</f>
        <v/>
      </c>
      <c r="D146" s="101"/>
      <c r="E146" s="97"/>
      <c r="F146" s="97"/>
      <c r="G146" s="85" t="str">
        <f aca="false">IF(OR(A146="",D146=""),"",COUNTIFS('Staff Attendance'!$B$5:$B$304,A146,'Staff Attendance'!$E$5:$E$304,"A",'Staff Attendance'!$A$5:$A$304,"&gt;="&amp;D146,'Staff Attendance'!$A$5:$A$304,"&lt;"&amp;EDATE(D146,1)))</f>
        <v/>
      </c>
      <c r="H146" s="98" t="str">
        <f aca="false">IF(G146="","",ROUND(E146/Settings!$O$5*G146,0))</f>
        <v/>
      </c>
      <c r="I146" s="97"/>
      <c r="J146" s="98" t="str">
        <f aca="false">IF(OR(A146="",H146=""),"",E146+F146-H146-I146)</f>
        <v/>
      </c>
      <c r="K146" s="52"/>
    </row>
    <row r="147" customFormat="false" ht="19.5" hidden="false" customHeight="true" outlineLevel="0" collapsed="false">
      <c r="A147" s="52"/>
      <c r="B147" s="89" t="str">
        <f aca="false">IF(A147="","",IFERROR(INDEX(Teachers!$B$5:$B$304,MATCH(A147,Teachers!$A$5:$A$304,0)),"ID not found"))</f>
        <v/>
      </c>
      <c r="C147" s="85" t="str">
        <f aca="false">IF(A147="","",IFERROR(INDEX(Teachers!$E$5:$E$304,MATCH(A147,Teachers!$A$5:$A$304,0)),""))</f>
        <v/>
      </c>
      <c r="D147" s="101"/>
      <c r="E147" s="97"/>
      <c r="F147" s="97"/>
      <c r="G147" s="85" t="str">
        <f aca="false">IF(OR(A147="",D147=""),"",COUNTIFS('Staff Attendance'!$B$5:$B$304,A147,'Staff Attendance'!$E$5:$E$304,"A",'Staff Attendance'!$A$5:$A$304,"&gt;="&amp;D147,'Staff Attendance'!$A$5:$A$304,"&lt;"&amp;EDATE(D147,1)))</f>
        <v/>
      </c>
      <c r="H147" s="98" t="str">
        <f aca="false">IF(G147="","",ROUND(E147/Settings!$O$5*G147,0))</f>
        <v/>
      </c>
      <c r="I147" s="97"/>
      <c r="J147" s="98" t="str">
        <f aca="false">IF(OR(A147="",H147=""),"",E147+F147-H147-I147)</f>
        <v/>
      </c>
      <c r="K147" s="52"/>
    </row>
    <row r="148" customFormat="false" ht="19.5" hidden="false" customHeight="true" outlineLevel="0" collapsed="false">
      <c r="A148" s="52"/>
      <c r="B148" s="89" t="str">
        <f aca="false">IF(A148="","",IFERROR(INDEX(Teachers!$B$5:$B$304,MATCH(A148,Teachers!$A$5:$A$304,0)),"ID not found"))</f>
        <v/>
      </c>
      <c r="C148" s="85" t="str">
        <f aca="false">IF(A148="","",IFERROR(INDEX(Teachers!$E$5:$E$304,MATCH(A148,Teachers!$A$5:$A$304,0)),""))</f>
        <v/>
      </c>
      <c r="D148" s="101"/>
      <c r="E148" s="97"/>
      <c r="F148" s="97"/>
      <c r="G148" s="85" t="str">
        <f aca="false">IF(OR(A148="",D148=""),"",COUNTIFS('Staff Attendance'!$B$5:$B$304,A148,'Staff Attendance'!$E$5:$E$304,"A",'Staff Attendance'!$A$5:$A$304,"&gt;="&amp;D148,'Staff Attendance'!$A$5:$A$304,"&lt;"&amp;EDATE(D148,1)))</f>
        <v/>
      </c>
      <c r="H148" s="98" t="str">
        <f aca="false">IF(G148="","",ROUND(E148/Settings!$O$5*G148,0))</f>
        <v/>
      </c>
      <c r="I148" s="97"/>
      <c r="J148" s="98" t="str">
        <f aca="false">IF(OR(A148="",H148=""),"",E148+F148-H148-I148)</f>
        <v/>
      </c>
      <c r="K148" s="52"/>
    </row>
    <row r="149" customFormat="false" ht="19.5" hidden="false" customHeight="true" outlineLevel="0" collapsed="false">
      <c r="A149" s="52"/>
      <c r="B149" s="89" t="str">
        <f aca="false">IF(A149="","",IFERROR(INDEX(Teachers!$B$5:$B$304,MATCH(A149,Teachers!$A$5:$A$304,0)),"ID not found"))</f>
        <v/>
      </c>
      <c r="C149" s="85" t="str">
        <f aca="false">IF(A149="","",IFERROR(INDEX(Teachers!$E$5:$E$304,MATCH(A149,Teachers!$A$5:$A$304,0)),""))</f>
        <v/>
      </c>
      <c r="D149" s="101"/>
      <c r="E149" s="97"/>
      <c r="F149" s="97"/>
      <c r="G149" s="85" t="str">
        <f aca="false">IF(OR(A149="",D149=""),"",COUNTIFS('Staff Attendance'!$B$5:$B$304,A149,'Staff Attendance'!$E$5:$E$304,"A",'Staff Attendance'!$A$5:$A$304,"&gt;="&amp;D149,'Staff Attendance'!$A$5:$A$304,"&lt;"&amp;EDATE(D149,1)))</f>
        <v/>
      </c>
      <c r="H149" s="98" t="str">
        <f aca="false">IF(G149="","",ROUND(E149/Settings!$O$5*G149,0))</f>
        <v/>
      </c>
      <c r="I149" s="97"/>
      <c r="J149" s="98" t="str">
        <f aca="false">IF(OR(A149="",H149=""),"",E149+F149-H149-I149)</f>
        <v/>
      </c>
      <c r="K149" s="52"/>
    </row>
    <row r="150" customFormat="false" ht="19.5" hidden="false" customHeight="true" outlineLevel="0" collapsed="false">
      <c r="A150" s="52"/>
      <c r="B150" s="89" t="str">
        <f aca="false">IF(A150="","",IFERROR(INDEX(Teachers!$B$5:$B$304,MATCH(A150,Teachers!$A$5:$A$304,0)),"ID not found"))</f>
        <v/>
      </c>
      <c r="C150" s="85" t="str">
        <f aca="false">IF(A150="","",IFERROR(INDEX(Teachers!$E$5:$E$304,MATCH(A150,Teachers!$A$5:$A$304,0)),""))</f>
        <v/>
      </c>
      <c r="D150" s="101"/>
      <c r="E150" s="97"/>
      <c r="F150" s="97"/>
      <c r="G150" s="85" t="str">
        <f aca="false">IF(OR(A150="",D150=""),"",COUNTIFS('Staff Attendance'!$B$5:$B$304,A150,'Staff Attendance'!$E$5:$E$304,"A",'Staff Attendance'!$A$5:$A$304,"&gt;="&amp;D150,'Staff Attendance'!$A$5:$A$304,"&lt;"&amp;EDATE(D150,1)))</f>
        <v/>
      </c>
      <c r="H150" s="98" t="str">
        <f aca="false">IF(G150="","",ROUND(E150/Settings!$O$5*G150,0))</f>
        <v/>
      </c>
      <c r="I150" s="97"/>
      <c r="J150" s="98" t="str">
        <f aca="false">IF(OR(A150="",H150=""),"",E150+F150-H150-I150)</f>
        <v/>
      </c>
      <c r="K150" s="52"/>
    </row>
    <row r="151" customFormat="false" ht="19.5" hidden="false" customHeight="true" outlineLevel="0" collapsed="false">
      <c r="A151" s="52"/>
      <c r="B151" s="89" t="str">
        <f aca="false">IF(A151="","",IFERROR(INDEX(Teachers!$B$5:$B$304,MATCH(A151,Teachers!$A$5:$A$304,0)),"ID not found"))</f>
        <v/>
      </c>
      <c r="C151" s="85" t="str">
        <f aca="false">IF(A151="","",IFERROR(INDEX(Teachers!$E$5:$E$304,MATCH(A151,Teachers!$A$5:$A$304,0)),""))</f>
        <v/>
      </c>
      <c r="D151" s="101"/>
      <c r="E151" s="97"/>
      <c r="F151" s="97"/>
      <c r="G151" s="85" t="str">
        <f aca="false">IF(OR(A151="",D151=""),"",COUNTIFS('Staff Attendance'!$B$5:$B$304,A151,'Staff Attendance'!$E$5:$E$304,"A",'Staff Attendance'!$A$5:$A$304,"&gt;="&amp;D151,'Staff Attendance'!$A$5:$A$304,"&lt;"&amp;EDATE(D151,1)))</f>
        <v/>
      </c>
      <c r="H151" s="98" t="str">
        <f aca="false">IF(G151="","",ROUND(E151/Settings!$O$5*G151,0))</f>
        <v/>
      </c>
      <c r="I151" s="97"/>
      <c r="J151" s="98" t="str">
        <f aca="false">IF(OR(A151="",H151=""),"",E151+F151-H151-I151)</f>
        <v/>
      </c>
      <c r="K151" s="52"/>
    </row>
    <row r="152" customFormat="false" ht="19.5" hidden="false" customHeight="true" outlineLevel="0" collapsed="false">
      <c r="A152" s="52"/>
      <c r="B152" s="89" t="str">
        <f aca="false">IF(A152="","",IFERROR(INDEX(Teachers!$B$5:$B$304,MATCH(A152,Teachers!$A$5:$A$304,0)),"ID not found"))</f>
        <v/>
      </c>
      <c r="C152" s="85" t="str">
        <f aca="false">IF(A152="","",IFERROR(INDEX(Teachers!$E$5:$E$304,MATCH(A152,Teachers!$A$5:$A$304,0)),""))</f>
        <v/>
      </c>
      <c r="D152" s="101"/>
      <c r="E152" s="97"/>
      <c r="F152" s="97"/>
      <c r="G152" s="85" t="str">
        <f aca="false">IF(OR(A152="",D152=""),"",COUNTIFS('Staff Attendance'!$B$5:$B$304,A152,'Staff Attendance'!$E$5:$E$304,"A",'Staff Attendance'!$A$5:$A$304,"&gt;="&amp;D152,'Staff Attendance'!$A$5:$A$304,"&lt;"&amp;EDATE(D152,1)))</f>
        <v/>
      </c>
      <c r="H152" s="98" t="str">
        <f aca="false">IF(G152="","",ROUND(E152/Settings!$O$5*G152,0))</f>
        <v/>
      </c>
      <c r="I152" s="97"/>
      <c r="J152" s="98" t="str">
        <f aca="false">IF(OR(A152="",H152=""),"",E152+F152-H152-I152)</f>
        <v/>
      </c>
      <c r="K152" s="52"/>
    </row>
    <row r="153" customFormat="false" ht="19.5" hidden="false" customHeight="true" outlineLevel="0" collapsed="false">
      <c r="A153" s="52"/>
      <c r="B153" s="89" t="str">
        <f aca="false">IF(A153="","",IFERROR(INDEX(Teachers!$B$5:$B$304,MATCH(A153,Teachers!$A$5:$A$304,0)),"ID not found"))</f>
        <v/>
      </c>
      <c r="C153" s="85" t="str">
        <f aca="false">IF(A153="","",IFERROR(INDEX(Teachers!$E$5:$E$304,MATCH(A153,Teachers!$A$5:$A$304,0)),""))</f>
        <v/>
      </c>
      <c r="D153" s="101"/>
      <c r="E153" s="97"/>
      <c r="F153" s="97"/>
      <c r="G153" s="85" t="str">
        <f aca="false">IF(OR(A153="",D153=""),"",COUNTIFS('Staff Attendance'!$B$5:$B$304,A153,'Staff Attendance'!$E$5:$E$304,"A",'Staff Attendance'!$A$5:$A$304,"&gt;="&amp;D153,'Staff Attendance'!$A$5:$A$304,"&lt;"&amp;EDATE(D153,1)))</f>
        <v/>
      </c>
      <c r="H153" s="98" t="str">
        <f aca="false">IF(G153="","",ROUND(E153/Settings!$O$5*G153,0))</f>
        <v/>
      </c>
      <c r="I153" s="97"/>
      <c r="J153" s="98" t="str">
        <f aca="false">IF(OR(A153="",H153=""),"",E153+F153-H153-I153)</f>
        <v/>
      </c>
      <c r="K153" s="52"/>
    </row>
    <row r="154" customFormat="false" ht="19.5" hidden="false" customHeight="true" outlineLevel="0" collapsed="false">
      <c r="A154" s="52"/>
      <c r="B154" s="89" t="str">
        <f aca="false">IF(A154="","",IFERROR(INDEX(Teachers!$B$5:$B$304,MATCH(A154,Teachers!$A$5:$A$304,0)),"ID not found"))</f>
        <v/>
      </c>
      <c r="C154" s="85" t="str">
        <f aca="false">IF(A154="","",IFERROR(INDEX(Teachers!$E$5:$E$304,MATCH(A154,Teachers!$A$5:$A$304,0)),""))</f>
        <v/>
      </c>
      <c r="D154" s="101"/>
      <c r="E154" s="97"/>
      <c r="F154" s="97"/>
      <c r="G154" s="85" t="str">
        <f aca="false">IF(OR(A154="",D154=""),"",COUNTIFS('Staff Attendance'!$B$5:$B$304,A154,'Staff Attendance'!$E$5:$E$304,"A",'Staff Attendance'!$A$5:$A$304,"&gt;="&amp;D154,'Staff Attendance'!$A$5:$A$304,"&lt;"&amp;EDATE(D154,1)))</f>
        <v/>
      </c>
      <c r="H154" s="98" t="str">
        <f aca="false">IF(G154="","",ROUND(E154/Settings!$O$5*G154,0))</f>
        <v/>
      </c>
      <c r="I154" s="97"/>
      <c r="J154" s="98" t="str">
        <f aca="false">IF(OR(A154="",H154=""),"",E154+F154-H154-I154)</f>
        <v/>
      </c>
      <c r="K154" s="52"/>
    </row>
    <row r="155" customFormat="false" ht="19.5" hidden="false" customHeight="true" outlineLevel="0" collapsed="false">
      <c r="A155" s="52"/>
      <c r="B155" s="89" t="str">
        <f aca="false">IF(A155="","",IFERROR(INDEX(Teachers!$B$5:$B$304,MATCH(A155,Teachers!$A$5:$A$304,0)),"ID not found"))</f>
        <v/>
      </c>
      <c r="C155" s="85" t="str">
        <f aca="false">IF(A155="","",IFERROR(INDEX(Teachers!$E$5:$E$304,MATCH(A155,Teachers!$A$5:$A$304,0)),""))</f>
        <v/>
      </c>
      <c r="D155" s="101"/>
      <c r="E155" s="97"/>
      <c r="F155" s="97"/>
      <c r="G155" s="85" t="str">
        <f aca="false">IF(OR(A155="",D155=""),"",COUNTIFS('Staff Attendance'!$B$5:$B$304,A155,'Staff Attendance'!$E$5:$E$304,"A",'Staff Attendance'!$A$5:$A$304,"&gt;="&amp;D155,'Staff Attendance'!$A$5:$A$304,"&lt;"&amp;EDATE(D155,1)))</f>
        <v/>
      </c>
      <c r="H155" s="98" t="str">
        <f aca="false">IF(G155="","",ROUND(E155/Settings!$O$5*G155,0))</f>
        <v/>
      </c>
      <c r="I155" s="97"/>
      <c r="J155" s="98" t="str">
        <f aca="false">IF(OR(A155="",H155=""),"",E155+F155-H155-I155)</f>
        <v/>
      </c>
      <c r="K155" s="52"/>
    </row>
    <row r="156" customFormat="false" ht="19.5" hidden="false" customHeight="true" outlineLevel="0" collapsed="false">
      <c r="A156" s="52"/>
      <c r="B156" s="89" t="str">
        <f aca="false">IF(A156="","",IFERROR(INDEX(Teachers!$B$5:$B$304,MATCH(A156,Teachers!$A$5:$A$304,0)),"ID not found"))</f>
        <v/>
      </c>
      <c r="C156" s="85" t="str">
        <f aca="false">IF(A156="","",IFERROR(INDEX(Teachers!$E$5:$E$304,MATCH(A156,Teachers!$A$5:$A$304,0)),""))</f>
        <v/>
      </c>
      <c r="D156" s="101"/>
      <c r="E156" s="97"/>
      <c r="F156" s="97"/>
      <c r="G156" s="85" t="str">
        <f aca="false">IF(OR(A156="",D156=""),"",COUNTIFS('Staff Attendance'!$B$5:$B$304,A156,'Staff Attendance'!$E$5:$E$304,"A",'Staff Attendance'!$A$5:$A$304,"&gt;="&amp;D156,'Staff Attendance'!$A$5:$A$304,"&lt;"&amp;EDATE(D156,1)))</f>
        <v/>
      </c>
      <c r="H156" s="98" t="str">
        <f aca="false">IF(G156="","",ROUND(E156/Settings!$O$5*G156,0))</f>
        <v/>
      </c>
      <c r="I156" s="97"/>
      <c r="J156" s="98" t="str">
        <f aca="false">IF(OR(A156="",H156=""),"",E156+F156-H156-I156)</f>
        <v/>
      </c>
      <c r="K156" s="52"/>
    </row>
    <row r="157" customFormat="false" ht="19.5" hidden="false" customHeight="true" outlineLevel="0" collapsed="false">
      <c r="A157" s="52"/>
      <c r="B157" s="89" t="str">
        <f aca="false">IF(A157="","",IFERROR(INDEX(Teachers!$B$5:$B$304,MATCH(A157,Teachers!$A$5:$A$304,0)),"ID not found"))</f>
        <v/>
      </c>
      <c r="C157" s="85" t="str">
        <f aca="false">IF(A157="","",IFERROR(INDEX(Teachers!$E$5:$E$304,MATCH(A157,Teachers!$A$5:$A$304,0)),""))</f>
        <v/>
      </c>
      <c r="D157" s="101"/>
      <c r="E157" s="97"/>
      <c r="F157" s="97"/>
      <c r="G157" s="85" t="str">
        <f aca="false">IF(OR(A157="",D157=""),"",COUNTIFS('Staff Attendance'!$B$5:$B$304,A157,'Staff Attendance'!$E$5:$E$304,"A",'Staff Attendance'!$A$5:$A$304,"&gt;="&amp;D157,'Staff Attendance'!$A$5:$A$304,"&lt;"&amp;EDATE(D157,1)))</f>
        <v/>
      </c>
      <c r="H157" s="98" t="str">
        <f aca="false">IF(G157="","",ROUND(E157/Settings!$O$5*G157,0))</f>
        <v/>
      </c>
      <c r="I157" s="97"/>
      <c r="J157" s="98" t="str">
        <f aca="false">IF(OR(A157="",H157=""),"",E157+F157-H157-I157)</f>
        <v/>
      </c>
      <c r="K157" s="52"/>
    </row>
    <row r="158" customFormat="false" ht="19.5" hidden="false" customHeight="true" outlineLevel="0" collapsed="false">
      <c r="A158" s="52"/>
      <c r="B158" s="89" t="str">
        <f aca="false">IF(A158="","",IFERROR(INDEX(Teachers!$B$5:$B$304,MATCH(A158,Teachers!$A$5:$A$304,0)),"ID not found"))</f>
        <v/>
      </c>
      <c r="C158" s="85" t="str">
        <f aca="false">IF(A158="","",IFERROR(INDEX(Teachers!$E$5:$E$304,MATCH(A158,Teachers!$A$5:$A$304,0)),""))</f>
        <v/>
      </c>
      <c r="D158" s="101"/>
      <c r="E158" s="97"/>
      <c r="F158" s="97"/>
      <c r="G158" s="85" t="str">
        <f aca="false">IF(OR(A158="",D158=""),"",COUNTIFS('Staff Attendance'!$B$5:$B$304,A158,'Staff Attendance'!$E$5:$E$304,"A",'Staff Attendance'!$A$5:$A$304,"&gt;="&amp;D158,'Staff Attendance'!$A$5:$A$304,"&lt;"&amp;EDATE(D158,1)))</f>
        <v/>
      </c>
      <c r="H158" s="98" t="str">
        <f aca="false">IF(G158="","",ROUND(E158/Settings!$O$5*G158,0))</f>
        <v/>
      </c>
      <c r="I158" s="97"/>
      <c r="J158" s="98" t="str">
        <f aca="false">IF(OR(A158="",H158=""),"",E158+F158-H158-I158)</f>
        <v/>
      </c>
      <c r="K158" s="52"/>
    </row>
    <row r="159" customFormat="false" ht="19.5" hidden="false" customHeight="true" outlineLevel="0" collapsed="false">
      <c r="A159" s="52"/>
      <c r="B159" s="89" t="str">
        <f aca="false">IF(A159="","",IFERROR(INDEX(Teachers!$B$5:$B$304,MATCH(A159,Teachers!$A$5:$A$304,0)),"ID not found"))</f>
        <v/>
      </c>
      <c r="C159" s="85" t="str">
        <f aca="false">IF(A159="","",IFERROR(INDEX(Teachers!$E$5:$E$304,MATCH(A159,Teachers!$A$5:$A$304,0)),""))</f>
        <v/>
      </c>
      <c r="D159" s="101"/>
      <c r="E159" s="97"/>
      <c r="F159" s="97"/>
      <c r="G159" s="85" t="str">
        <f aca="false">IF(OR(A159="",D159=""),"",COUNTIFS('Staff Attendance'!$B$5:$B$304,A159,'Staff Attendance'!$E$5:$E$304,"A",'Staff Attendance'!$A$5:$A$304,"&gt;="&amp;D159,'Staff Attendance'!$A$5:$A$304,"&lt;"&amp;EDATE(D159,1)))</f>
        <v/>
      </c>
      <c r="H159" s="98" t="str">
        <f aca="false">IF(G159="","",ROUND(E159/Settings!$O$5*G159,0))</f>
        <v/>
      </c>
      <c r="I159" s="97"/>
      <c r="J159" s="98" t="str">
        <f aca="false">IF(OR(A159="",H159=""),"",E159+F159-H159-I159)</f>
        <v/>
      </c>
      <c r="K159" s="52"/>
    </row>
    <row r="160" customFormat="false" ht="19.5" hidden="false" customHeight="true" outlineLevel="0" collapsed="false">
      <c r="A160" s="52"/>
      <c r="B160" s="89" t="str">
        <f aca="false">IF(A160="","",IFERROR(INDEX(Teachers!$B$5:$B$304,MATCH(A160,Teachers!$A$5:$A$304,0)),"ID not found"))</f>
        <v/>
      </c>
      <c r="C160" s="85" t="str">
        <f aca="false">IF(A160="","",IFERROR(INDEX(Teachers!$E$5:$E$304,MATCH(A160,Teachers!$A$5:$A$304,0)),""))</f>
        <v/>
      </c>
      <c r="D160" s="101"/>
      <c r="E160" s="97"/>
      <c r="F160" s="97"/>
      <c r="G160" s="85" t="str">
        <f aca="false">IF(OR(A160="",D160=""),"",COUNTIFS('Staff Attendance'!$B$5:$B$304,A160,'Staff Attendance'!$E$5:$E$304,"A",'Staff Attendance'!$A$5:$A$304,"&gt;="&amp;D160,'Staff Attendance'!$A$5:$A$304,"&lt;"&amp;EDATE(D160,1)))</f>
        <v/>
      </c>
      <c r="H160" s="98" t="str">
        <f aca="false">IF(G160="","",ROUND(E160/Settings!$O$5*G160,0))</f>
        <v/>
      </c>
      <c r="I160" s="97"/>
      <c r="J160" s="98" t="str">
        <f aca="false">IF(OR(A160="",H160=""),"",E160+F160-H160-I160)</f>
        <v/>
      </c>
      <c r="K160" s="52"/>
    </row>
    <row r="161" customFormat="false" ht="19.5" hidden="false" customHeight="true" outlineLevel="0" collapsed="false">
      <c r="A161" s="52"/>
      <c r="B161" s="89" t="str">
        <f aca="false">IF(A161="","",IFERROR(INDEX(Teachers!$B$5:$B$304,MATCH(A161,Teachers!$A$5:$A$304,0)),"ID not found"))</f>
        <v/>
      </c>
      <c r="C161" s="85" t="str">
        <f aca="false">IF(A161="","",IFERROR(INDEX(Teachers!$E$5:$E$304,MATCH(A161,Teachers!$A$5:$A$304,0)),""))</f>
        <v/>
      </c>
      <c r="D161" s="101"/>
      <c r="E161" s="97"/>
      <c r="F161" s="97"/>
      <c r="G161" s="85" t="str">
        <f aca="false">IF(OR(A161="",D161=""),"",COUNTIFS('Staff Attendance'!$B$5:$B$304,A161,'Staff Attendance'!$E$5:$E$304,"A",'Staff Attendance'!$A$5:$A$304,"&gt;="&amp;D161,'Staff Attendance'!$A$5:$A$304,"&lt;"&amp;EDATE(D161,1)))</f>
        <v/>
      </c>
      <c r="H161" s="98" t="str">
        <f aca="false">IF(G161="","",ROUND(E161/Settings!$O$5*G161,0))</f>
        <v/>
      </c>
      <c r="I161" s="97"/>
      <c r="J161" s="98" t="str">
        <f aca="false">IF(OR(A161="",H161=""),"",E161+F161-H161-I161)</f>
        <v/>
      </c>
      <c r="K161" s="52"/>
    </row>
    <row r="162" customFormat="false" ht="19.5" hidden="false" customHeight="true" outlineLevel="0" collapsed="false">
      <c r="A162" s="52"/>
      <c r="B162" s="89" t="str">
        <f aca="false">IF(A162="","",IFERROR(INDEX(Teachers!$B$5:$B$304,MATCH(A162,Teachers!$A$5:$A$304,0)),"ID not found"))</f>
        <v/>
      </c>
      <c r="C162" s="85" t="str">
        <f aca="false">IF(A162="","",IFERROR(INDEX(Teachers!$E$5:$E$304,MATCH(A162,Teachers!$A$5:$A$304,0)),""))</f>
        <v/>
      </c>
      <c r="D162" s="101"/>
      <c r="E162" s="97"/>
      <c r="F162" s="97"/>
      <c r="G162" s="85" t="str">
        <f aca="false">IF(OR(A162="",D162=""),"",COUNTIFS('Staff Attendance'!$B$5:$B$304,A162,'Staff Attendance'!$E$5:$E$304,"A",'Staff Attendance'!$A$5:$A$304,"&gt;="&amp;D162,'Staff Attendance'!$A$5:$A$304,"&lt;"&amp;EDATE(D162,1)))</f>
        <v/>
      </c>
      <c r="H162" s="98" t="str">
        <f aca="false">IF(G162="","",ROUND(E162/Settings!$O$5*G162,0))</f>
        <v/>
      </c>
      <c r="I162" s="97"/>
      <c r="J162" s="98" t="str">
        <f aca="false">IF(OR(A162="",H162=""),"",E162+F162-H162-I162)</f>
        <v/>
      </c>
      <c r="K162" s="52"/>
    </row>
    <row r="163" customFormat="false" ht="19.5" hidden="false" customHeight="true" outlineLevel="0" collapsed="false">
      <c r="A163" s="52"/>
      <c r="B163" s="89" t="str">
        <f aca="false">IF(A163="","",IFERROR(INDEX(Teachers!$B$5:$B$304,MATCH(A163,Teachers!$A$5:$A$304,0)),"ID not found"))</f>
        <v/>
      </c>
      <c r="C163" s="85" t="str">
        <f aca="false">IF(A163="","",IFERROR(INDEX(Teachers!$E$5:$E$304,MATCH(A163,Teachers!$A$5:$A$304,0)),""))</f>
        <v/>
      </c>
      <c r="D163" s="101"/>
      <c r="E163" s="97"/>
      <c r="F163" s="97"/>
      <c r="G163" s="85" t="str">
        <f aca="false">IF(OR(A163="",D163=""),"",COUNTIFS('Staff Attendance'!$B$5:$B$304,A163,'Staff Attendance'!$E$5:$E$304,"A",'Staff Attendance'!$A$5:$A$304,"&gt;="&amp;D163,'Staff Attendance'!$A$5:$A$304,"&lt;"&amp;EDATE(D163,1)))</f>
        <v/>
      </c>
      <c r="H163" s="98" t="str">
        <f aca="false">IF(G163="","",ROUND(E163/Settings!$O$5*G163,0))</f>
        <v/>
      </c>
      <c r="I163" s="97"/>
      <c r="J163" s="98" t="str">
        <f aca="false">IF(OR(A163="",H163=""),"",E163+F163-H163-I163)</f>
        <v/>
      </c>
      <c r="K163" s="52"/>
    </row>
    <row r="164" customFormat="false" ht="19.5" hidden="false" customHeight="true" outlineLevel="0" collapsed="false">
      <c r="A164" s="52"/>
      <c r="B164" s="89" t="str">
        <f aca="false">IF(A164="","",IFERROR(INDEX(Teachers!$B$5:$B$304,MATCH(A164,Teachers!$A$5:$A$304,0)),"ID not found"))</f>
        <v/>
      </c>
      <c r="C164" s="85" t="str">
        <f aca="false">IF(A164="","",IFERROR(INDEX(Teachers!$E$5:$E$304,MATCH(A164,Teachers!$A$5:$A$304,0)),""))</f>
        <v/>
      </c>
      <c r="D164" s="101"/>
      <c r="E164" s="97"/>
      <c r="F164" s="97"/>
      <c r="G164" s="85" t="str">
        <f aca="false">IF(OR(A164="",D164=""),"",COUNTIFS('Staff Attendance'!$B$5:$B$304,A164,'Staff Attendance'!$E$5:$E$304,"A",'Staff Attendance'!$A$5:$A$304,"&gt;="&amp;D164,'Staff Attendance'!$A$5:$A$304,"&lt;"&amp;EDATE(D164,1)))</f>
        <v/>
      </c>
      <c r="H164" s="98" t="str">
        <f aca="false">IF(G164="","",ROUND(E164/Settings!$O$5*G164,0))</f>
        <v/>
      </c>
      <c r="I164" s="97"/>
      <c r="J164" s="98" t="str">
        <f aca="false">IF(OR(A164="",H164=""),"",E164+F164-H164-I164)</f>
        <v/>
      </c>
      <c r="K164" s="52"/>
    </row>
    <row r="165" customFormat="false" ht="19.5" hidden="false" customHeight="true" outlineLevel="0" collapsed="false">
      <c r="A165" s="52"/>
      <c r="B165" s="89" t="str">
        <f aca="false">IF(A165="","",IFERROR(INDEX(Teachers!$B$5:$B$304,MATCH(A165,Teachers!$A$5:$A$304,0)),"ID not found"))</f>
        <v/>
      </c>
      <c r="C165" s="85" t="str">
        <f aca="false">IF(A165="","",IFERROR(INDEX(Teachers!$E$5:$E$304,MATCH(A165,Teachers!$A$5:$A$304,0)),""))</f>
        <v/>
      </c>
      <c r="D165" s="101"/>
      <c r="E165" s="97"/>
      <c r="F165" s="97"/>
      <c r="G165" s="85" t="str">
        <f aca="false">IF(OR(A165="",D165=""),"",COUNTIFS('Staff Attendance'!$B$5:$B$304,A165,'Staff Attendance'!$E$5:$E$304,"A",'Staff Attendance'!$A$5:$A$304,"&gt;="&amp;D165,'Staff Attendance'!$A$5:$A$304,"&lt;"&amp;EDATE(D165,1)))</f>
        <v/>
      </c>
      <c r="H165" s="98" t="str">
        <f aca="false">IF(G165="","",ROUND(E165/Settings!$O$5*G165,0))</f>
        <v/>
      </c>
      <c r="I165" s="97"/>
      <c r="J165" s="98" t="str">
        <f aca="false">IF(OR(A165="",H165=""),"",E165+F165-H165-I165)</f>
        <v/>
      </c>
      <c r="K165" s="52"/>
    </row>
    <row r="166" customFormat="false" ht="19.5" hidden="false" customHeight="true" outlineLevel="0" collapsed="false">
      <c r="A166" s="52"/>
      <c r="B166" s="89" t="str">
        <f aca="false">IF(A166="","",IFERROR(INDEX(Teachers!$B$5:$B$304,MATCH(A166,Teachers!$A$5:$A$304,0)),"ID not found"))</f>
        <v/>
      </c>
      <c r="C166" s="85" t="str">
        <f aca="false">IF(A166="","",IFERROR(INDEX(Teachers!$E$5:$E$304,MATCH(A166,Teachers!$A$5:$A$304,0)),""))</f>
        <v/>
      </c>
      <c r="D166" s="101"/>
      <c r="E166" s="97"/>
      <c r="F166" s="97"/>
      <c r="G166" s="85" t="str">
        <f aca="false">IF(OR(A166="",D166=""),"",COUNTIFS('Staff Attendance'!$B$5:$B$304,A166,'Staff Attendance'!$E$5:$E$304,"A",'Staff Attendance'!$A$5:$A$304,"&gt;="&amp;D166,'Staff Attendance'!$A$5:$A$304,"&lt;"&amp;EDATE(D166,1)))</f>
        <v/>
      </c>
      <c r="H166" s="98" t="str">
        <f aca="false">IF(G166="","",ROUND(E166/Settings!$O$5*G166,0))</f>
        <v/>
      </c>
      <c r="I166" s="97"/>
      <c r="J166" s="98" t="str">
        <f aca="false">IF(OR(A166="",H166=""),"",E166+F166-H166-I166)</f>
        <v/>
      </c>
      <c r="K166" s="52"/>
    </row>
    <row r="167" customFormat="false" ht="19.5" hidden="false" customHeight="true" outlineLevel="0" collapsed="false">
      <c r="A167" s="52"/>
      <c r="B167" s="89" t="str">
        <f aca="false">IF(A167="","",IFERROR(INDEX(Teachers!$B$5:$B$304,MATCH(A167,Teachers!$A$5:$A$304,0)),"ID not found"))</f>
        <v/>
      </c>
      <c r="C167" s="85" t="str">
        <f aca="false">IF(A167="","",IFERROR(INDEX(Teachers!$E$5:$E$304,MATCH(A167,Teachers!$A$5:$A$304,0)),""))</f>
        <v/>
      </c>
      <c r="D167" s="101"/>
      <c r="E167" s="97"/>
      <c r="F167" s="97"/>
      <c r="G167" s="85" t="str">
        <f aca="false">IF(OR(A167="",D167=""),"",COUNTIFS('Staff Attendance'!$B$5:$B$304,A167,'Staff Attendance'!$E$5:$E$304,"A",'Staff Attendance'!$A$5:$A$304,"&gt;="&amp;D167,'Staff Attendance'!$A$5:$A$304,"&lt;"&amp;EDATE(D167,1)))</f>
        <v/>
      </c>
      <c r="H167" s="98" t="str">
        <f aca="false">IF(G167="","",ROUND(E167/Settings!$O$5*G167,0))</f>
        <v/>
      </c>
      <c r="I167" s="97"/>
      <c r="J167" s="98" t="str">
        <f aca="false">IF(OR(A167="",H167=""),"",E167+F167-H167-I167)</f>
        <v/>
      </c>
      <c r="K167" s="52"/>
    </row>
    <row r="168" customFormat="false" ht="19.5" hidden="false" customHeight="true" outlineLevel="0" collapsed="false">
      <c r="A168" s="52"/>
      <c r="B168" s="89" t="str">
        <f aca="false">IF(A168="","",IFERROR(INDEX(Teachers!$B$5:$B$304,MATCH(A168,Teachers!$A$5:$A$304,0)),"ID not found"))</f>
        <v/>
      </c>
      <c r="C168" s="85" t="str">
        <f aca="false">IF(A168="","",IFERROR(INDEX(Teachers!$E$5:$E$304,MATCH(A168,Teachers!$A$5:$A$304,0)),""))</f>
        <v/>
      </c>
      <c r="D168" s="101"/>
      <c r="E168" s="97"/>
      <c r="F168" s="97"/>
      <c r="G168" s="85" t="str">
        <f aca="false">IF(OR(A168="",D168=""),"",COUNTIFS('Staff Attendance'!$B$5:$B$304,A168,'Staff Attendance'!$E$5:$E$304,"A",'Staff Attendance'!$A$5:$A$304,"&gt;="&amp;D168,'Staff Attendance'!$A$5:$A$304,"&lt;"&amp;EDATE(D168,1)))</f>
        <v/>
      </c>
      <c r="H168" s="98" t="str">
        <f aca="false">IF(G168="","",ROUND(E168/Settings!$O$5*G168,0))</f>
        <v/>
      </c>
      <c r="I168" s="97"/>
      <c r="J168" s="98" t="str">
        <f aca="false">IF(OR(A168="",H168=""),"",E168+F168-H168-I168)</f>
        <v/>
      </c>
      <c r="K168" s="52"/>
    </row>
    <row r="169" customFormat="false" ht="19.5" hidden="false" customHeight="true" outlineLevel="0" collapsed="false">
      <c r="A169" s="52"/>
      <c r="B169" s="89" t="str">
        <f aca="false">IF(A169="","",IFERROR(INDEX(Teachers!$B$5:$B$304,MATCH(A169,Teachers!$A$5:$A$304,0)),"ID not found"))</f>
        <v/>
      </c>
      <c r="C169" s="85" t="str">
        <f aca="false">IF(A169="","",IFERROR(INDEX(Teachers!$E$5:$E$304,MATCH(A169,Teachers!$A$5:$A$304,0)),""))</f>
        <v/>
      </c>
      <c r="D169" s="101"/>
      <c r="E169" s="97"/>
      <c r="F169" s="97"/>
      <c r="G169" s="85" t="str">
        <f aca="false">IF(OR(A169="",D169=""),"",COUNTIFS('Staff Attendance'!$B$5:$B$304,A169,'Staff Attendance'!$E$5:$E$304,"A",'Staff Attendance'!$A$5:$A$304,"&gt;="&amp;D169,'Staff Attendance'!$A$5:$A$304,"&lt;"&amp;EDATE(D169,1)))</f>
        <v/>
      </c>
      <c r="H169" s="98" t="str">
        <f aca="false">IF(G169="","",ROUND(E169/Settings!$O$5*G169,0))</f>
        <v/>
      </c>
      <c r="I169" s="97"/>
      <c r="J169" s="98" t="str">
        <f aca="false">IF(OR(A169="",H169=""),"",E169+F169-H169-I169)</f>
        <v/>
      </c>
      <c r="K169" s="52"/>
    </row>
    <row r="170" customFormat="false" ht="19.5" hidden="false" customHeight="true" outlineLevel="0" collapsed="false">
      <c r="A170" s="52"/>
      <c r="B170" s="89" t="str">
        <f aca="false">IF(A170="","",IFERROR(INDEX(Teachers!$B$5:$B$304,MATCH(A170,Teachers!$A$5:$A$304,0)),"ID not found"))</f>
        <v/>
      </c>
      <c r="C170" s="85" t="str">
        <f aca="false">IF(A170="","",IFERROR(INDEX(Teachers!$E$5:$E$304,MATCH(A170,Teachers!$A$5:$A$304,0)),""))</f>
        <v/>
      </c>
      <c r="D170" s="101"/>
      <c r="E170" s="97"/>
      <c r="F170" s="97"/>
      <c r="G170" s="85" t="str">
        <f aca="false">IF(OR(A170="",D170=""),"",COUNTIFS('Staff Attendance'!$B$5:$B$304,A170,'Staff Attendance'!$E$5:$E$304,"A",'Staff Attendance'!$A$5:$A$304,"&gt;="&amp;D170,'Staff Attendance'!$A$5:$A$304,"&lt;"&amp;EDATE(D170,1)))</f>
        <v/>
      </c>
      <c r="H170" s="98" t="str">
        <f aca="false">IF(G170="","",ROUND(E170/Settings!$O$5*G170,0))</f>
        <v/>
      </c>
      <c r="I170" s="97"/>
      <c r="J170" s="98" t="str">
        <f aca="false">IF(OR(A170="",H170=""),"",E170+F170-H170-I170)</f>
        <v/>
      </c>
      <c r="K170" s="52"/>
    </row>
    <row r="171" customFormat="false" ht="19.5" hidden="false" customHeight="true" outlineLevel="0" collapsed="false">
      <c r="A171" s="52"/>
      <c r="B171" s="89" t="str">
        <f aca="false">IF(A171="","",IFERROR(INDEX(Teachers!$B$5:$B$304,MATCH(A171,Teachers!$A$5:$A$304,0)),"ID not found"))</f>
        <v/>
      </c>
      <c r="C171" s="85" t="str">
        <f aca="false">IF(A171="","",IFERROR(INDEX(Teachers!$E$5:$E$304,MATCH(A171,Teachers!$A$5:$A$304,0)),""))</f>
        <v/>
      </c>
      <c r="D171" s="101"/>
      <c r="E171" s="97"/>
      <c r="F171" s="97"/>
      <c r="G171" s="85" t="str">
        <f aca="false">IF(OR(A171="",D171=""),"",COUNTIFS('Staff Attendance'!$B$5:$B$304,A171,'Staff Attendance'!$E$5:$E$304,"A",'Staff Attendance'!$A$5:$A$304,"&gt;="&amp;D171,'Staff Attendance'!$A$5:$A$304,"&lt;"&amp;EDATE(D171,1)))</f>
        <v/>
      </c>
      <c r="H171" s="98" t="str">
        <f aca="false">IF(G171="","",ROUND(E171/Settings!$O$5*G171,0))</f>
        <v/>
      </c>
      <c r="I171" s="97"/>
      <c r="J171" s="98" t="str">
        <f aca="false">IF(OR(A171="",H171=""),"",E171+F171-H171-I171)</f>
        <v/>
      </c>
      <c r="K171" s="52"/>
    </row>
    <row r="172" customFormat="false" ht="19.5" hidden="false" customHeight="true" outlineLevel="0" collapsed="false">
      <c r="A172" s="52"/>
      <c r="B172" s="89" t="str">
        <f aca="false">IF(A172="","",IFERROR(INDEX(Teachers!$B$5:$B$304,MATCH(A172,Teachers!$A$5:$A$304,0)),"ID not found"))</f>
        <v/>
      </c>
      <c r="C172" s="85" t="str">
        <f aca="false">IF(A172="","",IFERROR(INDEX(Teachers!$E$5:$E$304,MATCH(A172,Teachers!$A$5:$A$304,0)),""))</f>
        <v/>
      </c>
      <c r="D172" s="101"/>
      <c r="E172" s="97"/>
      <c r="F172" s="97"/>
      <c r="G172" s="85" t="str">
        <f aca="false">IF(OR(A172="",D172=""),"",COUNTIFS('Staff Attendance'!$B$5:$B$304,A172,'Staff Attendance'!$E$5:$E$304,"A",'Staff Attendance'!$A$5:$A$304,"&gt;="&amp;D172,'Staff Attendance'!$A$5:$A$304,"&lt;"&amp;EDATE(D172,1)))</f>
        <v/>
      </c>
      <c r="H172" s="98" t="str">
        <f aca="false">IF(G172="","",ROUND(E172/Settings!$O$5*G172,0))</f>
        <v/>
      </c>
      <c r="I172" s="97"/>
      <c r="J172" s="98" t="str">
        <f aca="false">IF(OR(A172="",H172=""),"",E172+F172-H172-I172)</f>
        <v/>
      </c>
      <c r="K172" s="52"/>
    </row>
    <row r="173" customFormat="false" ht="19.5" hidden="false" customHeight="true" outlineLevel="0" collapsed="false">
      <c r="A173" s="52"/>
      <c r="B173" s="89" t="str">
        <f aca="false">IF(A173="","",IFERROR(INDEX(Teachers!$B$5:$B$304,MATCH(A173,Teachers!$A$5:$A$304,0)),"ID not found"))</f>
        <v/>
      </c>
      <c r="C173" s="85" t="str">
        <f aca="false">IF(A173="","",IFERROR(INDEX(Teachers!$E$5:$E$304,MATCH(A173,Teachers!$A$5:$A$304,0)),""))</f>
        <v/>
      </c>
      <c r="D173" s="101"/>
      <c r="E173" s="97"/>
      <c r="F173" s="97"/>
      <c r="G173" s="85" t="str">
        <f aca="false">IF(OR(A173="",D173=""),"",COUNTIFS('Staff Attendance'!$B$5:$B$304,A173,'Staff Attendance'!$E$5:$E$304,"A",'Staff Attendance'!$A$5:$A$304,"&gt;="&amp;D173,'Staff Attendance'!$A$5:$A$304,"&lt;"&amp;EDATE(D173,1)))</f>
        <v/>
      </c>
      <c r="H173" s="98" t="str">
        <f aca="false">IF(G173="","",ROUND(E173/Settings!$O$5*G173,0))</f>
        <v/>
      </c>
      <c r="I173" s="97"/>
      <c r="J173" s="98" t="str">
        <f aca="false">IF(OR(A173="",H173=""),"",E173+F173-H173-I173)</f>
        <v/>
      </c>
      <c r="K173" s="52"/>
    </row>
    <row r="174" customFormat="false" ht="19.5" hidden="false" customHeight="true" outlineLevel="0" collapsed="false">
      <c r="A174" s="52"/>
      <c r="B174" s="89" t="str">
        <f aca="false">IF(A174="","",IFERROR(INDEX(Teachers!$B$5:$B$304,MATCH(A174,Teachers!$A$5:$A$304,0)),"ID not found"))</f>
        <v/>
      </c>
      <c r="C174" s="85" t="str">
        <f aca="false">IF(A174="","",IFERROR(INDEX(Teachers!$E$5:$E$304,MATCH(A174,Teachers!$A$5:$A$304,0)),""))</f>
        <v/>
      </c>
      <c r="D174" s="101"/>
      <c r="E174" s="97"/>
      <c r="F174" s="97"/>
      <c r="G174" s="85" t="str">
        <f aca="false">IF(OR(A174="",D174=""),"",COUNTIFS('Staff Attendance'!$B$5:$B$304,A174,'Staff Attendance'!$E$5:$E$304,"A",'Staff Attendance'!$A$5:$A$304,"&gt;="&amp;D174,'Staff Attendance'!$A$5:$A$304,"&lt;"&amp;EDATE(D174,1)))</f>
        <v/>
      </c>
      <c r="H174" s="98" t="str">
        <f aca="false">IF(G174="","",ROUND(E174/Settings!$O$5*G174,0))</f>
        <v/>
      </c>
      <c r="I174" s="97"/>
      <c r="J174" s="98" t="str">
        <f aca="false">IF(OR(A174="",H174=""),"",E174+F174-H174-I174)</f>
        <v/>
      </c>
      <c r="K174" s="52"/>
    </row>
    <row r="175" customFormat="false" ht="19.5" hidden="false" customHeight="true" outlineLevel="0" collapsed="false">
      <c r="A175" s="52"/>
      <c r="B175" s="89" t="str">
        <f aca="false">IF(A175="","",IFERROR(INDEX(Teachers!$B$5:$B$304,MATCH(A175,Teachers!$A$5:$A$304,0)),"ID not found"))</f>
        <v/>
      </c>
      <c r="C175" s="85" t="str">
        <f aca="false">IF(A175="","",IFERROR(INDEX(Teachers!$E$5:$E$304,MATCH(A175,Teachers!$A$5:$A$304,0)),""))</f>
        <v/>
      </c>
      <c r="D175" s="101"/>
      <c r="E175" s="97"/>
      <c r="F175" s="97"/>
      <c r="G175" s="85" t="str">
        <f aca="false">IF(OR(A175="",D175=""),"",COUNTIFS('Staff Attendance'!$B$5:$B$304,A175,'Staff Attendance'!$E$5:$E$304,"A",'Staff Attendance'!$A$5:$A$304,"&gt;="&amp;D175,'Staff Attendance'!$A$5:$A$304,"&lt;"&amp;EDATE(D175,1)))</f>
        <v/>
      </c>
      <c r="H175" s="98" t="str">
        <f aca="false">IF(G175="","",ROUND(E175/Settings!$O$5*G175,0))</f>
        <v/>
      </c>
      <c r="I175" s="97"/>
      <c r="J175" s="98" t="str">
        <f aca="false">IF(OR(A175="",H175=""),"",E175+F175-H175-I175)</f>
        <v/>
      </c>
      <c r="K175" s="52"/>
    </row>
    <row r="176" customFormat="false" ht="19.5" hidden="false" customHeight="true" outlineLevel="0" collapsed="false">
      <c r="A176" s="52"/>
      <c r="B176" s="89" t="str">
        <f aca="false">IF(A176="","",IFERROR(INDEX(Teachers!$B$5:$B$304,MATCH(A176,Teachers!$A$5:$A$304,0)),"ID not found"))</f>
        <v/>
      </c>
      <c r="C176" s="85" t="str">
        <f aca="false">IF(A176="","",IFERROR(INDEX(Teachers!$E$5:$E$304,MATCH(A176,Teachers!$A$5:$A$304,0)),""))</f>
        <v/>
      </c>
      <c r="D176" s="101"/>
      <c r="E176" s="97"/>
      <c r="F176" s="97"/>
      <c r="G176" s="85" t="str">
        <f aca="false">IF(OR(A176="",D176=""),"",COUNTIFS('Staff Attendance'!$B$5:$B$304,A176,'Staff Attendance'!$E$5:$E$304,"A",'Staff Attendance'!$A$5:$A$304,"&gt;="&amp;D176,'Staff Attendance'!$A$5:$A$304,"&lt;"&amp;EDATE(D176,1)))</f>
        <v/>
      </c>
      <c r="H176" s="98" t="str">
        <f aca="false">IF(G176="","",ROUND(E176/Settings!$O$5*G176,0))</f>
        <v/>
      </c>
      <c r="I176" s="97"/>
      <c r="J176" s="98" t="str">
        <f aca="false">IF(OR(A176="",H176=""),"",E176+F176-H176-I176)</f>
        <v/>
      </c>
      <c r="K176" s="52"/>
    </row>
    <row r="177" customFormat="false" ht="19.5" hidden="false" customHeight="true" outlineLevel="0" collapsed="false">
      <c r="A177" s="52"/>
      <c r="B177" s="89" t="str">
        <f aca="false">IF(A177="","",IFERROR(INDEX(Teachers!$B$5:$B$304,MATCH(A177,Teachers!$A$5:$A$304,0)),"ID not found"))</f>
        <v/>
      </c>
      <c r="C177" s="85" t="str">
        <f aca="false">IF(A177="","",IFERROR(INDEX(Teachers!$E$5:$E$304,MATCH(A177,Teachers!$A$5:$A$304,0)),""))</f>
        <v/>
      </c>
      <c r="D177" s="101"/>
      <c r="E177" s="97"/>
      <c r="F177" s="97"/>
      <c r="G177" s="85" t="str">
        <f aca="false">IF(OR(A177="",D177=""),"",COUNTIFS('Staff Attendance'!$B$5:$B$304,A177,'Staff Attendance'!$E$5:$E$304,"A",'Staff Attendance'!$A$5:$A$304,"&gt;="&amp;D177,'Staff Attendance'!$A$5:$A$304,"&lt;"&amp;EDATE(D177,1)))</f>
        <v/>
      </c>
      <c r="H177" s="98" t="str">
        <f aca="false">IF(G177="","",ROUND(E177/Settings!$O$5*G177,0))</f>
        <v/>
      </c>
      <c r="I177" s="97"/>
      <c r="J177" s="98" t="str">
        <f aca="false">IF(OR(A177="",H177=""),"",E177+F177-H177-I177)</f>
        <v/>
      </c>
      <c r="K177" s="52"/>
    </row>
    <row r="178" customFormat="false" ht="19.5" hidden="false" customHeight="true" outlineLevel="0" collapsed="false">
      <c r="A178" s="52"/>
      <c r="B178" s="89" t="str">
        <f aca="false">IF(A178="","",IFERROR(INDEX(Teachers!$B$5:$B$304,MATCH(A178,Teachers!$A$5:$A$304,0)),"ID not found"))</f>
        <v/>
      </c>
      <c r="C178" s="85" t="str">
        <f aca="false">IF(A178="","",IFERROR(INDEX(Teachers!$E$5:$E$304,MATCH(A178,Teachers!$A$5:$A$304,0)),""))</f>
        <v/>
      </c>
      <c r="D178" s="101"/>
      <c r="E178" s="97"/>
      <c r="F178" s="97"/>
      <c r="G178" s="85" t="str">
        <f aca="false">IF(OR(A178="",D178=""),"",COUNTIFS('Staff Attendance'!$B$5:$B$304,A178,'Staff Attendance'!$E$5:$E$304,"A",'Staff Attendance'!$A$5:$A$304,"&gt;="&amp;D178,'Staff Attendance'!$A$5:$A$304,"&lt;"&amp;EDATE(D178,1)))</f>
        <v/>
      </c>
      <c r="H178" s="98" t="str">
        <f aca="false">IF(G178="","",ROUND(E178/Settings!$O$5*G178,0))</f>
        <v/>
      </c>
      <c r="I178" s="97"/>
      <c r="J178" s="98" t="str">
        <f aca="false">IF(OR(A178="",H178=""),"",E178+F178-H178-I178)</f>
        <v/>
      </c>
      <c r="K178" s="52"/>
    </row>
    <row r="179" customFormat="false" ht="19.5" hidden="false" customHeight="true" outlineLevel="0" collapsed="false">
      <c r="A179" s="52"/>
      <c r="B179" s="89" t="str">
        <f aca="false">IF(A179="","",IFERROR(INDEX(Teachers!$B$5:$B$304,MATCH(A179,Teachers!$A$5:$A$304,0)),"ID not found"))</f>
        <v/>
      </c>
      <c r="C179" s="85" t="str">
        <f aca="false">IF(A179="","",IFERROR(INDEX(Teachers!$E$5:$E$304,MATCH(A179,Teachers!$A$5:$A$304,0)),""))</f>
        <v/>
      </c>
      <c r="D179" s="101"/>
      <c r="E179" s="97"/>
      <c r="F179" s="97"/>
      <c r="G179" s="85" t="str">
        <f aca="false">IF(OR(A179="",D179=""),"",COUNTIFS('Staff Attendance'!$B$5:$B$304,A179,'Staff Attendance'!$E$5:$E$304,"A",'Staff Attendance'!$A$5:$A$304,"&gt;="&amp;D179,'Staff Attendance'!$A$5:$A$304,"&lt;"&amp;EDATE(D179,1)))</f>
        <v/>
      </c>
      <c r="H179" s="98" t="str">
        <f aca="false">IF(G179="","",ROUND(E179/Settings!$O$5*G179,0))</f>
        <v/>
      </c>
      <c r="I179" s="97"/>
      <c r="J179" s="98" t="str">
        <f aca="false">IF(OR(A179="",H179=""),"",E179+F179-H179-I179)</f>
        <v/>
      </c>
      <c r="K179" s="52"/>
    </row>
    <row r="180" customFormat="false" ht="19.5" hidden="false" customHeight="true" outlineLevel="0" collapsed="false">
      <c r="A180" s="52"/>
      <c r="B180" s="89" t="str">
        <f aca="false">IF(A180="","",IFERROR(INDEX(Teachers!$B$5:$B$304,MATCH(A180,Teachers!$A$5:$A$304,0)),"ID not found"))</f>
        <v/>
      </c>
      <c r="C180" s="85" t="str">
        <f aca="false">IF(A180="","",IFERROR(INDEX(Teachers!$E$5:$E$304,MATCH(A180,Teachers!$A$5:$A$304,0)),""))</f>
        <v/>
      </c>
      <c r="D180" s="101"/>
      <c r="E180" s="97"/>
      <c r="F180" s="97"/>
      <c r="G180" s="85" t="str">
        <f aca="false">IF(OR(A180="",D180=""),"",COUNTIFS('Staff Attendance'!$B$5:$B$304,A180,'Staff Attendance'!$E$5:$E$304,"A",'Staff Attendance'!$A$5:$A$304,"&gt;="&amp;D180,'Staff Attendance'!$A$5:$A$304,"&lt;"&amp;EDATE(D180,1)))</f>
        <v/>
      </c>
      <c r="H180" s="98" t="str">
        <f aca="false">IF(G180="","",ROUND(E180/Settings!$O$5*G180,0))</f>
        <v/>
      </c>
      <c r="I180" s="97"/>
      <c r="J180" s="98" t="str">
        <f aca="false">IF(OR(A180="",H180=""),"",E180+F180-H180-I180)</f>
        <v/>
      </c>
      <c r="K180" s="52"/>
    </row>
    <row r="181" customFormat="false" ht="19.5" hidden="false" customHeight="true" outlineLevel="0" collapsed="false">
      <c r="A181" s="52"/>
      <c r="B181" s="89" t="str">
        <f aca="false">IF(A181="","",IFERROR(INDEX(Teachers!$B$5:$B$304,MATCH(A181,Teachers!$A$5:$A$304,0)),"ID not found"))</f>
        <v/>
      </c>
      <c r="C181" s="85" t="str">
        <f aca="false">IF(A181="","",IFERROR(INDEX(Teachers!$E$5:$E$304,MATCH(A181,Teachers!$A$5:$A$304,0)),""))</f>
        <v/>
      </c>
      <c r="D181" s="101"/>
      <c r="E181" s="97"/>
      <c r="F181" s="97"/>
      <c r="G181" s="85" t="str">
        <f aca="false">IF(OR(A181="",D181=""),"",COUNTIFS('Staff Attendance'!$B$5:$B$304,A181,'Staff Attendance'!$E$5:$E$304,"A",'Staff Attendance'!$A$5:$A$304,"&gt;="&amp;D181,'Staff Attendance'!$A$5:$A$304,"&lt;"&amp;EDATE(D181,1)))</f>
        <v/>
      </c>
      <c r="H181" s="98" t="str">
        <f aca="false">IF(G181="","",ROUND(E181/Settings!$O$5*G181,0))</f>
        <v/>
      </c>
      <c r="I181" s="97"/>
      <c r="J181" s="98" t="str">
        <f aca="false">IF(OR(A181="",H181=""),"",E181+F181-H181-I181)</f>
        <v/>
      </c>
      <c r="K181" s="52"/>
    </row>
    <row r="182" customFormat="false" ht="19.5" hidden="false" customHeight="true" outlineLevel="0" collapsed="false">
      <c r="A182" s="52"/>
      <c r="B182" s="89" t="str">
        <f aca="false">IF(A182="","",IFERROR(INDEX(Teachers!$B$5:$B$304,MATCH(A182,Teachers!$A$5:$A$304,0)),"ID not found"))</f>
        <v/>
      </c>
      <c r="C182" s="85" t="str">
        <f aca="false">IF(A182="","",IFERROR(INDEX(Teachers!$E$5:$E$304,MATCH(A182,Teachers!$A$5:$A$304,0)),""))</f>
        <v/>
      </c>
      <c r="D182" s="101"/>
      <c r="E182" s="97"/>
      <c r="F182" s="97"/>
      <c r="G182" s="85" t="str">
        <f aca="false">IF(OR(A182="",D182=""),"",COUNTIFS('Staff Attendance'!$B$5:$B$304,A182,'Staff Attendance'!$E$5:$E$304,"A",'Staff Attendance'!$A$5:$A$304,"&gt;="&amp;D182,'Staff Attendance'!$A$5:$A$304,"&lt;"&amp;EDATE(D182,1)))</f>
        <v/>
      </c>
      <c r="H182" s="98" t="str">
        <f aca="false">IF(G182="","",ROUND(E182/Settings!$O$5*G182,0))</f>
        <v/>
      </c>
      <c r="I182" s="97"/>
      <c r="J182" s="98" t="str">
        <f aca="false">IF(OR(A182="",H182=""),"",E182+F182-H182-I182)</f>
        <v/>
      </c>
      <c r="K182" s="52"/>
    </row>
    <row r="183" customFormat="false" ht="19.5" hidden="false" customHeight="true" outlineLevel="0" collapsed="false">
      <c r="A183" s="52"/>
      <c r="B183" s="89" t="str">
        <f aca="false">IF(A183="","",IFERROR(INDEX(Teachers!$B$5:$B$304,MATCH(A183,Teachers!$A$5:$A$304,0)),"ID not found"))</f>
        <v/>
      </c>
      <c r="C183" s="85" t="str">
        <f aca="false">IF(A183="","",IFERROR(INDEX(Teachers!$E$5:$E$304,MATCH(A183,Teachers!$A$5:$A$304,0)),""))</f>
        <v/>
      </c>
      <c r="D183" s="101"/>
      <c r="E183" s="97"/>
      <c r="F183" s="97"/>
      <c r="G183" s="85" t="str">
        <f aca="false">IF(OR(A183="",D183=""),"",COUNTIFS('Staff Attendance'!$B$5:$B$304,A183,'Staff Attendance'!$E$5:$E$304,"A",'Staff Attendance'!$A$5:$A$304,"&gt;="&amp;D183,'Staff Attendance'!$A$5:$A$304,"&lt;"&amp;EDATE(D183,1)))</f>
        <v/>
      </c>
      <c r="H183" s="98" t="str">
        <f aca="false">IF(G183="","",ROUND(E183/Settings!$O$5*G183,0))</f>
        <v/>
      </c>
      <c r="I183" s="97"/>
      <c r="J183" s="98" t="str">
        <f aca="false">IF(OR(A183="",H183=""),"",E183+F183-H183-I183)</f>
        <v/>
      </c>
      <c r="K183" s="52"/>
    </row>
    <row r="184" customFormat="false" ht="19.5" hidden="false" customHeight="true" outlineLevel="0" collapsed="false">
      <c r="A184" s="52"/>
      <c r="B184" s="89" t="str">
        <f aca="false">IF(A184="","",IFERROR(INDEX(Teachers!$B$5:$B$304,MATCH(A184,Teachers!$A$5:$A$304,0)),"ID not found"))</f>
        <v/>
      </c>
      <c r="C184" s="85" t="str">
        <f aca="false">IF(A184="","",IFERROR(INDEX(Teachers!$E$5:$E$304,MATCH(A184,Teachers!$A$5:$A$304,0)),""))</f>
        <v/>
      </c>
      <c r="D184" s="101"/>
      <c r="E184" s="97"/>
      <c r="F184" s="97"/>
      <c r="G184" s="85" t="str">
        <f aca="false">IF(OR(A184="",D184=""),"",COUNTIFS('Staff Attendance'!$B$5:$B$304,A184,'Staff Attendance'!$E$5:$E$304,"A",'Staff Attendance'!$A$5:$A$304,"&gt;="&amp;D184,'Staff Attendance'!$A$5:$A$304,"&lt;"&amp;EDATE(D184,1)))</f>
        <v/>
      </c>
      <c r="H184" s="98" t="str">
        <f aca="false">IF(G184="","",ROUND(E184/Settings!$O$5*G184,0))</f>
        <v/>
      </c>
      <c r="I184" s="97"/>
      <c r="J184" s="98" t="str">
        <f aca="false">IF(OR(A184="",H184=""),"",E184+F184-H184-I184)</f>
        <v/>
      </c>
      <c r="K184" s="52"/>
    </row>
    <row r="185" customFormat="false" ht="19.5" hidden="false" customHeight="true" outlineLevel="0" collapsed="false">
      <c r="A185" s="52"/>
      <c r="B185" s="89" t="str">
        <f aca="false">IF(A185="","",IFERROR(INDEX(Teachers!$B$5:$B$304,MATCH(A185,Teachers!$A$5:$A$304,0)),"ID not found"))</f>
        <v/>
      </c>
      <c r="C185" s="85" t="str">
        <f aca="false">IF(A185="","",IFERROR(INDEX(Teachers!$E$5:$E$304,MATCH(A185,Teachers!$A$5:$A$304,0)),""))</f>
        <v/>
      </c>
      <c r="D185" s="101"/>
      <c r="E185" s="97"/>
      <c r="F185" s="97"/>
      <c r="G185" s="85" t="str">
        <f aca="false">IF(OR(A185="",D185=""),"",COUNTIFS('Staff Attendance'!$B$5:$B$304,A185,'Staff Attendance'!$E$5:$E$304,"A",'Staff Attendance'!$A$5:$A$304,"&gt;="&amp;D185,'Staff Attendance'!$A$5:$A$304,"&lt;"&amp;EDATE(D185,1)))</f>
        <v/>
      </c>
      <c r="H185" s="98" t="str">
        <f aca="false">IF(G185="","",ROUND(E185/Settings!$O$5*G185,0))</f>
        <v/>
      </c>
      <c r="I185" s="97"/>
      <c r="J185" s="98" t="str">
        <f aca="false">IF(OR(A185="",H185=""),"",E185+F185-H185-I185)</f>
        <v/>
      </c>
      <c r="K185" s="52"/>
    </row>
    <row r="186" customFormat="false" ht="19.5" hidden="false" customHeight="true" outlineLevel="0" collapsed="false">
      <c r="A186" s="52"/>
      <c r="B186" s="89" t="str">
        <f aca="false">IF(A186="","",IFERROR(INDEX(Teachers!$B$5:$B$304,MATCH(A186,Teachers!$A$5:$A$304,0)),"ID not found"))</f>
        <v/>
      </c>
      <c r="C186" s="85" t="str">
        <f aca="false">IF(A186="","",IFERROR(INDEX(Teachers!$E$5:$E$304,MATCH(A186,Teachers!$A$5:$A$304,0)),""))</f>
        <v/>
      </c>
      <c r="D186" s="101"/>
      <c r="E186" s="97"/>
      <c r="F186" s="97"/>
      <c r="G186" s="85" t="str">
        <f aca="false">IF(OR(A186="",D186=""),"",COUNTIFS('Staff Attendance'!$B$5:$B$304,A186,'Staff Attendance'!$E$5:$E$304,"A",'Staff Attendance'!$A$5:$A$304,"&gt;="&amp;D186,'Staff Attendance'!$A$5:$A$304,"&lt;"&amp;EDATE(D186,1)))</f>
        <v/>
      </c>
      <c r="H186" s="98" t="str">
        <f aca="false">IF(G186="","",ROUND(E186/Settings!$O$5*G186,0))</f>
        <v/>
      </c>
      <c r="I186" s="97"/>
      <c r="J186" s="98" t="str">
        <f aca="false">IF(OR(A186="",H186=""),"",E186+F186-H186-I186)</f>
        <v/>
      </c>
      <c r="K186" s="52"/>
    </row>
    <row r="187" customFormat="false" ht="19.5" hidden="false" customHeight="true" outlineLevel="0" collapsed="false">
      <c r="A187" s="52"/>
      <c r="B187" s="89" t="str">
        <f aca="false">IF(A187="","",IFERROR(INDEX(Teachers!$B$5:$B$304,MATCH(A187,Teachers!$A$5:$A$304,0)),"ID not found"))</f>
        <v/>
      </c>
      <c r="C187" s="85" t="str">
        <f aca="false">IF(A187="","",IFERROR(INDEX(Teachers!$E$5:$E$304,MATCH(A187,Teachers!$A$5:$A$304,0)),""))</f>
        <v/>
      </c>
      <c r="D187" s="101"/>
      <c r="E187" s="97"/>
      <c r="F187" s="97"/>
      <c r="G187" s="85" t="str">
        <f aca="false">IF(OR(A187="",D187=""),"",COUNTIFS('Staff Attendance'!$B$5:$B$304,A187,'Staff Attendance'!$E$5:$E$304,"A",'Staff Attendance'!$A$5:$A$304,"&gt;="&amp;D187,'Staff Attendance'!$A$5:$A$304,"&lt;"&amp;EDATE(D187,1)))</f>
        <v/>
      </c>
      <c r="H187" s="98" t="str">
        <f aca="false">IF(G187="","",ROUND(E187/Settings!$O$5*G187,0))</f>
        <v/>
      </c>
      <c r="I187" s="97"/>
      <c r="J187" s="98" t="str">
        <f aca="false">IF(OR(A187="",H187=""),"",E187+F187-H187-I187)</f>
        <v/>
      </c>
      <c r="K187" s="52"/>
    </row>
    <row r="188" customFormat="false" ht="19.5" hidden="false" customHeight="true" outlineLevel="0" collapsed="false">
      <c r="A188" s="52"/>
      <c r="B188" s="89" t="str">
        <f aca="false">IF(A188="","",IFERROR(INDEX(Teachers!$B$5:$B$304,MATCH(A188,Teachers!$A$5:$A$304,0)),"ID not found"))</f>
        <v/>
      </c>
      <c r="C188" s="85" t="str">
        <f aca="false">IF(A188="","",IFERROR(INDEX(Teachers!$E$5:$E$304,MATCH(A188,Teachers!$A$5:$A$304,0)),""))</f>
        <v/>
      </c>
      <c r="D188" s="101"/>
      <c r="E188" s="97"/>
      <c r="F188" s="97"/>
      <c r="G188" s="85" t="str">
        <f aca="false">IF(OR(A188="",D188=""),"",COUNTIFS('Staff Attendance'!$B$5:$B$304,A188,'Staff Attendance'!$E$5:$E$304,"A",'Staff Attendance'!$A$5:$A$304,"&gt;="&amp;D188,'Staff Attendance'!$A$5:$A$304,"&lt;"&amp;EDATE(D188,1)))</f>
        <v/>
      </c>
      <c r="H188" s="98" t="str">
        <f aca="false">IF(G188="","",ROUND(E188/Settings!$O$5*G188,0))</f>
        <v/>
      </c>
      <c r="I188" s="97"/>
      <c r="J188" s="98" t="str">
        <f aca="false">IF(OR(A188="",H188=""),"",E188+F188-H188-I188)</f>
        <v/>
      </c>
      <c r="K188" s="52"/>
    </row>
    <row r="189" customFormat="false" ht="19.5" hidden="false" customHeight="true" outlineLevel="0" collapsed="false">
      <c r="A189" s="52"/>
      <c r="B189" s="89" t="str">
        <f aca="false">IF(A189="","",IFERROR(INDEX(Teachers!$B$5:$B$304,MATCH(A189,Teachers!$A$5:$A$304,0)),"ID not found"))</f>
        <v/>
      </c>
      <c r="C189" s="85" t="str">
        <f aca="false">IF(A189="","",IFERROR(INDEX(Teachers!$E$5:$E$304,MATCH(A189,Teachers!$A$5:$A$304,0)),""))</f>
        <v/>
      </c>
      <c r="D189" s="101"/>
      <c r="E189" s="97"/>
      <c r="F189" s="97"/>
      <c r="G189" s="85" t="str">
        <f aca="false">IF(OR(A189="",D189=""),"",COUNTIFS('Staff Attendance'!$B$5:$B$304,A189,'Staff Attendance'!$E$5:$E$304,"A",'Staff Attendance'!$A$5:$A$304,"&gt;="&amp;D189,'Staff Attendance'!$A$5:$A$304,"&lt;"&amp;EDATE(D189,1)))</f>
        <v/>
      </c>
      <c r="H189" s="98" t="str">
        <f aca="false">IF(G189="","",ROUND(E189/Settings!$O$5*G189,0))</f>
        <v/>
      </c>
      <c r="I189" s="97"/>
      <c r="J189" s="98" t="str">
        <f aca="false">IF(OR(A189="",H189=""),"",E189+F189-H189-I189)</f>
        <v/>
      </c>
      <c r="K189" s="52"/>
    </row>
    <row r="190" customFormat="false" ht="19.5" hidden="false" customHeight="true" outlineLevel="0" collapsed="false">
      <c r="A190" s="52"/>
      <c r="B190" s="89" t="str">
        <f aca="false">IF(A190="","",IFERROR(INDEX(Teachers!$B$5:$B$304,MATCH(A190,Teachers!$A$5:$A$304,0)),"ID not found"))</f>
        <v/>
      </c>
      <c r="C190" s="85" t="str">
        <f aca="false">IF(A190="","",IFERROR(INDEX(Teachers!$E$5:$E$304,MATCH(A190,Teachers!$A$5:$A$304,0)),""))</f>
        <v/>
      </c>
      <c r="D190" s="101"/>
      <c r="E190" s="97"/>
      <c r="F190" s="97"/>
      <c r="G190" s="85" t="str">
        <f aca="false">IF(OR(A190="",D190=""),"",COUNTIFS('Staff Attendance'!$B$5:$B$304,A190,'Staff Attendance'!$E$5:$E$304,"A",'Staff Attendance'!$A$5:$A$304,"&gt;="&amp;D190,'Staff Attendance'!$A$5:$A$304,"&lt;"&amp;EDATE(D190,1)))</f>
        <v/>
      </c>
      <c r="H190" s="98" t="str">
        <f aca="false">IF(G190="","",ROUND(E190/Settings!$O$5*G190,0))</f>
        <v/>
      </c>
      <c r="I190" s="97"/>
      <c r="J190" s="98" t="str">
        <f aca="false">IF(OR(A190="",H190=""),"",E190+F190-H190-I190)</f>
        <v/>
      </c>
      <c r="K190" s="52"/>
    </row>
    <row r="191" customFormat="false" ht="19.5" hidden="false" customHeight="true" outlineLevel="0" collapsed="false">
      <c r="A191" s="52"/>
      <c r="B191" s="89" t="str">
        <f aca="false">IF(A191="","",IFERROR(INDEX(Teachers!$B$5:$B$304,MATCH(A191,Teachers!$A$5:$A$304,0)),"ID not found"))</f>
        <v/>
      </c>
      <c r="C191" s="85" t="str">
        <f aca="false">IF(A191="","",IFERROR(INDEX(Teachers!$E$5:$E$304,MATCH(A191,Teachers!$A$5:$A$304,0)),""))</f>
        <v/>
      </c>
      <c r="D191" s="101"/>
      <c r="E191" s="97"/>
      <c r="F191" s="97"/>
      <c r="G191" s="85" t="str">
        <f aca="false">IF(OR(A191="",D191=""),"",COUNTIFS('Staff Attendance'!$B$5:$B$304,A191,'Staff Attendance'!$E$5:$E$304,"A",'Staff Attendance'!$A$5:$A$304,"&gt;="&amp;D191,'Staff Attendance'!$A$5:$A$304,"&lt;"&amp;EDATE(D191,1)))</f>
        <v/>
      </c>
      <c r="H191" s="98" t="str">
        <f aca="false">IF(G191="","",ROUND(E191/Settings!$O$5*G191,0))</f>
        <v/>
      </c>
      <c r="I191" s="97"/>
      <c r="J191" s="98" t="str">
        <f aca="false">IF(OR(A191="",H191=""),"",E191+F191-H191-I191)</f>
        <v/>
      </c>
      <c r="K191" s="52"/>
    </row>
    <row r="192" customFormat="false" ht="19.5" hidden="false" customHeight="true" outlineLevel="0" collapsed="false">
      <c r="A192" s="52"/>
      <c r="B192" s="89" t="str">
        <f aca="false">IF(A192="","",IFERROR(INDEX(Teachers!$B$5:$B$304,MATCH(A192,Teachers!$A$5:$A$304,0)),"ID not found"))</f>
        <v/>
      </c>
      <c r="C192" s="85" t="str">
        <f aca="false">IF(A192="","",IFERROR(INDEX(Teachers!$E$5:$E$304,MATCH(A192,Teachers!$A$5:$A$304,0)),""))</f>
        <v/>
      </c>
      <c r="D192" s="101"/>
      <c r="E192" s="97"/>
      <c r="F192" s="97"/>
      <c r="G192" s="85" t="str">
        <f aca="false">IF(OR(A192="",D192=""),"",COUNTIFS('Staff Attendance'!$B$5:$B$304,A192,'Staff Attendance'!$E$5:$E$304,"A",'Staff Attendance'!$A$5:$A$304,"&gt;="&amp;D192,'Staff Attendance'!$A$5:$A$304,"&lt;"&amp;EDATE(D192,1)))</f>
        <v/>
      </c>
      <c r="H192" s="98" t="str">
        <f aca="false">IF(G192="","",ROUND(E192/Settings!$O$5*G192,0))</f>
        <v/>
      </c>
      <c r="I192" s="97"/>
      <c r="J192" s="98" t="str">
        <f aca="false">IF(OR(A192="",H192=""),"",E192+F192-H192-I192)</f>
        <v/>
      </c>
      <c r="K192" s="52"/>
    </row>
    <row r="193" customFormat="false" ht="19.5" hidden="false" customHeight="true" outlineLevel="0" collapsed="false">
      <c r="A193" s="52"/>
      <c r="B193" s="89" t="str">
        <f aca="false">IF(A193="","",IFERROR(INDEX(Teachers!$B$5:$B$304,MATCH(A193,Teachers!$A$5:$A$304,0)),"ID not found"))</f>
        <v/>
      </c>
      <c r="C193" s="85" t="str">
        <f aca="false">IF(A193="","",IFERROR(INDEX(Teachers!$E$5:$E$304,MATCH(A193,Teachers!$A$5:$A$304,0)),""))</f>
        <v/>
      </c>
      <c r="D193" s="101"/>
      <c r="E193" s="97"/>
      <c r="F193" s="97"/>
      <c r="G193" s="85" t="str">
        <f aca="false">IF(OR(A193="",D193=""),"",COUNTIFS('Staff Attendance'!$B$5:$B$304,A193,'Staff Attendance'!$E$5:$E$304,"A",'Staff Attendance'!$A$5:$A$304,"&gt;="&amp;D193,'Staff Attendance'!$A$5:$A$304,"&lt;"&amp;EDATE(D193,1)))</f>
        <v/>
      </c>
      <c r="H193" s="98" t="str">
        <f aca="false">IF(G193="","",ROUND(E193/Settings!$O$5*G193,0))</f>
        <v/>
      </c>
      <c r="I193" s="97"/>
      <c r="J193" s="98" t="str">
        <f aca="false">IF(OR(A193="",H193=""),"",E193+F193-H193-I193)</f>
        <v/>
      </c>
      <c r="K193" s="52"/>
    </row>
    <row r="194" customFormat="false" ht="19.5" hidden="false" customHeight="true" outlineLevel="0" collapsed="false">
      <c r="A194" s="52"/>
      <c r="B194" s="89" t="str">
        <f aca="false">IF(A194="","",IFERROR(INDEX(Teachers!$B$5:$B$304,MATCH(A194,Teachers!$A$5:$A$304,0)),"ID not found"))</f>
        <v/>
      </c>
      <c r="C194" s="85" t="str">
        <f aca="false">IF(A194="","",IFERROR(INDEX(Teachers!$E$5:$E$304,MATCH(A194,Teachers!$A$5:$A$304,0)),""))</f>
        <v/>
      </c>
      <c r="D194" s="101"/>
      <c r="E194" s="97"/>
      <c r="F194" s="97"/>
      <c r="G194" s="85" t="str">
        <f aca="false">IF(OR(A194="",D194=""),"",COUNTIFS('Staff Attendance'!$B$5:$B$304,A194,'Staff Attendance'!$E$5:$E$304,"A",'Staff Attendance'!$A$5:$A$304,"&gt;="&amp;D194,'Staff Attendance'!$A$5:$A$304,"&lt;"&amp;EDATE(D194,1)))</f>
        <v/>
      </c>
      <c r="H194" s="98" t="str">
        <f aca="false">IF(G194="","",ROUND(E194/Settings!$O$5*G194,0))</f>
        <v/>
      </c>
      <c r="I194" s="97"/>
      <c r="J194" s="98" t="str">
        <f aca="false">IF(OR(A194="",H194=""),"",E194+F194-H194-I194)</f>
        <v/>
      </c>
      <c r="K194" s="52"/>
    </row>
    <row r="195" customFormat="false" ht="19.5" hidden="false" customHeight="true" outlineLevel="0" collapsed="false">
      <c r="A195" s="52"/>
      <c r="B195" s="89" t="str">
        <f aca="false">IF(A195="","",IFERROR(INDEX(Teachers!$B$5:$B$304,MATCH(A195,Teachers!$A$5:$A$304,0)),"ID not found"))</f>
        <v/>
      </c>
      <c r="C195" s="85" t="str">
        <f aca="false">IF(A195="","",IFERROR(INDEX(Teachers!$E$5:$E$304,MATCH(A195,Teachers!$A$5:$A$304,0)),""))</f>
        <v/>
      </c>
      <c r="D195" s="101"/>
      <c r="E195" s="97"/>
      <c r="F195" s="97"/>
      <c r="G195" s="85" t="str">
        <f aca="false">IF(OR(A195="",D195=""),"",COUNTIFS('Staff Attendance'!$B$5:$B$304,A195,'Staff Attendance'!$E$5:$E$304,"A",'Staff Attendance'!$A$5:$A$304,"&gt;="&amp;D195,'Staff Attendance'!$A$5:$A$304,"&lt;"&amp;EDATE(D195,1)))</f>
        <v/>
      </c>
      <c r="H195" s="98" t="str">
        <f aca="false">IF(G195="","",ROUND(E195/Settings!$O$5*G195,0))</f>
        <v/>
      </c>
      <c r="I195" s="97"/>
      <c r="J195" s="98" t="str">
        <f aca="false">IF(OR(A195="",H195=""),"",E195+F195-H195-I195)</f>
        <v/>
      </c>
      <c r="K195" s="52"/>
    </row>
    <row r="196" customFormat="false" ht="19.5" hidden="false" customHeight="true" outlineLevel="0" collapsed="false">
      <c r="A196" s="52"/>
      <c r="B196" s="89" t="str">
        <f aca="false">IF(A196="","",IFERROR(INDEX(Teachers!$B$5:$B$304,MATCH(A196,Teachers!$A$5:$A$304,0)),"ID not found"))</f>
        <v/>
      </c>
      <c r="C196" s="85" t="str">
        <f aca="false">IF(A196="","",IFERROR(INDEX(Teachers!$E$5:$E$304,MATCH(A196,Teachers!$A$5:$A$304,0)),""))</f>
        <v/>
      </c>
      <c r="D196" s="101"/>
      <c r="E196" s="97"/>
      <c r="F196" s="97"/>
      <c r="G196" s="85" t="str">
        <f aca="false">IF(OR(A196="",D196=""),"",COUNTIFS('Staff Attendance'!$B$5:$B$304,A196,'Staff Attendance'!$E$5:$E$304,"A",'Staff Attendance'!$A$5:$A$304,"&gt;="&amp;D196,'Staff Attendance'!$A$5:$A$304,"&lt;"&amp;EDATE(D196,1)))</f>
        <v/>
      </c>
      <c r="H196" s="98" t="str">
        <f aca="false">IF(G196="","",ROUND(E196/Settings!$O$5*G196,0))</f>
        <v/>
      </c>
      <c r="I196" s="97"/>
      <c r="J196" s="98" t="str">
        <f aca="false">IF(OR(A196="",H196=""),"",E196+F196-H196-I196)</f>
        <v/>
      </c>
      <c r="K196" s="52"/>
    </row>
    <row r="197" customFormat="false" ht="19.5" hidden="false" customHeight="true" outlineLevel="0" collapsed="false">
      <c r="A197" s="52"/>
      <c r="B197" s="89" t="str">
        <f aca="false">IF(A197="","",IFERROR(INDEX(Teachers!$B$5:$B$304,MATCH(A197,Teachers!$A$5:$A$304,0)),"ID not found"))</f>
        <v/>
      </c>
      <c r="C197" s="85" t="str">
        <f aca="false">IF(A197="","",IFERROR(INDEX(Teachers!$E$5:$E$304,MATCH(A197,Teachers!$A$5:$A$304,0)),""))</f>
        <v/>
      </c>
      <c r="D197" s="101"/>
      <c r="E197" s="97"/>
      <c r="F197" s="97"/>
      <c r="G197" s="85" t="str">
        <f aca="false">IF(OR(A197="",D197=""),"",COUNTIFS('Staff Attendance'!$B$5:$B$304,A197,'Staff Attendance'!$E$5:$E$304,"A",'Staff Attendance'!$A$5:$A$304,"&gt;="&amp;D197,'Staff Attendance'!$A$5:$A$304,"&lt;"&amp;EDATE(D197,1)))</f>
        <v/>
      </c>
      <c r="H197" s="98" t="str">
        <f aca="false">IF(G197="","",ROUND(E197/Settings!$O$5*G197,0))</f>
        <v/>
      </c>
      <c r="I197" s="97"/>
      <c r="J197" s="98" t="str">
        <f aca="false">IF(OR(A197="",H197=""),"",E197+F197-H197-I197)</f>
        <v/>
      </c>
      <c r="K197" s="52"/>
    </row>
    <row r="198" customFormat="false" ht="19.5" hidden="false" customHeight="true" outlineLevel="0" collapsed="false">
      <c r="A198" s="52"/>
      <c r="B198" s="89" t="str">
        <f aca="false">IF(A198="","",IFERROR(INDEX(Teachers!$B$5:$B$304,MATCH(A198,Teachers!$A$5:$A$304,0)),"ID not found"))</f>
        <v/>
      </c>
      <c r="C198" s="85" t="str">
        <f aca="false">IF(A198="","",IFERROR(INDEX(Teachers!$E$5:$E$304,MATCH(A198,Teachers!$A$5:$A$304,0)),""))</f>
        <v/>
      </c>
      <c r="D198" s="101"/>
      <c r="E198" s="97"/>
      <c r="F198" s="97"/>
      <c r="G198" s="85" t="str">
        <f aca="false">IF(OR(A198="",D198=""),"",COUNTIFS('Staff Attendance'!$B$5:$B$304,A198,'Staff Attendance'!$E$5:$E$304,"A",'Staff Attendance'!$A$5:$A$304,"&gt;="&amp;D198,'Staff Attendance'!$A$5:$A$304,"&lt;"&amp;EDATE(D198,1)))</f>
        <v/>
      </c>
      <c r="H198" s="98" t="str">
        <f aca="false">IF(G198="","",ROUND(E198/Settings!$O$5*G198,0))</f>
        <v/>
      </c>
      <c r="I198" s="97"/>
      <c r="J198" s="98" t="str">
        <f aca="false">IF(OR(A198="",H198=""),"",E198+F198-H198-I198)</f>
        <v/>
      </c>
      <c r="K198" s="52"/>
    </row>
    <row r="199" customFormat="false" ht="19.5" hidden="false" customHeight="true" outlineLevel="0" collapsed="false">
      <c r="A199" s="52"/>
      <c r="B199" s="89" t="str">
        <f aca="false">IF(A199="","",IFERROR(INDEX(Teachers!$B$5:$B$304,MATCH(A199,Teachers!$A$5:$A$304,0)),"ID not found"))</f>
        <v/>
      </c>
      <c r="C199" s="85" t="str">
        <f aca="false">IF(A199="","",IFERROR(INDEX(Teachers!$E$5:$E$304,MATCH(A199,Teachers!$A$5:$A$304,0)),""))</f>
        <v/>
      </c>
      <c r="D199" s="101"/>
      <c r="E199" s="97"/>
      <c r="F199" s="97"/>
      <c r="G199" s="85" t="str">
        <f aca="false">IF(OR(A199="",D199=""),"",COUNTIFS('Staff Attendance'!$B$5:$B$304,A199,'Staff Attendance'!$E$5:$E$304,"A",'Staff Attendance'!$A$5:$A$304,"&gt;="&amp;D199,'Staff Attendance'!$A$5:$A$304,"&lt;"&amp;EDATE(D199,1)))</f>
        <v/>
      </c>
      <c r="H199" s="98" t="str">
        <f aca="false">IF(G199="","",ROUND(E199/Settings!$O$5*G199,0))</f>
        <v/>
      </c>
      <c r="I199" s="97"/>
      <c r="J199" s="98" t="str">
        <f aca="false">IF(OR(A199="",H199=""),"",E199+F199-H199-I199)</f>
        <v/>
      </c>
      <c r="K199" s="52"/>
    </row>
    <row r="200" customFormat="false" ht="19.5" hidden="false" customHeight="true" outlineLevel="0" collapsed="false">
      <c r="A200" s="52"/>
      <c r="B200" s="89" t="str">
        <f aca="false">IF(A200="","",IFERROR(INDEX(Teachers!$B$5:$B$304,MATCH(A200,Teachers!$A$5:$A$304,0)),"ID not found"))</f>
        <v/>
      </c>
      <c r="C200" s="85" t="str">
        <f aca="false">IF(A200="","",IFERROR(INDEX(Teachers!$E$5:$E$304,MATCH(A200,Teachers!$A$5:$A$304,0)),""))</f>
        <v/>
      </c>
      <c r="D200" s="101"/>
      <c r="E200" s="97"/>
      <c r="F200" s="97"/>
      <c r="G200" s="85" t="str">
        <f aca="false">IF(OR(A200="",D200=""),"",COUNTIFS('Staff Attendance'!$B$5:$B$304,A200,'Staff Attendance'!$E$5:$E$304,"A",'Staff Attendance'!$A$5:$A$304,"&gt;="&amp;D200,'Staff Attendance'!$A$5:$A$304,"&lt;"&amp;EDATE(D200,1)))</f>
        <v/>
      </c>
      <c r="H200" s="98" t="str">
        <f aca="false">IF(G200="","",ROUND(E200/Settings!$O$5*G200,0))</f>
        <v/>
      </c>
      <c r="I200" s="97"/>
      <c r="J200" s="98" t="str">
        <f aca="false">IF(OR(A200="",H200=""),"",E200+F200-H200-I200)</f>
        <v/>
      </c>
      <c r="K200" s="52"/>
    </row>
    <row r="201" customFormat="false" ht="19.5" hidden="false" customHeight="true" outlineLevel="0" collapsed="false">
      <c r="A201" s="52"/>
      <c r="B201" s="89" t="str">
        <f aca="false">IF(A201="","",IFERROR(INDEX(Teachers!$B$5:$B$304,MATCH(A201,Teachers!$A$5:$A$304,0)),"ID not found"))</f>
        <v/>
      </c>
      <c r="C201" s="85" t="str">
        <f aca="false">IF(A201="","",IFERROR(INDEX(Teachers!$E$5:$E$304,MATCH(A201,Teachers!$A$5:$A$304,0)),""))</f>
        <v/>
      </c>
      <c r="D201" s="101"/>
      <c r="E201" s="97"/>
      <c r="F201" s="97"/>
      <c r="G201" s="85" t="str">
        <f aca="false">IF(OR(A201="",D201=""),"",COUNTIFS('Staff Attendance'!$B$5:$B$304,A201,'Staff Attendance'!$E$5:$E$304,"A",'Staff Attendance'!$A$5:$A$304,"&gt;="&amp;D201,'Staff Attendance'!$A$5:$A$304,"&lt;"&amp;EDATE(D201,1)))</f>
        <v/>
      </c>
      <c r="H201" s="98" t="str">
        <f aca="false">IF(G201="","",ROUND(E201/Settings!$O$5*G201,0))</f>
        <v/>
      </c>
      <c r="I201" s="97"/>
      <c r="J201" s="98" t="str">
        <f aca="false">IF(OR(A201="",H201=""),"",E201+F201-H201-I201)</f>
        <v/>
      </c>
      <c r="K201" s="52"/>
    </row>
    <row r="202" customFormat="false" ht="19.5" hidden="false" customHeight="true" outlineLevel="0" collapsed="false">
      <c r="A202" s="52"/>
      <c r="B202" s="89" t="str">
        <f aca="false">IF(A202="","",IFERROR(INDEX(Teachers!$B$5:$B$304,MATCH(A202,Teachers!$A$5:$A$304,0)),"ID not found"))</f>
        <v/>
      </c>
      <c r="C202" s="85" t="str">
        <f aca="false">IF(A202="","",IFERROR(INDEX(Teachers!$E$5:$E$304,MATCH(A202,Teachers!$A$5:$A$304,0)),""))</f>
        <v/>
      </c>
      <c r="D202" s="101"/>
      <c r="E202" s="97"/>
      <c r="F202" s="97"/>
      <c r="G202" s="85" t="str">
        <f aca="false">IF(OR(A202="",D202=""),"",COUNTIFS('Staff Attendance'!$B$5:$B$304,A202,'Staff Attendance'!$E$5:$E$304,"A",'Staff Attendance'!$A$5:$A$304,"&gt;="&amp;D202,'Staff Attendance'!$A$5:$A$304,"&lt;"&amp;EDATE(D202,1)))</f>
        <v/>
      </c>
      <c r="H202" s="98" t="str">
        <f aca="false">IF(G202="","",ROUND(E202/Settings!$O$5*G202,0))</f>
        <v/>
      </c>
      <c r="I202" s="97"/>
      <c r="J202" s="98" t="str">
        <f aca="false">IF(OR(A202="",H202=""),"",E202+F202-H202-I202)</f>
        <v/>
      </c>
      <c r="K202" s="52"/>
    </row>
    <row r="203" customFormat="false" ht="19.5" hidden="false" customHeight="true" outlineLevel="0" collapsed="false">
      <c r="A203" s="52"/>
      <c r="B203" s="89" t="str">
        <f aca="false">IF(A203="","",IFERROR(INDEX(Teachers!$B$5:$B$304,MATCH(A203,Teachers!$A$5:$A$304,0)),"ID not found"))</f>
        <v/>
      </c>
      <c r="C203" s="85" t="str">
        <f aca="false">IF(A203="","",IFERROR(INDEX(Teachers!$E$5:$E$304,MATCH(A203,Teachers!$A$5:$A$304,0)),""))</f>
        <v/>
      </c>
      <c r="D203" s="101"/>
      <c r="E203" s="97"/>
      <c r="F203" s="97"/>
      <c r="G203" s="85" t="str">
        <f aca="false">IF(OR(A203="",D203=""),"",COUNTIFS('Staff Attendance'!$B$5:$B$304,A203,'Staff Attendance'!$E$5:$E$304,"A",'Staff Attendance'!$A$5:$A$304,"&gt;="&amp;D203,'Staff Attendance'!$A$5:$A$304,"&lt;"&amp;EDATE(D203,1)))</f>
        <v/>
      </c>
      <c r="H203" s="98" t="str">
        <f aca="false">IF(G203="","",ROUND(E203/Settings!$O$5*G203,0))</f>
        <v/>
      </c>
      <c r="I203" s="97"/>
      <c r="J203" s="98" t="str">
        <f aca="false">IF(OR(A203="",H203=""),"",E203+F203-H203-I203)</f>
        <v/>
      </c>
      <c r="K203" s="52"/>
    </row>
    <row r="204" customFormat="false" ht="19.5" hidden="false" customHeight="true" outlineLevel="0" collapsed="false">
      <c r="A204" s="52"/>
      <c r="B204" s="89" t="str">
        <f aca="false">IF(A204="","",IFERROR(INDEX(Teachers!$B$5:$B$304,MATCH(A204,Teachers!$A$5:$A$304,0)),"ID not found"))</f>
        <v/>
      </c>
      <c r="C204" s="85" t="str">
        <f aca="false">IF(A204="","",IFERROR(INDEX(Teachers!$E$5:$E$304,MATCH(A204,Teachers!$A$5:$A$304,0)),""))</f>
        <v/>
      </c>
      <c r="D204" s="101"/>
      <c r="E204" s="97"/>
      <c r="F204" s="97"/>
      <c r="G204" s="85" t="str">
        <f aca="false">IF(OR(A204="",D204=""),"",COUNTIFS('Staff Attendance'!$B$5:$B$304,A204,'Staff Attendance'!$E$5:$E$304,"A",'Staff Attendance'!$A$5:$A$304,"&gt;="&amp;D204,'Staff Attendance'!$A$5:$A$304,"&lt;"&amp;EDATE(D204,1)))</f>
        <v/>
      </c>
      <c r="H204" s="98" t="str">
        <f aca="false">IF(G204="","",ROUND(E204/Settings!$O$5*G204,0))</f>
        <v/>
      </c>
      <c r="I204" s="97"/>
      <c r="J204" s="98" t="str">
        <f aca="false">IF(OR(A204="",H204=""),"",E204+F204-H204-I204)</f>
        <v/>
      </c>
      <c r="K204" s="52"/>
    </row>
    <row r="205" customFormat="false" ht="19.5" hidden="false" customHeight="true" outlineLevel="0" collapsed="false">
      <c r="A205" s="52"/>
      <c r="B205" s="89" t="str">
        <f aca="false">IF(A205="","",IFERROR(INDEX(Teachers!$B$5:$B$304,MATCH(A205,Teachers!$A$5:$A$304,0)),"ID not found"))</f>
        <v/>
      </c>
      <c r="C205" s="85" t="str">
        <f aca="false">IF(A205="","",IFERROR(INDEX(Teachers!$E$5:$E$304,MATCH(A205,Teachers!$A$5:$A$304,0)),""))</f>
        <v/>
      </c>
      <c r="D205" s="101"/>
      <c r="E205" s="97"/>
      <c r="F205" s="97"/>
      <c r="G205" s="85" t="str">
        <f aca="false">IF(OR(A205="",D205=""),"",COUNTIFS('Staff Attendance'!$B$5:$B$304,A205,'Staff Attendance'!$E$5:$E$304,"A",'Staff Attendance'!$A$5:$A$304,"&gt;="&amp;D205,'Staff Attendance'!$A$5:$A$304,"&lt;"&amp;EDATE(D205,1)))</f>
        <v/>
      </c>
      <c r="H205" s="98" t="str">
        <f aca="false">IF(G205="","",ROUND(E205/Settings!$O$5*G205,0))</f>
        <v/>
      </c>
      <c r="I205" s="97"/>
      <c r="J205" s="98" t="str">
        <f aca="false">IF(OR(A205="",H205=""),"",E205+F205-H205-I205)</f>
        <v/>
      </c>
      <c r="K205" s="52"/>
    </row>
    <row r="206" customFormat="false" ht="19.5" hidden="false" customHeight="true" outlineLevel="0" collapsed="false">
      <c r="A206" s="52"/>
      <c r="B206" s="89" t="str">
        <f aca="false">IF(A206="","",IFERROR(INDEX(Teachers!$B$5:$B$304,MATCH(A206,Teachers!$A$5:$A$304,0)),"ID not found"))</f>
        <v/>
      </c>
      <c r="C206" s="85" t="str">
        <f aca="false">IF(A206="","",IFERROR(INDEX(Teachers!$E$5:$E$304,MATCH(A206,Teachers!$A$5:$A$304,0)),""))</f>
        <v/>
      </c>
      <c r="D206" s="101"/>
      <c r="E206" s="97"/>
      <c r="F206" s="97"/>
      <c r="G206" s="85" t="str">
        <f aca="false">IF(OR(A206="",D206=""),"",COUNTIFS('Staff Attendance'!$B$5:$B$304,A206,'Staff Attendance'!$E$5:$E$304,"A",'Staff Attendance'!$A$5:$A$304,"&gt;="&amp;D206,'Staff Attendance'!$A$5:$A$304,"&lt;"&amp;EDATE(D206,1)))</f>
        <v/>
      </c>
      <c r="H206" s="98" t="str">
        <f aca="false">IF(G206="","",ROUND(E206/Settings!$O$5*G206,0))</f>
        <v/>
      </c>
      <c r="I206" s="97"/>
      <c r="J206" s="98" t="str">
        <f aca="false">IF(OR(A206="",H206=""),"",E206+F206-H206-I206)</f>
        <v/>
      </c>
      <c r="K206" s="52"/>
    </row>
    <row r="207" customFormat="false" ht="19.5" hidden="false" customHeight="true" outlineLevel="0" collapsed="false">
      <c r="A207" s="52"/>
      <c r="B207" s="89" t="str">
        <f aca="false">IF(A207="","",IFERROR(INDEX(Teachers!$B$5:$B$304,MATCH(A207,Teachers!$A$5:$A$304,0)),"ID not found"))</f>
        <v/>
      </c>
      <c r="C207" s="85" t="str">
        <f aca="false">IF(A207="","",IFERROR(INDEX(Teachers!$E$5:$E$304,MATCH(A207,Teachers!$A$5:$A$304,0)),""))</f>
        <v/>
      </c>
      <c r="D207" s="101"/>
      <c r="E207" s="97"/>
      <c r="F207" s="97"/>
      <c r="G207" s="85" t="str">
        <f aca="false">IF(OR(A207="",D207=""),"",COUNTIFS('Staff Attendance'!$B$5:$B$304,A207,'Staff Attendance'!$E$5:$E$304,"A",'Staff Attendance'!$A$5:$A$304,"&gt;="&amp;D207,'Staff Attendance'!$A$5:$A$304,"&lt;"&amp;EDATE(D207,1)))</f>
        <v/>
      </c>
      <c r="H207" s="98" t="str">
        <f aca="false">IF(G207="","",ROUND(E207/Settings!$O$5*G207,0))</f>
        <v/>
      </c>
      <c r="I207" s="97"/>
      <c r="J207" s="98" t="str">
        <f aca="false">IF(OR(A207="",H207=""),"",E207+F207-H207-I207)</f>
        <v/>
      </c>
      <c r="K207" s="52"/>
    </row>
    <row r="208" customFormat="false" ht="19.5" hidden="false" customHeight="true" outlineLevel="0" collapsed="false">
      <c r="A208" s="52"/>
      <c r="B208" s="89" t="str">
        <f aca="false">IF(A208="","",IFERROR(INDEX(Teachers!$B$5:$B$304,MATCH(A208,Teachers!$A$5:$A$304,0)),"ID not found"))</f>
        <v/>
      </c>
      <c r="C208" s="85" t="str">
        <f aca="false">IF(A208="","",IFERROR(INDEX(Teachers!$E$5:$E$304,MATCH(A208,Teachers!$A$5:$A$304,0)),""))</f>
        <v/>
      </c>
      <c r="D208" s="101"/>
      <c r="E208" s="97"/>
      <c r="F208" s="97"/>
      <c r="G208" s="85" t="str">
        <f aca="false">IF(OR(A208="",D208=""),"",COUNTIFS('Staff Attendance'!$B$5:$B$304,A208,'Staff Attendance'!$E$5:$E$304,"A",'Staff Attendance'!$A$5:$A$304,"&gt;="&amp;D208,'Staff Attendance'!$A$5:$A$304,"&lt;"&amp;EDATE(D208,1)))</f>
        <v/>
      </c>
      <c r="H208" s="98" t="str">
        <f aca="false">IF(G208="","",ROUND(E208/Settings!$O$5*G208,0))</f>
        <v/>
      </c>
      <c r="I208" s="97"/>
      <c r="J208" s="98" t="str">
        <f aca="false">IF(OR(A208="",H208=""),"",E208+F208-H208-I208)</f>
        <v/>
      </c>
      <c r="K208" s="52"/>
    </row>
    <row r="209" customFormat="false" ht="19.5" hidden="false" customHeight="true" outlineLevel="0" collapsed="false">
      <c r="A209" s="52"/>
      <c r="B209" s="89" t="str">
        <f aca="false">IF(A209="","",IFERROR(INDEX(Teachers!$B$5:$B$304,MATCH(A209,Teachers!$A$5:$A$304,0)),"ID not found"))</f>
        <v/>
      </c>
      <c r="C209" s="85" t="str">
        <f aca="false">IF(A209="","",IFERROR(INDEX(Teachers!$E$5:$E$304,MATCH(A209,Teachers!$A$5:$A$304,0)),""))</f>
        <v/>
      </c>
      <c r="D209" s="101"/>
      <c r="E209" s="97"/>
      <c r="F209" s="97"/>
      <c r="G209" s="85" t="str">
        <f aca="false">IF(OR(A209="",D209=""),"",COUNTIFS('Staff Attendance'!$B$5:$B$304,A209,'Staff Attendance'!$E$5:$E$304,"A",'Staff Attendance'!$A$5:$A$304,"&gt;="&amp;D209,'Staff Attendance'!$A$5:$A$304,"&lt;"&amp;EDATE(D209,1)))</f>
        <v/>
      </c>
      <c r="H209" s="98" t="str">
        <f aca="false">IF(G209="","",ROUND(E209/Settings!$O$5*G209,0))</f>
        <v/>
      </c>
      <c r="I209" s="97"/>
      <c r="J209" s="98" t="str">
        <f aca="false">IF(OR(A209="",H209=""),"",E209+F209-H209-I209)</f>
        <v/>
      </c>
      <c r="K209" s="52"/>
    </row>
    <row r="210" customFormat="false" ht="19.5" hidden="false" customHeight="true" outlineLevel="0" collapsed="false">
      <c r="A210" s="52"/>
      <c r="B210" s="89" t="str">
        <f aca="false">IF(A210="","",IFERROR(INDEX(Teachers!$B$5:$B$304,MATCH(A210,Teachers!$A$5:$A$304,0)),"ID not found"))</f>
        <v/>
      </c>
      <c r="C210" s="85" t="str">
        <f aca="false">IF(A210="","",IFERROR(INDEX(Teachers!$E$5:$E$304,MATCH(A210,Teachers!$A$5:$A$304,0)),""))</f>
        <v/>
      </c>
      <c r="D210" s="101"/>
      <c r="E210" s="97"/>
      <c r="F210" s="97"/>
      <c r="G210" s="85" t="str">
        <f aca="false">IF(OR(A210="",D210=""),"",COUNTIFS('Staff Attendance'!$B$5:$B$304,A210,'Staff Attendance'!$E$5:$E$304,"A",'Staff Attendance'!$A$5:$A$304,"&gt;="&amp;D210,'Staff Attendance'!$A$5:$A$304,"&lt;"&amp;EDATE(D210,1)))</f>
        <v/>
      </c>
      <c r="H210" s="98" t="str">
        <f aca="false">IF(G210="","",ROUND(E210/Settings!$O$5*G210,0))</f>
        <v/>
      </c>
      <c r="I210" s="97"/>
      <c r="J210" s="98" t="str">
        <f aca="false">IF(OR(A210="",H210=""),"",E210+F210-H210-I210)</f>
        <v/>
      </c>
      <c r="K210" s="52"/>
    </row>
    <row r="211" customFormat="false" ht="19.5" hidden="false" customHeight="true" outlineLevel="0" collapsed="false">
      <c r="A211" s="52"/>
      <c r="B211" s="89" t="str">
        <f aca="false">IF(A211="","",IFERROR(INDEX(Teachers!$B$5:$B$304,MATCH(A211,Teachers!$A$5:$A$304,0)),"ID not found"))</f>
        <v/>
      </c>
      <c r="C211" s="85" t="str">
        <f aca="false">IF(A211="","",IFERROR(INDEX(Teachers!$E$5:$E$304,MATCH(A211,Teachers!$A$5:$A$304,0)),""))</f>
        <v/>
      </c>
      <c r="D211" s="101"/>
      <c r="E211" s="97"/>
      <c r="F211" s="97"/>
      <c r="G211" s="85" t="str">
        <f aca="false">IF(OR(A211="",D211=""),"",COUNTIFS('Staff Attendance'!$B$5:$B$304,A211,'Staff Attendance'!$E$5:$E$304,"A",'Staff Attendance'!$A$5:$A$304,"&gt;="&amp;D211,'Staff Attendance'!$A$5:$A$304,"&lt;"&amp;EDATE(D211,1)))</f>
        <v/>
      </c>
      <c r="H211" s="98" t="str">
        <f aca="false">IF(G211="","",ROUND(E211/Settings!$O$5*G211,0))</f>
        <v/>
      </c>
      <c r="I211" s="97"/>
      <c r="J211" s="98" t="str">
        <f aca="false">IF(OR(A211="",H211=""),"",E211+F211-H211-I211)</f>
        <v/>
      </c>
      <c r="K211" s="52"/>
    </row>
    <row r="212" customFormat="false" ht="19.5" hidden="false" customHeight="true" outlineLevel="0" collapsed="false">
      <c r="A212" s="52"/>
      <c r="B212" s="89" t="str">
        <f aca="false">IF(A212="","",IFERROR(INDEX(Teachers!$B$5:$B$304,MATCH(A212,Teachers!$A$5:$A$304,0)),"ID not found"))</f>
        <v/>
      </c>
      <c r="C212" s="85" t="str">
        <f aca="false">IF(A212="","",IFERROR(INDEX(Teachers!$E$5:$E$304,MATCH(A212,Teachers!$A$5:$A$304,0)),""))</f>
        <v/>
      </c>
      <c r="D212" s="101"/>
      <c r="E212" s="97"/>
      <c r="F212" s="97"/>
      <c r="G212" s="85" t="str">
        <f aca="false">IF(OR(A212="",D212=""),"",COUNTIFS('Staff Attendance'!$B$5:$B$304,A212,'Staff Attendance'!$E$5:$E$304,"A",'Staff Attendance'!$A$5:$A$304,"&gt;="&amp;D212,'Staff Attendance'!$A$5:$A$304,"&lt;"&amp;EDATE(D212,1)))</f>
        <v/>
      </c>
      <c r="H212" s="98" t="str">
        <f aca="false">IF(G212="","",ROUND(E212/Settings!$O$5*G212,0))</f>
        <v/>
      </c>
      <c r="I212" s="97"/>
      <c r="J212" s="98" t="str">
        <f aca="false">IF(OR(A212="",H212=""),"",E212+F212-H212-I212)</f>
        <v/>
      </c>
      <c r="K212" s="52"/>
    </row>
    <row r="213" customFormat="false" ht="19.5" hidden="false" customHeight="true" outlineLevel="0" collapsed="false">
      <c r="A213" s="52"/>
      <c r="B213" s="89" t="str">
        <f aca="false">IF(A213="","",IFERROR(INDEX(Teachers!$B$5:$B$304,MATCH(A213,Teachers!$A$5:$A$304,0)),"ID not found"))</f>
        <v/>
      </c>
      <c r="C213" s="85" t="str">
        <f aca="false">IF(A213="","",IFERROR(INDEX(Teachers!$E$5:$E$304,MATCH(A213,Teachers!$A$5:$A$304,0)),""))</f>
        <v/>
      </c>
      <c r="D213" s="101"/>
      <c r="E213" s="97"/>
      <c r="F213" s="97"/>
      <c r="G213" s="85" t="str">
        <f aca="false">IF(OR(A213="",D213=""),"",COUNTIFS('Staff Attendance'!$B$5:$B$304,A213,'Staff Attendance'!$E$5:$E$304,"A",'Staff Attendance'!$A$5:$A$304,"&gt;="&amp;D213,'Staff Attendance'!$A$5:$A$304,"&lt;"&amp;EDATE(D213,1)))</f>
        <v/>
      </c>
      <c r="H213" s="98" t="str">
        <f aca="false">IF(G213="","",ROUND(E213/Settings!$O$5*G213,0))</f>
        <v/>
      </c>
      <c r="I213" s="97"/>
      <c r="J213" s="98" t="str">
        <f aca="false">IF(OR(A213="",H213=""),"",E213+F213-H213-I213)</f>
        <v/>
      </c>
      <c r="K213" s="52"/>
    </row>
    <row r="214" customFormat="false" ht="19.5" hidden="false" customHeight="true" outlineLevel="0" collapsed="false">
      <c r="A214" s="52"/>
      <c r="B214" s="89" t="str">
        <f aca="false">IF(A214="","",IFERROR(INDEX(Teachers!$B$5:$B$304,MATCH(A214,Teachers!$A$5:$A$304,0)),"ID not found"))</f>
        <v/>
      </c>
      <c r="C214" s="85" t="str">
        <f aca="false">IF(A214="","",IFERROR(INDEX(Teachers!$E$5:$E$304,MATCH(A214,Teachers!$A$5:$A$304,0)),""))</f>
        <v/>
      </c>
      <c r="D214" s="101"/>
      <c r="E214" s="97"/>
      <c r="F214" s="97"/>
      <c r="G214" s="85" t="str">
        <f aca="false">IF(OR(A214="",D214=""),"",COUNTIFS('Staff Attendance'!$B$5:$B$304,A214,'Staff Attendance'!$E$5:$E$304,"A",'Staff Attendance'!$A$5:$A$304,"&gt;="&amp;D214,'Staff Attendance'!$A$5:$A$304,"&lt;"&amp;EDATE(D214,1)))</f>
        <v/>
      </c>
      <c r="H214" s="98" t="str">
        <f aca="false">IF(G214="","",ROUND(E214/Settings!$O$5*G214,0))</f>
        <v/>
      </c>
      <c r="I214" s="97"/>
      <c r="J214" s="98" t="str">
        <f aca="false">IF(OR(A214="",H214=""),"",E214+F214-H214-I214)</f>
        <v/>
      </c>
      <c r="K214" s="52"/>
    </row>
    <row r="215" customFormat="false" ht="19.5" hidden="false" customHeight="true" outlineLevel="0" collapsed="false">
      <c r="A215" s="52"/>
      <c r="B215" s="89" t="str">
        <f aca="false">IF(A215="","",IFERROR(INDEX(Teachers!$B$5:$B$304,MATCH(A215,Teachers!$A$5:$A$304,0)),"ID not found"))</f>
        <v/>
      </c>
      <c r="C215" s="85" t="str">
        <f aca="false">IF(A215="","",IFERROR(INDEX(Teachers!$E$5:$E$304,MATCH(A215,Teachers!$A$5:$A$304,0)),""))</f>
        <v/>
      </c>
      <c r="D215" s="101"/>
      <c r="E215" s="97"/>
      <c r="F215" s="97"/>
      <c r="G215" s="85" t="str">
        <f aca="false">IF(OR(A215="",D215=""),"",COUNTIFS('Staff Attendance'!$B$5:$B$304,A215,'Staff Attendance'!$E$5:$E$304,"A",'Staff Attendance'!$A$5:$A$304,"&gt;="&amp;D215,'Staff Attendance'!$A$5:$A$304,"&lt;"&amp;EDATE(D215,1)))</f>
        <v/>
      </c>
      <c r="H215" s="98" t="str">
        <f aca="false">IF(G215="","",ROUND(E215/Settings!$O$5*G215,0))</f>
        <v/>
      </c>
      <c r="I215" s="97"/>
      <c r="J215" s="98" t="str">
        <f aca="false">IF(OR(A215="",H215=""),"",E215+F215-H215-I215)</f>
        <v/>
      </c>
      <c r="K215" s="52"/>
    </row>
    <row r="216" customFormat="false" ht="19.5" hidden="false" customHeight="true" outlineLevel="0" collapsed="false">
      <c r="A216" s="52"/>
      <c r="B216" s="89" t="str">
        <f aca="false">IF(A216="","",IFERROR(INDEX(Teachers!$B$5:$B$304,MATCH(A216,Teachers!$A$5:$A$304,0)),"ID not found"))</f>
        <v/>
      </c>
      <c r="C216" s="85" t="str">
        <f aca="false">IF(A216="","",IFERROR(INDEX(Teachers!$E$5:$E$304,MATCH(A216,Teachers!$A$5:$A$304,0)),""))</f>
        <v/>
      </c>
      <c r="D216" s="101"/>
      <c r="E216" s="97"/>
      <c r="F216" s="97"/>
      <c r="G216" s="85" t="str">
        <f aca="false">IF(OR(A216="",D216=""),"",COUNTIFS('Staff Attendance'!$B$5:$B$304,A216,'Staff Attendance'!$E$5:$E$304,"A",'Staff Attendance'!$A$5:$A$304,"&gt;="&amp;D216,'Staff Attendance'!$A$5:$A$304,"&lt;"&amp;EDATE(D216,1)))</f>
        <v/>
      </c>
      <c r="H216" s="98" t="str">
        <f aca="false">IF(G216="","",ROUND(E216/Settings!$O$5*G216,0))</f>
        <v/>
      </c>
      <c r="I216" s="97"/>
      <c r="J216" s="98" t="str">
        <f aca="false">IF(OR(A216="",H216=""),"",E216+F216-H216-I216)</f>
        <v/>
      </c>
      <c r="K216" s="52"/>
    </row>
    <row r="217" customFormat="false" ht="19.5" hidden="false" customHeight="true" outlineLevel="0" collapsed="false">
      <c r="A217" s="52"/>
      <c r="B217" s="89" t="str">
        <f aca="false">IF(A217="","",IFERROR(INDEX(Teachers!$B$5:$B$304,MATCH(A217,Teachers!$A$5:$A$304,0)),"ID not found"))</f>
        <v/>
      </c>
      <c r="C217" s="85" t="str">
        <f aca="false">IF(A217="","",IFERROR(INDEX(Teachers!$E$5:$E$304,MATCH(A217,Teachers!$A$5:$A$304,0)),""))</f>
        <v/>
      </c>
      <c r="D217" s="101"/>
      <c r="E217" s="97"/>
      <c r="F217" s="97"/>
      <c r="G217" s="85" t="str">
        <f aca="false">IF(OR(A217="",D217=""),"",COUNTIFS('Staff Attendance'!$B$5:$B$304,A217,'Staff Attendance'!$E$5:$E$304,"A",'Staff Attendance'!$A$5:$A$304,"&gt;="&amp;D217,'Staff Attendance'!$A$5:$A$304,"&lt;"&amp;EDATE(D217,1)))</f>
        <v/>
      </c>
      <c r="H217" s="98" t="str">
        <f aca="false">IF(G217="","",ROUND(E217/Settings!$O$5*G217,0))</f>
        <v/>
      </c>
      <c r="I217" s="97"/>
      <c r="J217" s="98" t="str">
        <f aca="false">IF(OR(A217="",H217=""),"",E217+F217-H217-I217)</f>
        <v/>
      </c>
      <c r="K217" s="52"/>
    </row>
    <row r="218" customFormat="false" ht="19.5" hidden="false" customHeight="true" outlineLevel="0" collapsed="false">
      <c r="A218" s="52"/>
      <c r="B218" s="89" t="str">
        <f aca="false">IF(A218="","",IFERROR(INDEX(Teachers!$B$5:$B$304,MATCH(A218,Teachers!$A$5:$A$304,0)),"ID not found"))</f>
        <v/>
      </c>
      <c r="C218" s="85" t="str">
        <f aca="false">IF(A218="","",IFERROR(INDEX(Teachers!$E$5:$E$304,MATCH(A218,Teachers!$A$5:$A$304,0)),""))</f>
        <v/>
      </c>
      <c r="D218" s="101"/>
      <c r="E218" s="97"/>
      <c r="F218" s="97"/>
      <c r="G218" s="85" t="str">
        <f aca="false">IF(OR(A218="",D218=""),"",COUNTIFS('Staff Attendance'!$B$5:$B$304,A218,'Staff Attendance'!$E$5:$E$304,"A",'Staff Attendance'!$A$5:$A$304,"&gt;="&amp;D218,'Staff Attendance'!$A$5:$A$304,"&lt;"&amp;EDATE(D218,1)))</f>
        <v/>
      </c>
      <c r="H218" s="98" t="str">
        <f aca="false">IF(G218="","",ROUND(E218/Settings!$O$5*G218,0))</f>
        <v/>
      </c>
      <c r="I218" s="97"/>
      <c r="J218" s="98" t="str">
        <f aca="false">IF(OR(A218="",H218=""),"",E218+F218-H218-I218)</f>
        <v/>
      </c>
      <c r="K218" s="52"/>
    </row>
    <row r="219" customFormat="false" ht="19.5" hidden="false" customHeight="true" outlineLevel="0" collapsed="false">
      <c r="A219" s="52"/>
      <c r="B219" s="89" t="str">
        <f aca="false">IF(A219="","",IFERROR(INDEX(Teachers!$B$5:$B$304,MATCH(A219,Teachers!$A$5:$A$304,0)),"ID not found"))</f>
        <v/>
      </c>
      <c r="C219" s="85" t="str">
        <f aca="false">IF(A219="","",IFERROR(INDEX(Teachers!$E$5:$E$304,MATCH(A219,Teachers!$A$5:$A$304,0)),""))</f>
        <v/>
      </c>
      <c r="D219" s="101"/>
      <c r="E219" s="97"/>
      <c r="F219" s="97"/>
      <c r="G219" s="85" t="str">
        <f aca="false">IF(OR(A219="",D219=""),"",COUNTIFS('Staff Attendance'!$B$5:$B$304,A219,'Staff Attendance'!$E$5:$E$304,"A",'Staff Attendance'!$A$5:$A$304,"&gt;="&amp;D219,'Staff Attendance'!$A$5:$A$304,"&lt;"&amp;EDATE(D219,1)))</f>
        <v/>
      </c>
      <c r="H219" s="98" t="str">
        <f aca="false">IF(G219="","",ROUND(E219/Settings!$O$5*G219,0))</f>
        <v/>
      </c>
      <c r="I219" s="97"/>
      <c r="J219" s="98" t="str">
        <f aca="false">IF(OR(A219="",H219=""),"",E219+F219-H219-I219)</f>
        <v/>
      </c>
      <c r="K219" s="52"/>
    </row>
    <row r="220" customFormat="false" ht="19.5" hidden="false" customHeight="true" outlineLevel="0" collapsed="false">
      <c r="A220" s="52"/>
      <c r="B220" s="89" t="str">
        <f aca="false">IF(A220="","",IFERROR(INDEX(Teachers!$B$5:$B$304,MATCH(A220,Teachers!$A$5:$A$304,0)),"ID not found"))</f>
        <v/>
      </c>
      <c r="C220" s="85" t="str">
        <f aca="false">IF(A220="","",IFERROR(INDEX(Teachers!$E$5:$E$304,MATCH(A220,Teachers!$A$5:$A$304,0)),""))</f>
        <v/>
      </c>
      <c r="D220" s="101"/>
      <c r="E220" s="97"/>
      <c r="F220" s="97"/>
      <c r="G220" s="85" t="str">
        <f aca="false">IF(OR(A220="",D220=""),"",COUNTIFS('Staff Attendance'!$B$5:$B$304,A220,'Staff Attendance'!$E$5:$E$304,"A",'Staff Attendance'!$A$5:$A$304,"&gt;="&amp;D220,'Staff Attendance'!$A$5:$A$304,"&lt;"&amp;EDATE(D220,1)))</f>
        <v/>
      </c>
      <c r="H220" s="98" t="str">
        <f aca="false">IF(G220="","",ROUND(E220/Settings!$O$5*G220,0))</f>
        <v/>
      </c>
      <c r="I220" s="97"/>
      <c r="J220" s="98" t="str">
        <f aca="false">IF(OR(A220="",H220=""),"",E220+F220-H220-I220)</f>
        <v/>
      </c>
      <c r="K220" s="52"/>
    </row>
    <row r="221" customFormat="false" ht="19.5" hidden="false" customHeight="true" outlineLevel="0" collapsed="false">
      <c r="A221" s="52"/>
      <c r="B221" s="89" t="str">
        <f aca="false">IF(A221="","",IFERROR(INDEX(Teachers!$B$5:$B$304,MATCH(A221,Teachers!$A$5:$A$304,0)),"ID not found"))</f>
        <v/>
      </c>
      <c r="C221" s="85" t="str">
        <f aca="false">IF(A221="","",IFERROR(INDEX(Teachers!$E$5:$E$304,MATCH(A221,Teachers!$A$5:$A$304,0)),""))</f>
        <v/>
      </c>
      <c r="D221" s="101"/>
      <c r="E221" s="97"/>
      <c r="F221" s="97"/>
      <c r="G221" s="85" t="str">
        <f aca="false">IF(OR(A221="",D221=""),"",COUNTIFS('Staff Attendance'!$B$5:$B$304,A221,'Staff Attendance'!$E$5:$E$304,"A",'Staff Attendance'!$A$5:$A$304,"&gt;="&amp;D221,'Staff Attendance'!$A$5:$A$304,"&lt;"&amp;EDATE(D221,1)))</f>
        <v/>
      </c>
      <c r="H221" s="98" t="str">
        <f aca="false">IF(G221="","",ROUND(E221/Settings!$O$5*G221,0))</f>
        <v/>
      </c>
      <c r="I221" s="97"/>
      <c r="J221" s="98" t="str">
        <f aca="false">IF(OR(A221="",H221=""),"",E221+F221-H221-I221)</f>
        <v/>
      </c>
      <c r="K221" s="52"/>
    </row>
    <row r="222" customFormat="false" ht="19.5" hidden="false" customHeight="true" outlineLevel="0" collapsed="false">
      <c r="A222" s="52"/>
      <c r="B222" s="89" t="str">
        <f aca="false">IF(A222="","",IFERROR(INDEX(Teachers!$B$5:$B$304,MATCH(A222,Teachers!$A$5:$A$304,0)),"ID not found"))</f>
        <v/>
      </c>
      <c r="C222" s="85" t="str">
        <f aca="false">IF(A222="","",IFERROR(INDEX(Teachers!$E$5:$E$304,MATCH(A222,Teachers!$A$5:$A$304,0)),""))</f>
        <v/>
      </c>
      <c r="D222" s="101"/>
      <c r="E222" s="97"/>
      <c r="F222" s="97"/>
      <c r="G222" s="85" t="str">
        <f aca="false">IF(OR(A222="",D222=""),"",COUNTIFS('Staff Attendance'!$B$5:$B$304,A222,'Staff Attendance'!$E$5:$E$304,"A",'Staff Attendance'!$A$5:$A$304,"&gt;="&amp;D222,'Staff Attendance'!$A$5:$A$304,"&lt;"&amp;EDATE(D222,1)))</f>
        <v/>
      </c>
      <c r="H222" s="98" t="str">
        <f aca="false">IF(G222="","",ROUND(E222/Settings!$O$5*G222,0))</f>
        <v/>
      </c>
      <c r="I222" s="97"/>
      <c r="J222" s="98" t="str">
        <f aca="false">IF(OR(A222="",H222=""),"",E222+F222-H222-I222)</f>
        <v/>
      </c>
      <c r="K222" s="52"/>
    </row>
    <row r="223" customFormat="false" ht="19.5" hidden="false" customHeight="true" outlineLevel="0" collapsed="false">
      <c r="A223" s="52"/>
      <c r="B223" s="89" t="str">
        <f aca="false">IF(A223="","",IFERROR(INDEX(Teachers!$B$5:$B$304,MATCH(A223,Teachers!$A$5:$A$304,0)),"ID not found"))</f>
        <v/>
      </c>
      <c r="C223" s="85" t="str">
        <f aca="false">IF(A223="","",IFERROR(INDEX(Teachers!$E$5:$E$304,MATCH(A223,Teachers!$A$5:$A$304,0)),""))</f>
        <v/>
      </c>
      <c r="D223" s="101"/>
      <c r="E223" s="97"/>
      <c r="F223" s="97"/>
      <c r="G223" s="85" t="str">
        <f aca="false">IF(OR(A223="",D223=""),"",COUNTIFS('Staff Attendance'!$B$5:$B$304,A223,'Staff Attendance'!$E$5:$E$304,"A",'Staff Attendance'!$A$5:$A$304,"&gt;="&amp;D223,'Staff Attendance'!$A$5:$A$304,"&lt;"&amp;EDATE(D223,1)))</f>
        <v/>
      </c>
      <c r="H223" s="98" t="str">
        <f aca="false">IF(G223="","",ROUND(E223/Settings!$O$5*G223,0))</f>
        <v/>
      </c>
      <c r="I223" s="97"/>
      <c r="J223" s="98" t="str">
        <f aca="false">IF(OR(A223="",H223=""),"",E223+F223-H223-I223)</f>
        <v/>
      </c>
      <c r="K223" s="52"/>
    </row>
    <row r="224" customFormat="false" ht="19.5" hidden="false" customHeight="true" outlineLevel="0" collapsed="false">
      <c r="A224" s="52"/>
      <c r="B224" s="89" t="str">
        <f aca="false">IF(A224="","",IFERROR(INDEX(Teachers!$B$5:$B$304,MATCH(A224,Teachers!$A$5:$A$304,0)),"ID not found"))</f>
        <v/>
      </c>
      <c r="C224" s="85" t="str">
        <f aca="false">IF(A224="","",IFERROR(INDEX(Teachers!$E$5:$E$304,MATCH(A224,Teachers!$A$5:$A$304,0)),""))</f>
        <v/>
      </c>
      <c r="D224" s="101"/>
      <c r="E224" s="97"/>
      <c r="F224" s="97"/>
      <c r="G224" s="85" t="str">
        <f aca="false">IF(OR(A224="",D224=""),"",COUNTIFS('Staff Attendance'!$B$5:$B$304,A224,'Staff Attendance'!$E$5:$E$304,"A",'Staff Attendance'!$A$5:$A$304,"&gt;="&amp;D224,'Staff Attendance'!$A$5:$A$304,"&lt;"&amp;EDATE(D224,1)))</f>
        <v/>
      </c>
      <c r="H224" s="98" t="str">
        <f aca="false">IF(G224="","",ROUND(E224/Settings!$O$5*G224,0))</f>
        <v/>
      </c>
      <c r="I224" s="97"/>
      <c r="J224" s="98" t="str">
        <f aca="false">IF(OR(A224="",H224=""),"",E224+F224-H224-I224)</f>
        <v/>
      </c>
      <c r="K224" s="52"/>
    </row>
    <row r="225" customFormat="false" ht="19.5" hidden="false" customHeight="true" outlineLevel="0" collapsed="false">
      <c r="A225" s="52"/>
      <c r="B225" s="89" t="str">
        <f aca="false">IF(A225="","",IFERROR(INDEX(Teachers!$B$5:$B$304,MATCH(A225,Teachers!$A$5:$A$304,0)),"ID not found"))</f>
        <v/>
      </c>
      <c r="C225" s="85" t="str">
        <f aca="false">IF(A225="","",IFERROR(INDEX(Teachers!$E$5:$E$304,MATCH(A225,Teachers!$A$5:$A$304,0)),""))</f>
        <v/>
      </c>
      <c r="D225" s="101"/>
      <c r="E225" s="97"/>
      <c r="F225" s="97"/>
      <c r="G225" s="85" t="str">
        <f aca="false">IF(OR(A225="",D225=""),"",COUNTIFS('Staff Attendance'!$B$5:$B$304,A225,'Staff Attendance'!$E$5:$E$304,"A",'Staff Attendance'!$A$5:$A$304,"&gt;="&amp;D225,'Staff Attendance'!$A$5:$A$304,"&lt;"&amp;EDATE(D225,1)))</f>
        <v/>
      </c>
      <c r="H225" s="98" t="str">
        <f aca="false">IF(G225="","",ROUND(E225/Settings!$O$5*G225,0))</f>
        <v/>
      </c>
      <c r="I225" s="97"/>
      <c r="J225" s="98" t="str">
        <f aca="false">IF(OR(A225="",H225=""),"",E225+F225-H225-I225)</f>
        <v/>
      </c>
      <c r="K225" s="52"/>
    </row>
    <row r="226" customFormat="false" ht="19.5" hidden="false" customHeight="true" outlineLevel="0" collapsed="false">
      <c r="A226" s="52"/>
      <c r="B226" s="89" t="str">
        <f aca="false">IF(A226="","",IFERROR(INDEX(Teachers!$B$5:$B$304,MATCH(A226,Teachers!$A$5:$A$304,0)),"ID not found"))</f>
        <v/>
      </c>
      <c r="C226" s="85" t="str">
        <f aca="false">IF(A226="","",IFERROR(INDEX(Teachers!$E$5:$E$304,MATCH(A226,Teachers!$A$5:$A$304,0)),""))</f>
        <v/>
      </c>
      <c r="D226" s="101"/>
      <c r="E226" s="97"/>
      <c r="F226" s="97"/>
      <c r="G226" s="85" t="str">
        <f aca="false">IF(OR(A226="",D226=""),"",COUNTIFS('Staff Attendance'!$B$5:$B$304,A226,'Staff Attendance'!$E$5:$E$304,"A",'Staff Attendance'!$A$5:$A$304,"&gt;="&amp;D226,'Staff Attendance'!$A$5:$A$304,"&lt;"&amp;EDATE(D226,1)))</f>
        <v/>
      </c>
      <c r="H226" s="98" t="str">
        <f aca="false">IF(G226="","",ROUND(E226/Settings!$O$5*G226,0))</f>
        <v/>
      </c>
      <c r="I226" s="97"/>
      <c r="J226" s="98" t="str">
        <f aca="false">IF(OR(A226="",H226=""),"",E226+F226-H226-I226)</f>
        <v/>
      </c>
      <c r="K226" s="52"/>
    </row>
    <row r="227" customFormat="false" ht="19.5" hidden="false" customHeight="true" outlineLevel="0" collapsed="false">
      <c r="A227" s="52"/>
      <c r="B227" s="89" t="str">
        <f aca="false">IF(A227="","",IFERROR(INDEX(Teachers!$B$5:$B$304,MATCH(A227,Teachers!$A$5:$A$304,0)),"ID not found"))</f>
        <v/>
      </c>
      <c r="C227" s="85" t="str">
        <f aca="false">IF(A227="","",IFERROR(INDEX(Teachers!$E$5:$E$304,MATCH(A227,Teachers!$A$5:$A$304,0)),""))</f>
        <v/>
      </c>
      <c r="D227" s="101"/>
      <c r="E227" s="97"/>
      <c r="F227" s="97"/>
      <c r="G227" s="85" t="str">
        <f aca="false">IF(OR(A227="",D227=""),"",COUNTIFS('Staff Attendance'!$B$5:$B$304,A227,'Staff Attendance'!$E$5:$E$304,"A",'Staff Attendance'!$A$5:$A$304,"&gt;="&amp;D227,'Staff Attendance'!$A$5:$A$304,"&lt;"&amp;EDATE(D227,1)))</f>
        <v/>
      </c>
      <c r="H227" s="98" t="str">
        <f aca="false">IF(G227="","",ROUND(E227/Settings!$O$5*G227,0))</f>
        <v/>
      </c>
      <c r="I227" s="97"/>
      <c r="J227" s="98" t="str">
        <f aca="false">IF(OR(A227="",H227=""),"",E227+F227-H227-I227)</f>
        <v/>
      </c>
      <c r="K227" s="52"/>
    </row>
    <row r="228" customFormat="false" ht="19.5" hidden="false" customHeight="true" outlineLevel="0" collapsed="false">
      <c r="A228" s="52"/>
      <c r="B228" s="89" t="str">
        <f aca="false">IF(A228="","",IFERROR(INDEX(Teachers!$B$5:$B$304,MATCH(A228,Teachers!$A$5:$A$304,0)),"ID not found"))</f>
        <v/>
      </c>
      <c r="C228" s="85" t="str">
        <f aca="false">IF(A228="","",IFERROR(INDEX(Teachers!$E$5:$E$304,MATCH(A228,Teachers!$A$5:$A$304,0)),""))</f>
        <v/>
      </c>
      <c r="D228" s="101"/>
      <c r="E228" s="97"/>
      <c r="F228" s="97"/>
      <c r="G228" s="85" t="str">
        <f aca="false">IF(OR(A228="",D228=""),"",COUNTIFS('Staff Attendance'!$B$5:$B$304,A228,'Staff Attendance'!$E$5:$E$304,"A",'Staff Attendance'!$A$5:$A$304,"&gt;="&amp;D228,'Staff Attendance'!$A$5:$A$304,"&lt;"&amp;EDATE(D228,1)))</f>
        <v/>
      </c>
      <c r="H228" s="98" t="str">
        <f aca="false">IF(G228="","",ROUND(E228/Settings!$O$5*G228,0))</f>
        <v/>
      </c>
      <c r="I228" s="97"/>
      <c r="J228" s="98" t="str">
        <f aca="false">IF(OR(A228="",H228=""),"",E228+F228-H228-I228)</f>
        <v/>
      </c>
      <c r="K228" s="52"/>
    </row>
    <row r="229" customFormat="false" ht="19.5" hidden="false" customHeight="true" outlineLevel="0" collapsed="false">
      <c r="A229" s="52"/>
      <c r="B229" s="89" t="str">
        <f aca="false">IF(A229="","",IFERROR(INDEX(Teachers!$B$5:$B$304,MATCH(A229,Teachers!$A$5:$A$304,0)),"ID not found"))</f>
        <v/>
      </c>
      <c r="C229" s="85" t="str">
        <f aca="false">IF(A229="","",IFERROR(INDEX(Teachers!$E$5:$E$304,MATCH(A229,Teachers!$A$5:$A$304,0)),""))</f>
        <v/>
      </c>
      <c r="D229" s="101"/>
      <c r="E229" s="97"/>
      <c r="F229" s="97"/>
      <c r="G229" s="85" t="str">
        <f aca="false">IF(OR(A229="",D229=""),"",COUNTIFS('Staff Attendance'!$B$5:$B$304,A229,'Staff Attendance'!$E$5:$E$304,"A",'Staff Attendance'!$A$5:$A$304,"&gt;="&amp;D229,'Staff Attendance'!$A$5:$A$304,"&lt;"&amp;EDATE(D229,1)))</f>
        <v/>
      </c>
      <c r="H229" s="98" t="str">
        <f aca="false">IF(G229="","",ROUND(E229/Settings!$O$5*G229,0))</f>
        <v/>
      </c>
      <c r="I229" s="97"/>
      <c r="J229" s="98" t="str">
        <f aca="false">IF(OR(A229="",H229=""),"",E229+F229-H229-I229)</f>
        <v/>
      </c>
      <c r="K229" s="52"/>
    </row>
    <row r="230" customFormat="false" ht="19.5" hidden="false" customHeight="true" outlineLevel="0" collapsed="false">
      <c r="A230" s="52"/>
      <c r="B230" s="89" t="str">
        <f aca="false">IF(A230="","",IFERROR(INDEX(Teachers!$B$5:$B$304,MATCH(A230,Teachers!$A$5:$A$304,0)),"ID not found"))</f>
        <v/>
      </c>
      <c r="C230" s="85" t="str">
        <f aca="false">IF(A230="","",IFERROR(INDEX(Teachers!$E$5:$E$304,MATCH(A230,Teachers!$A$5:$A$304,0)),""))</f>
        <v/>
      </c>
      <c r="D230" s="101"/>
      <c r="E230" s="97"/>
      <c r="F230" s="97"/>
      <c r="G230" s="85" t="str">
        <f aca="false">IF(OR(A230="",D230=""),"",COUNTIFS('Staff Attendance'!$B$5:$B$304,A230,'Staff Attendance'!$E$5:$E$304,"A",'Staff Attendance'!$A$5:$A$304,"&gt;="&amp;D230,'Staff Attendance'!$A$5:$A$304,"&lt;"&amp;EDATE(D230,1)))</f>
        <v/>
      </c>
      <c r="H230" s="98" t="str">
        <f aca="false">IF(G230="","",ROUND(E230/Settings!$O$5*G230,0))</f>
        <v/>
      </c>
      <c r="I230" s="97"/>
      <c r="J230" s="98" t="str">
        <f aca="false">IF(OR(A230="",H230=""),"",E230+F230-H230-I230)</f>
        <v/>
      </c>
      <c r="K230" s="52"/>
    </row>
    <row r="231" customFormat="false" ht="19.5" hidden="false" customHeight="true" outlineLevel="0" collapsed="false">
      <c r="A231" s="52"/>
      <c r="B231" s="89" t="str">
        <f aca="false">IF(A231="","",IFERROR(INDEX(Teachers!$B$5:$B$304,MATCH(A231,Teachers!$A$5:$A$304,0)),"ID not found"))</f>
        <v/>
      </c>
      <c r="C231" s="85" t="str">
        <f aca="false">IF(A231="","",IFERROR(INDEX(Teachers!$E$5:$E$304,MATCH(A231,Teachers!$A$5:$A$304,0)),""))</f>
        <v/>
      </c>
      <c r="D231" s="101"/>
      <c r="E231" s="97"/>
      <c r="F231" s="97"/>
      <c r="G231" s="85" t="str">
        <f aca="false">IF(OR(A231="",D231=""),"",COUNTIFS('Staff Attendance'!$B$5:$B$304,A231,'Staff Attendance'!$E$5:$E$304,"A",'Staff Attendance'!$A$5:$A$304,"&gt;="&amp;D231,'Staff Attendance'!$A$5:$A$304,"&lt;"&amp;EDATE(D231,1)))</f>
        <v/>
      </c>
      <c r="H231" s="98" t="str">
        <f aca="false">IF(G231="","",ROUND(E231/Settings!$O$5*G231,0))</f>
        <v/>
      </c>
      <c r="I231" s="97"/>
      <c r="J231" s="98" t="str">
        <f aca="false">IF(OR(A231="",H231=""),"",E231+F231-H231-I231)</f>
        <v/>
      </c>
      <c r="K231" s="52"/>
    </row>
    <row r="232" customFormat="false" ht="19.5" hidden="false" customHeight="true" outlineLevel="0" collapsed="false">
      <c r="A232" s="52"/>
      <c r="B232" s="89" t="str">
        <f aca="false">IF(A232="","",IFERROR(INDEX(Teachers!$B$5:$B$304,MATCH(A232,Teachers!$A$5:$A$304,0)),"ID not found"))</f>
        <v/>
      </c>
      <c r="C232" s="85" t="str">
        <f aca="false">IF(A232="","",IFERROR(INDEX(Teachers!$E$5:$E$304,MATCH(A232,Teachers!$A$5:$A$304,0)),""))</f>
        <v/>
      </c>
      <c r="D232" s="101"/>
      <c r="E232" s="97"/>
      <c r="F232" s="97"/>
      <c r="G232" s="85" t="str">
        <f aca="false">IF(OR(A232="",D232=""),"",COUNTIFS('Staff Attendance'!$B$5:$B$304,A232,'Staff Attendance'!$E$5:$E$304,"A",'Staff Attendance'!$A$5:$A$304,"&gt;="&amp;D232,'Staff Attendance'!$A$5:$A$304,"&lt;"&amp;EDATE(D232,1)))</f>
        <v/>
      </c>
      <c r="H232" s="98" t="str">
        <f aca="false">IF(G232="","",ROUND(E232/Settings!$O$5*G232,0))</f>
        <v/>
      </c>
      <c r="I232" s="97"/>
      <c r="J232" s="98" t="str">
        <f aca="false">IF(OR(A232="",H232=""),"",E232+F232-H232-I232)</f>
        <v/>
      </c>
      <c r="K232" s="52"/>
    </row>
    <row r="233" customFormat="false" ht="19.5" hidden="false" customHeight="true" outlineLevel="0" collapsed="false">
      <c r="A233" s="52"/>
      <c r="B233" s="89" t="str">
        <f aca="false">IF(A233="","",IFERROR(INDEX(Teachers!$B$5:$B$304,MATCH(A233,Teachers!$A$5:$A$304,0)),"ID not found"))</f>
        <v/>
      </c>
      <c r="C233" s="85" t="str">
        <f aca="false">IF(A233="","",IFERROR(INDEX(Teachers!$E$5:$E$304,MATCH(A233,Teachers!$A$5:$A$304,0)),""))</f>
        <v/>
      </c>
      <c r="D233" s="101"/>
      <c r="E233" s="97"/>
      <c r="F233" s="97"/>
      <c r="G233" s="85" t="str">
        <f aca="false">IF(OR(A233="",D233=""),"",COUNTIFS('Staff Attendance'!$B$5:$B$304,A233,'Staff Attendance'!$E$5:$E$304,"A",'Staff Attendance'!$A$5:$A$304,"&gt;="&amp;D233,'Staff Attendance'!$A$5:$A$304,"&lt;"&amp;EDATE(D233,1)))</f>
        <v/>
      </c>
      <c r="H233" s="98" t="str">
        <f aca="false">IF(G233="","",ROUND(E233/Settings!$O$5*G233,0))</f>
        <v/>
      </c>
      <c r="I233" s="97"/>
      <c r="J233" s="98" t="str">
        <f aca="false">IF(OR(A233="",H233=""),"",E233+F233-H233-I233)</f>
        <v/>
      </c>
      <c r="K233" s="52"/>
    </row>
    <row r="234" customFormat="false" ht="19.5" hidden="false" customHeight="true" outlineLevel="0" collapsed="false">
      <c r="A234" s="52"/>
      <c r="B234" s="89" t="str">
        <f aca="false">IF(A234="","",IFERROR(INDEX(Teachers!$B$5:$B$304,MATCH(A234,Teachers!$A$5:$A$304,0)),"ID not found"))</f>
        <v/>
      </c>
      <c r="C234" s="85" t="str">
        <f aca="false">IF(A234="","",IFERROR(INDEX(Teachers!$E$5:$E$304,MATCH(A234,Teachers!$A$5:$A$304,0)),""))</f>
        <v/>
      </c>
      <c r="D234" s="101"/>
      <c r="E234" s="97"/>
      <c r="F234" s="97"/>
      <c r="G234" s="85" t="str">
        <f aca="false">IF(OR(A234="",D234=""),"",COUNTIFS('Staff Attendance'!$B$5:$B$304,A234,'Staff Attendance'!$E$5:$E$304,"A",'Staff Attendance'!$A$5:$A$304,"&gt;="&amp;D234,'Staff Attendance'!$A$5:$A$304,"&lt;"&amp;EDATE(D234,1)))</f>
        <v/>
      </c>
      <c r="H234" s="98" t="str">
        <f aca="false">IF(G234="","",ROUND(E234/Settings!$O$5*G234,0))</f>
        <v/>
      </c>
      <c r="I234" s="97"/>
      <c r="J234" s="98" t="str">
        <f aca="false">IF(OR(A234="",H234=""),"",E234+F234-H234-I234)</f>
        <v/>
      </c>
      <c r="K234" s="52"/>
    </row>
    <row r="235" customFormat="false" ht="19.5" hidden="false" customHeight="true" outlineLevel="0" collapsed="false">
      <c r="A235" s="52"/>
      <c r="B235" s="89" t="str">
        <f aca="false">IF(A235="","",IFERROR(INDEX(Teachers!$B$5:$B$304,MATCH(A235,Teachers!$A$5:$A$304,0)),"ID not found"))</f>
        <v/>
      </c>
      <c r="C235" s="85" t="str">
        <f aca="false">IF(A235="","",IFERROR(INDEX(Teachers!$E$5:$E$304,MATCH(A235,Teachers!$A$5:$A$304,0)),""))</f>
        <v/>
      </c>
      <c r="D235" s="101"/>
      <c r="E235" s="97"/>
      <c r="F235" s="97"/>
      <c r="G235" s="85" t="str">
        <f aca="false">IF(OR(A235="",D235=""),"",COUNTIFS('Staff Attendance'!$B$5:$B$304,A235,'Staff Attendance'!$E$5:$E$304,"A",'Staff Attendance'!$A$5:$A$304,"&gt;="&amp;D235,'Staff Attendance'!$A$5:$A$304,"&lt;"&amp;EDATE(D235,1)))</f>
        <v/>
      </c>
      <c r="H235" s="98" t="str">
        <f aca="false">IF(G235="","",ROUND(E235/Settings!$O$5*G235,0))</f>
        <v/>
      </c>
      <c r="I235" s="97"/>
      <c r="J235" s="98" t="str">
        <f aca="false">IF(OR(A235="",H235=""),"",E235+F235-H235-I235)</f>
        <v/>
      </c>
      <c r="K235" s="52"/>
    </row>
    <row r="236" customFormat="false" ht="19.5" hidden="false" customHeight="true" outlineLevel="0" collapsed="false">
      <c r="A236" s="52"/>
      <c r="B236" s="89" t="str">
        <f aca="false">IF(A236="","",IFERROR(INDEX(Teachers!$B$5:$B$304,MATCH(A236,Teachers!$A$5:$A$304,0)),"ID not found"))</f>
        <v/>
      </c>
      <c r="C236" s="85" t="str">
        <f aca="false">IF(A236="","",IFERROR(INDEX(Teachers!$E$5:$E$304,MATCH(A236,Teachers!$A$5:$A$304,0)),""))</f>
        <v/>
      </c>
      <c r="D236" s="101"/>
      <c r="E236" s="97"/>
      <c r="F236" s="97"/>
      <c r="G236" s="85" t="str">
        <f aca="false">IF(OR(A236="",D236=""),"",COUNTIFS('Staff Attendance'!$B$5:$B$304,A236,'Staff Attendance'!$E$5:$E$304,"A",'Staff Attendance'!$A$5:$A$304,"&gt;="&amp;D236,'Staff Attendance'!$A$5:$A$304,"&lt;"&amp;EDATE(D236,1)))</f>
        <v/>
      </c>
      <c r="H236" s="98" t="str">
        <f aca="false">IF(G236="","",ROUND(E236/Settings!$O$5*G236,0))</f>
        <v/>
      </c>
      <c r="I236" s="97"/>
      <c r="J236" s="98" t="str">
        <f aca="false">IF(OR(A236="",H236=""),"",E236+F236-H236-I236)</f>
        <v/>
      </c>
      <c r="K236" s="52"/>
    </row>
    <row r="237" customFormat="false" ht="19.5" hidden="false" customHeight="true" outlineLevel="0" collapsed="false">
      <c r="A237" s="52"/>
      <c r="B237" s="89" t="str">
        <f aca="false">IF(A237="","",IFERROR(INDEX(Teachers!$B$5:$B$304,MATCH(A237,Teachers!$A$5:$A$304,0)),"ID not found"))</f>
        <v/>
      </c>
      <c r="C237" s="85" t="str">
        <f aca="false">IF(A237="","",IFERROR(INDEX(Teachers!$E$5:$E$304,MATCH(A237,Teachers!$A$5:$A$304,0)),""))</f>
        <v/>
      </c>
      <c r="D237" s="101"/>
      <c r="E237" s="97"/>
      <c r="F237" s="97"/>
      <c r="G237" s="85" t="str">
        <f aca="false">IF(OR(A237="",D237=""),"",COUNTIFS('Staff Attendance'!$B$5:$B$304,A237,'Staff Attendance'!$E$5:$E$304,"A",'Staff Attendance'!$A$5:$A$304,"&gt;="&amp;D237,'Staff Attendance'!$A$5:$A$304,"&lt;"&amp;EDATE(D237,1)))</f>
        <v/>
      </c>
      <c r="H237" s="98" t="str">
        <f aca="false">IF(G237="","",ROUND(E237/Settings!$O$5*G237,0))</f>
        <v/>
      </c>
      <c r="I237" s="97"/>
      <c r="J237" s="98" t="str">
        <f aca="false">IF(OR(A237="",H237=""),"",E237+F237-H237-I237)</f>
        <v/>
      </c>
      <c r="K237" s="52"/>
    </row>
    <row r="238" customFormat="false" ht="19.5" hidden="false" customHeight="true" outlineLevel="0" collapsed="false">
      <c r="A238" s="52"/>
      <c r="B238" s="89" t="str">
        <f aca="false">IF(A238="","",IFERROR(INDEX(Teachers!$B$5:$B$304,MATCH(A238,Teachers!$A$5:$A$304,0)),"ID not found"))</f>
        <v/>
      </c>
      <c r="C238" s="85" t="str">
        <f aca="false">IF(A238="","",IFERROR(INDEX(Teachers!$E$5:$E$304,MATCH(A238,Teachers!$A$5:$A$304,0)),""))</f>
        <v/>
      </c>
      <c r="D238" s="101"/>
      <c r="E238" s="97"/>
      <c r="F238" s="97"/>
      <c r="G238" s="85" t="str">
        <f aca="false">IF(OR(A238="",D238=""),"",COUNTIFS('Staff Attendance'!$B$5:$B$304,A238,'Staff Attendance'!$E$5:$E$304,"A",'Staff Attendance'!$A$5:$A$304,"&gt;="&amp;D238,'Staff Attendance'!$A$5:$A$304,"&lt;"&amp;EDATE(D238,1)))</f>
        <v/>
      </c>
      <c r="H238" s="98" t="str">
        <f aca="false">IF(G238="","",ROUND(E238/Settings!$O$5*G238,0))</f>
        <v/>
      </c>
      <c r="I238" s="97"/>
      <c r="J238" s="98" t="str">
        <f aca="false">IF(OR(A238="",H238=""),"",E238+F238-H238-I238)</f>
        <v/>
      </c>
      <c r="K238" s="52"/>
    </row>
    <row r="239" customFormat="false" ht="19.5" hidden="false" customHeight="true" outlineLevel="0" collapsed="false">
      <c r="A239" s="52"/>
      <c r="B239" s="89" t="str">
        <f aca="false">IF(A239="","",IFERROR(INDEX(Teachers!$B$5:$B$304,MATCH(A239,Teachers!$A$5:$A$304,0)),"ID not found"))</f>
        <v/>
      </c>
      <c r="C239" s="85" t="str">
        <f aca="false">IF(A239="","",IFERROR(INDEX(Teachers!$E$5:$E$304,MATCH(A239,Teachers!$A$5:$A$304,0)),""))</f>
        <v/>
      </c>
      <c r="D239" s="101"/>
      <c r="E239" s="97"/>
      <c r="F239" s="97"/>
      <c r="G239" s="85" t="str">
        <f aca="false">IF(OR(A239="",D239=""),"",COUNTIFS('Staff Attendance'!$B$5:$B$304,A239,'Staff Attendance'!$E$5:$E$304,"A",'Staff Attendance'!$A$5:$A$304,"&gt;="&amp;D239,'Staff Attendance'!$A$5:$A$304,"&lt;"&amp;EDATE(D239,1)))</f>
        <v/>
      </c>
      <c r="H239" s="98" t="str">
        <f aca="false">IF(G239="","",ROUND(E239/Settings!$O$5*G239,0))</f>
        <v/>
      </c>
      <c r="I239" s="97"/>
      <c r="J239" s="98" t="str">
        <f aca="false">IF(OR(A239="",H239=""),"",E239+F239-H239-I239)</f>
        <v/>
      </c>
      <c r="K239" s="52"/>
    </row>
    <row r="240" customFormat="false" ht="19.5" hidden="false" customHeight="true" outlineLevel="0" collapsed="false">
      <c r="A240" s="52"/>
      <c r="B240" s="89" t="str">
        <f aca="false">IF(A240="","",IFERROR(INDEX(Teachers!$B$5:$B$304,MATCH(A240,Teachers!$A$5:$A$304,0)),"ID not found"))</f>
        <v/>
      </c>
      <c r="C240" s="85" t="str">
        <f aca="false">IF(A240="","",IFERROR(INDEX(Teachers!$E$5:$E$304,MATCH(A240,Teachers!$A$5:$A$304,0)),""))</f>
        <v/>
      </c>
      <c r="D240" s="101"/>
      <c r="E240" s="97"/>
      <c r="F240" s="97"/>
      <c r="G240" s="85" t="str">
        <f aca="false">IF(OR(A240="",D240=""),"",COUNTIFS('Staff Attendance'!$B$5:$B$304,A240,'Staff Attendance'!$E$5:$E$304,"A",'Staff Attendance'!$A$5:$A$304,"&gt;="&amp;D240,'Staff Attendance'!$A$5:$A$304,"&lt;"&amp;EDATE(D240,1)))</f>
        <v/>
      </c>
      <c r="H240" s="98" t="str">
        <f aca="false">IF(G240="","",ROUND(E240/Settings!$O$5*G240,0))</f>
        <v/>
      </c>
      <c r="I240" s="97"/>
      <c r="J240" s="98" t="str">
        <f aca="false">IF(OR(A240="",H240=""),"",E240+F240-H240-I240)</f>
        <v/>
      </c>
      <c r="K240" s="52"/>
    </row>
    <row r="241" customFormat="false" ht="19.5" hidden="false" customHeight="true" outlineLevel="0" collapsed="false">
      <c r="A241" s="52"/>
      <c r="B241" s="89" t="str">
        <f aca="false">IF(A241="","",IFERROR(INDEX(Teachers!$B$5:$B$304,MATCH(A241,Teachers!$A$5:$A$304,0)),"ID not found"))</f>
        <v/>
      </c>
      <c r="C241" s="85" t="str">
        <f aca="false">IF(A241="","",IFERROR(INDEX(Teachers!$E$5:$E$304,MATCH(A241,Teachers!$A$5:$A$304,0)),""))</f>
        <v/>
      </c>
      <c r="D241" s="101"/>
      <c r="E241" s="97"/>
      <c r="F241" s="97"/>
      <c r="G241" s="85" t="str">
        <f aca="false">IF(OR(A241="",D241=""),"",COUNTIFS('Staff Attendance'!$B$5:$B$304,A241,'Staff Attendance'!$E$5:$E$304,"A",'Staff Attendance'!$A$5:$A$304,"&gt;="&amp;D241,'Staff Attendance'!$A$5:$A$304,"&lt;"&amp;EDATE(D241,1)))</f>
        <v/>
      </c>
      <c r="H241" s="98" t="str">
        <f aca="false">IF(G241="","",ROUND(E241/Settings!$O$5*G241,0))</f>
        <v/>
      </c>
      <c r="I241" s="97"/>
      <c r="J241" s="98" t="str">
        <f aca="false">IF(OR(A241="",H241=""),"",E241+F241-H241-I241)</f>
        <v/>
      </c>
      <c r="K241" s="52"/>
    </row>
    <row r="242" customFormat="false" ht="19.5" hidden="false" customHeight="true" outlineLevel="0" collapsed="false">
      <c r="A242" s="52"/>
      <c r="B242" s="89" t="str">
        <f aca="false">IF(A242="","",IFERROR(INDEX(Teachers!$B$5:$B$304,MATCH(A242,Teachers!$A$5:$A$304,0)),"ID not found"))</f>
        <v/>
      </c>
      <c r="C242" s="85" t="str">
        <f aca="false">IF(A242="","",IFERROR(INDEX(Teachers!$E$5:$E$304,MATCH(A242,Teachers!$A$5:$A$304,0)),""))</f>
        <v/>
      </c>
      <c r="D242" s="101"/>
      <c r="E242" s="97"/>
      <c r="F242" s="97"/>
      <c r="G242" s="85" t="str">
        <f aca="false">IF(OR(A242="",D242=""),"",COUNTIFS('Staff Attendance'!$B$5:$B$304,A242,'Staff Attendance'!$E$5:$E$304,"A",'Staff Attendance'!$A$5:$A$304,"&gt;="&amp;D242,'Staff Attendance'!$A$5:$A$304,"&lt;"&amp;EDATE(D242,1)))</f>
        <v/>
      </c>
      <c r="H242" s="98" t="str">
        <f aca="false">IF(G242="","",ROUND(E242/Settings!$O$5*G242,0))</f>
        <v/>
      </c>
      <c r="I242" s="97"/>
      <c r="J242" s="98" t="str">
        <f aca="false">IF(OR(A242="",H242=""),"",E242+F242-H242-I242)</f>
        <v/>
      </c>
      <c r="K242" s="52"/>
    </row>
    <row r="243" customFormat="false" ht="19.5" hidden="false" customHeight="true" outlineLevel="0" collapsed="false">
      <c r="A243" s="52"/>
      <c r="B243" s="89" t="str">
        <f aca="false">IF(A243="","",IFERROR(INDEX(Teachers!$B$5:$B$304,MATCH(A243,Teachers!$A$5:$A$304,0)),"ID not found"))</f>
        <v/>
      </c>
      <c r="C243" s="85" t="str">
        <f aca="false">IF(A243="","",IFERROR(INDEX(Teachers!$E$5:$E$304,MATCH(A243,Teachers!$A$5:$A$304,0)),""))</f>
        <v/>
      </c>
      <c r="D243" s="101"/>
      <c r="E243" s="97"/>
      <c r="F243" s="97"/>
      <c r="G243" s="85" t="str">
        <f aca="false">IF(OR(A243="",D243=""),"",COUNTIFS('Staff Attendance'!$B$5:$B$304,A243,'Staff Attendance'!$E$5:$E$304,"A",'Staff Attendance'!$A$5:$A$304,"&gt;="&amp;D243,'Staff Attendance'!$A$5:$A$304,"&lt;"&amp;EDATE(D243,1)))</f>
        <v/>
      </c>
      <c r="H243" s="98" t="str">
        <f aca="false">IF(G243="","",ROUND(E243/Settings!$O$5*G243,0))</f>
        <v/>
      </c>
      <c r="I243" s="97"/>
      <c r="J243" s="98" t="str">
        <f aca="false">IF(OR(A243="",H243=""),"",E243+F243-H243-I243)</f>
        <v/>
      </c>
      <c r="K243" s="52"/>
    </row>
    <row r="244" customFormat="false" ht="19.5" hidden="false" customHeight="true" outlineLevel="0" collapsed="false">
      <c r="A244" s="52"/>
      <c r="B244" s="89" t="str">
        <f aca="false">IF(A244="","",IFERROR(INDEX(Teachers!$B$5:$B$304,MATCH(A244,Teachers!$A$5:$A$304,0)),"ID not found"))</f>
        <v/>
      </c>
      <c r="C244" s="85" t="str">
        <f aca="false">IF(A244="","",IFERROR(INDEX(Teachers!$E$5:$E$304,MATCH(A244,Teachers!$A$5:$A$304,0)),""))</f>
        <v/>
      </c>
      <c r="D244" s="101"/>
      <c r="E244" s="97"/>
      <c r="F244" s="97"/>
      <c r="G244" s="85" t="str">
        <f aca="false">IF(OR(A244="",D244=""),"",COUNTIFS('Staff Attendance'!$B$5:$B$304,A244,'Staff Attendance'!$E$5:$E$304,"A",'Staff Attendance'!$A$5:$A$304,"&gt;="&amp;D244,'Staff Attendance'!$A$5:$A$304,"&lt;"&amp;EDATE(D244,1)))</f>
        <v/>
      </c>
      <c r="H244" s="98" t="str">
        <f aca="false">IF(G244="","",ROUND(E244/Settings!$O$5*G244,0))</f>
        <v/>
      </c>
      <c r="I244" s="97"/>
      <c r="J244" s="98" t="str">
        <f aca="false">IF(OR(A244="",H244=""),"",E244+F244-H244-I244)</f>
        <v/>
      </c>
      <c r="K244" s="52"/>
    </row>
    <row r="245" customFormat="false" ht="19.5" hidden="false" customHeight="true" outlineLevel="0" collapsed="false">
      <c r="A245" s="52"/>
      <c r="B245" s="89" t="str">
        <f aca="false">IF(A245="","",IFERROR(INDEX(Teachers!$B$5:$B$304,MATCH(A245,Teachers!$A$5:$A$304,0)),"ID not found"))</f>
        <v/>
      </c>
      <c r="C245" s="85" t="str">
        <f aca="false">IF(A245="","",IFERROR(INDEX(Teachers!$E$5:$E$304,MATCH(A245,Teachers!$A$5:$A$304,0)),""))</f>
        <v/>
      </c>
      <c r="D245" s="101"/>
      <c r="E245" s="97"/>
      <c r="F245" s="97"/>
      <c r="G245" s="85" t="str">
        <f aca="false">IF(OR(A245="",D245=""),"",COUNTIFS('Staff Attendance'!$B$5:$B$304,A245,'Staff Attendance'!$E$5:$E$304,"A",'Staff Attendance'!$A$5:$A$304,"&gt;="&amp;D245,'Staff Attendance'!$A$5:$A$304,"&lt;"&amp;EDATE(D245,1)))</f>
        <v/>
      </c>
      <c r="H245" s="98" t="str">
        <f aca="false">IF(G245="","",ROUND(E245/Settings!$O$5*G245,0))</f>
        <v/>
      </c>
      <c r="I245" s="97"/>
      <c r="J245" s="98" t="str">
        <f aca="false">IF(OR(A245="",H245=""),"",E245+F245-H245-I245)</f>
        <v/>
      </c>
      <c r="K245" s="52"/>
    </row>
    <row r="246" customFormat="false" ht="19.5" hidden="false" customHeight="true" outlineLevel="0" collapsed="false">
      <c r="A246" s="52"/>
      <c r="B246" s="89" t="str">
        <f aca="false">IF(A246="","",IFERROR(INDEX(Teachers!$B$5:$B$304,MATCH(A246,Teachers!$A$5:$A$304,0)),"ID not found"))</f>
        <v/>
      </c>
      <c r="C246" s="85" t="str">
        <f aca="false">IF(A246="","",IFERROR(INDEX(Teachers!$E$5:$E$304,MATCH(A246,Teachers!$A$5:$A$304,0)),""))</f>
        <v/>
      </c>
      <c r="D246" s="101"/>
      <c r="E246" s="97"/>
      <c r="F246" s="97"/>
      <c r="G246" s="85" t="str">
        <f aca="false">IF(OR(A246="",D246=""),"",COUNTIFS('Staff Attendance'!$B$5:$B$304,A246,'Staff Attendance'!$E$5:$E$304,"A",'Staff Attendance'!$A$5:$A$304,"&gt;="&amp;D246,'Staff Attendance'!$A$5:$A$304,"&lt;"&amp;EDATE(D246,1)))</f>
        <v/>
      </c>
      <c r="H246" s="98" t="str">
        <f aca="false">IF(G246="","",ROUND(E246/Settings!$O$5*G246,0))</f>
        <v/>
      </c>
      <c r="I246" s="97"/>
      <c r="J246" s="98" t="str">
        <f aca="false">IF(OR(A246="",H246=""),"",E246+F246-H246-I246)</f>
        <v/>
      </c>
      <c r="K246" s="52"/>
    </row>
    <row r="247" customFormat="false" ht="19.5" hidden="false" customHeight="true" outlineLevel="0" collapsed="false">
      <c r="A247" s="52"/>
      <c r="B247" s="89" t="str">
        <f aca="false">IF(A247="","",IFERROR(INDEX(Teachers!$B$5:$B$304,MATCH(A247,Teachers!$A$5:$A$304,0)),"ID not found"))</f>
        <v/>
      </c>
      <c r="C247" s="85" t="str">
        <f aca="false">IF(A247="","",IFERROR(INDEX(Teachers!$E$5:$E$304,MATCH(A247,Teachers!$A$5:$A$304,0)),""))</f>
        <v/>
      </c>
      <c r="D247" s="101"/>
      <c r="E247" s="97"/>
      <c r="F247" s="97"/>
      <c r="G247" s="85" t="str">
        <f aca="false">IF(OR(A247="",D247=""),"",COUNTIFS('Staff Attendance'!$B$5:$B$304,A247,'Staff Attendance'!$E$5:$E$304,"A",'Staff Attendance'!$A$5:$A$304,"&gt;="&amp;D247,'Staff Attendance'!$A$5:$A$304,"&lt;"&amp;EDATE(D247,1)))</f>
        <v/>
      </c>
      <c r="H247" s="98" t="str">
        <f aca="false">IF(G247="","",ROUND(E247/Settings!$O$5*G247,0))</f>
        <v/>
      </c>
      <c r="I247" s="97"/>
      <c r="J247" s="98" t="str">
        <f aca="false">IF(OR(A247="",H247=""),"",E247+F247-H247-I247)</f>
        <v/>
      </c>
      <c r="K247" s="52"/>
    </row>
    <row r="248" customFormat="false" ht="19.5" hidden="false" customHeight="true" outlineLevel="0" collapsed="false">
      <c r="A248" s="52"/>
      <c r="B248" s="89" t="str">
        <f aca="false">IF(A248="","",IFERROR(INDEX(Teachers!$B$5:$B$304,MATCH(A248,Teachers!$A$5:$A$304,0)),"ID not found"))</f>
        <v/>
      </c>
      <c r="C248" s="85" t="str">
        <f aca="false">IF(A248="","",IFERROR(INDEX(Teachers!$E$5:$E$304,MATCH(A248,Teachers!$A$5:$A$304,0)),""))</f>
        <v/>
      </c>
      <c r="D248" s="101"/>
      <c r="E248" s="97"/>
      <c r="F248" s="97"/>
      <c r="G248" s="85" t="str">
        <f aca="false">IF(OR(A248="",D248=""),"",COUNTIFS('Staff Attendance'!$B$5:$B$304,A248,'Staff Attendance'!$E$5:$E$304,"A",'Staff Attendance'!$A$5:$A$304,"&gt;="&amp;D248,'Staff Attendance'!$A$5:$A$304,"&lt;"&amp;EDATE(D248,1)))</f>
        <v/>
      </c>
      <c r="H248" s="98" t="str">
        <f aca="false">IF(G248="","",ROUND(E248/Settings!$O$5*G248,0))</f>
        <v/>
      </c>
      <c r="I248" s="97"/>
      <c r="J248" s="98" t="str">
        <f aca="false">IF(OR(A248="",H248=""),"",E248+F248-H248-I248)</f>
        <v/>
      </c>
      <c r="K248" s="52"/>
    </row>
    <row r="249" customFormat="false" ht="19.5" hidden="false" customHeight="true" outlineLevel="0" collapsed="false">
      <c r="A249" s="52"/>
      <c r="B249" s="89" t="str">
        <f aca="false">IF(A249="","",IFERROR(INDEX(Teachers!$B$5:$B$304,MATCH(A249,Teachers!$A$5:$A$304,0)),"ID not found"))</f>
        <v/>
      </c>
      <c r="C249" s="85" t="str">
        <f aca="false">IF(A249="","",IFERROR(INDEX(Teachers!$E$5:$E$304,MATCH(A249,Teachers!$A$5:$A$304,0)),""))</f>
        <v/>
      </c>
      <c r="D249" s="101"/>
      <c r="E249" s="97"/>
      <c r="F249" s="97"/>
      <c r="G249" s="85" t="str">
        <f aca="false">IF(OR(A249="",D249=""),"",COUNTIFS('Staff Attendance'!$B$5:$B$304,A249,'Staff Attendance'!$E$5:$E$304,"A",'Staff Attendance'!$A$5:$A$304,"&gt;="&amp;D249,'Staff Attendance'!$A$5:$A$304,"&lt;"&amp;EDATE(D249,1)))</f>
        <v/>
      </c>
      <c r="H249" s="98" t="str">
        <f aca="false">IF(G249="","",ROUND(E249/Settings!$O$5*G249,0))</f>
        <v/>
      </c>
      <c r="I249" s="97"/>
      <c r="J249" s="98" t="str">
        <f aca="false">IF(OR(A249="",H249=""),"",E249+F249-H249-I249)</f>
        <v/>
      </c>
      <c r="K249" s="52"/>
    </row>
    <row r="250" customFormat="false" ht="19.5" hidden="false" customHeight="true" outlineLevel="0" collapsed="false">
      <c r="A250" s="52"/>
      <c r="B250" s="89" t="str">
        <f aca="false">IF(A250="","",IFERROR(INDEX(Teachers!$B$5:$B$304,MATCH(A250,Teachers!$A$5:$A$304,0)),"ID not found"))</f>
        <v/>
      </c>
      <c r="C250" s="85" t="str">
        <f aca="false">IF(A250="","",IFERROR(INDEX(Teachers!$E$5:$E$304,MATCH(A250,Teachers!$A$5:$A$304,0)),""))</f>
        <v/>
      </c>
      <c r="D250" s="101"/>
      <c r="E250" s="97"/>
      <c r="F250" s="97"/>
      <c r="G250" s="85" t="str">
        <f aca="false">IF(OR(A250="",D250=""),"",COUNTIFS('Staff Attendance'!$B$5:$B$304,A250,'Staff Attendance'!$E$5:$E$304,"A",'Staff Attendance'!$A$5:$A$304,"&gt;="&amp;D250,'Staff Attendance'!$A$5:$A$304,"&lt;"&amp;EDATE(D250,1)))</f>
        <v/>
      </c>
      <c r="H250" s="98" t="str">
        <f aca="false">IF(G250="","",ROUND(E250/Settings!$O$5*G250,0))</f>
        <v/>
      </c>
      <c r="I250" s="97"/>
      <c r="J250" s="98" t="str">
        <f aca="false">IF(OR(A250="",H250=""),"",E250+F250-H250-I250)</f>
        <v/>
      </c>
      <c r="K250" s="52"/>
    </row>
    <row r="251" customFormat="false" ht="19.5" hidden="false" customHeight="true" outlineLevel="0" collapsed="false">
      <c r="A251" s="52"/>
      <c r="B251" s="89" t="str">
        <f aca="false">IF(A251="","",IFERROR(INDEX(Teachers!$B$5:$B$304,MATCH(A251,Teachers!$A$5:$A$304,0)),"ID not found"))</f>
        <v/>
      </c>
      <c r="C251" s="85" t="str">
        <f aca="false">IF(A251="","",IFERROR(INDEX(Teachers!$E$5:$E$304,MATCH(A251,Teachers!$A$5:$A$304,0)),""))</f>
        <v/>
      </c>
      <c r="D251" s="101"/>
      <c r="E251" s="97"/>
      <c r="F251" s="97"/>
      <c r="G251" s="85" t="str">
        <f aca="false">IF(OR(A251="",D251=""),"",COUNTIFS('Staff Attendance'!$B$5:$B$304,A251,'Staff Attendance'!$E$5:$E$304,"A",'Staff Attendance'!$A$5:$A$304,"&gt;="&amp;D251,'Staff Attendance'!$A$5:$A$304,"&lt;"&amp;EDATE(D251,1)))</f>
        <v/>
      </c>
      <c r="H251" s="98" t="str">
        <f aca="false">IF(G251="","",ROUND(E251/Settings!$O$5*G251,0))</f>
        <v/>
      </c>
      <c r="I251" s="97"/>
      <c r="J251" s="98" t="str">
        <f aca="false">IF(OR(A251="",H251=""),"",E251+F251-H251-I251)</f>
        <v/>
      </c>
      <c r="K251" s="52"/>
    </row>
    <row r="252" customFormat="false" ht="19.5" hidden="false" customHeight="true" outlineLevel="0" collapsed="false">
      <c r="A252" s="52"/>
      <c r="B252" s="89" t="str">
        <f aca="false">IF(A252="","",IFERROR(INDEX(Teachers!$B$5:$B$304,MATCH(A252,Teachers!$A$5:$A$304,0)),"ID not found"))</f>
        <v/>
      </c>
      <c r="C252" s="85" t="str">
        <f aca="false">IF(A252="","",IFERROR(INDEX(Teachers!$E$5:$E$304,MATCH(A252,Teachers!$A$5:$A$304,0)),""))</f>
        <v/>
      </c>
      <c r="D252" s="101"/>
      <c r="E252" s="97"/>
      <c r="F252" s="97"/>
      <c r="G252" s="85" t="str">
        <f aca="false">IF(OR(A252="",D252=""),"",COUNTIFS('Staff Attendance'!$B$5:$B$304,A252,'Staff Attendance'!$E$5:$E$304,"A",'Staff Attendance'!$A$5:$A$304,"&gt;="&amp;D252,'Staff Attendance'!$A$5:$A$304,"&lt;"&amp;EDATE(D252,1)))</f>
        <v/>
      </c>
      <c r="H252" s="98" t="str">
        <f aca="false">IF(G252="","",ROUND(E252/Settings!$O$5*G252,0))</f>
        <v/>
      </c>
      <c r="I252" s="97"/>
      <c r="J252" s="98" t="str">
        <f aca="false">IF(OR(A252="",H252=""),"",E252+F252-H252-I252)</f>
        <v/>
      </c>
      <c r="K252" s="52"/>
    </row>
    <row r="253" customFormat="false" ht="19.5" hidden="false" customHeight="true" outlineLevel="0" collapsed="false">
      <c r="A253" s="52"/>
      <c r="B253" s="89" t="str">
        <f aca="false">IF(A253="","",IFERROR(INDEX(Teachers!$B$5:$B$304,MATCH(A253,Teachers!$A$5:$A$304,0)),"ID not found"))</f>
        <v/>
      </c>
      <c r="C253" s="85" t="str">
        <f aca="false">IF(A253="","",IFERROR(INDEX(Teachers!$E$5:$E$304,MATCH(A253,Teachers!$A$5:$A$304,0)),""))</f>
        <v/>
      </c>
      <c r="D253" s="101"/>
      <c r="E253" s="97"/>
      <c r="F253" s="97"/>
      <c r="G253" s="85" t="str">
        <f aca="false">IF(OR(A253="",D253=""),"",COUNTIFS('Staff Attendance'!$B$5:$B$304,A253,'Staff Attendance'!$E$5:$E$304,"A",'Staff Attendance'!$A$5:$A$304,"&gt;="&amp;D253,'Staff Attendance'!$A$5:$A$304,"&lt;"&amp;EDATE(D253,1)))</f>
        <v/>
      </c>
      <c r="H253" s="98" t="str">
        <f aca="false">IF(G253="","",ROUND(E253/Settings!$O$5*G253,0))</f>
        <v/>
      </c>
      <c r="I253" s="97"/>
      <c r="J253" s="98" t="str">
        <f aca="false">IF(OR(A253="",H253=""),"",E253+F253-H253-I253)</f>
        <v/>
      </c>
      <c r="K253" s="52"/>
    </row>
    <row r="254" customFormat="false" ht="19.5" hidden="false" customHeight="true" outlineLevel="0" collapsed="false">
      <c r="A254" s="52"/>
      <c r="B254" s="89" t="str">
        <f aca="false">IF(A254="","",IFERROR(INDEX(Teachers!$B$5:$B$304,MATCH(A254,Teachers!$A$5:$A$304,0)),"ID not found"))</f>
        <v/>
      </c>
      <c r="C254" s="85" t="str">
        <f aca="false">IF(A254="","",IFERROR(INDEX(Teachers!$E$5:$E$304,MATCH(A254,Teachers!$A$5:$A$304,0)),""))</f>
        <v/>
      </c>
      <c r="D254" s="101"/>
      <c r="E254" s="97"/>
      <c r="F254" s="97"/>
      <c r="G254" s="85" t="str">
        <f aca="false">IF(OR(A254="",D254=""),"",COUNTIFS('Staff Attendance'!$B$5:$B$304,A254,'Staff Attendance'!$E$5:$E$304,"A",'Staff Attendance'!$A$5:$A$304,"&gt;="&amp;D254,'Staff Attendance'!$A$5:$A$304,"&lt;"&amp;EDATE(D254,1)))</f>
        <v/>
      </c>
      <c r="H254" s="98" t="str">
        <f aca="false">IF(G254="","",ROUND(E254/Settings!$O$5*G254,0))</f>
        <v/>
      </c>
      <c r="I254" s="97"/>
      <c r="J254" s="98" t="str">
        <f aca="false">IF(OR(A254="",H254=""),"",E254+F254-H254-I254)</f>
        <v/>
      </c>
      <c r="K254" s="52"/>
    </row>
    <row r="255" customFormat="false" ht="19.5" hidden="false" customHeight="true" outlineLevel="0" collapsed="false">
      <c r="A255" s="52"/>
      <c r="B255" s="89" t="str">
        <f aca="false">IF(A255="","",IFERROR(INDEX(Teachers!$B$5:$B$304,MATCH(A255,Teachers!$A$5:$A$304,0)),"ID not found"))</f>
        <v/>
      </c>
      <c r="C255" s="85" t="str">
        <f aca="false">IF(A255="","",IFERROR(INDEX(Teachers!$E$5:$E$304,MATCH(A255,Teachers!$A$5:$A$304,0)),""))</f>
        <v/>
      </c>
      <c r="D255" s="101"/>
      <c r="E255" s="97"/>
      <c r="F255" s="97"/>
      <c r="G255" s="85" t="str">
        <f aca="false">IF(OR(A255="",D255=""),"",COUNTIFS('Staff Attendance'!$B$5:$B$304,A255,'Staff Attendance'!$E$5:$E$304,"A",'Staff Attendance'!$A$5:$A$304,"&gt;="&amp;D255,'Staff Attendance'!$A$5:$A$304,"&lt;"&amp;EDATE(D255,1)))</f>
        <v/>
      </c>
      <c r="H255" s="98" t="str">
        <f aca="false">IF(G255="","",ROUND(E255/Settings!$O$5*G255,0))</f>
        <v/>
      </c>
      <c r="I255" s="97"/>
      <c r="J255" s="98" t="str">
        <f aca="false">IF(OR(A255="",H255=""),"",E255+F255-H255-I255)</f>
        <v/>
      </c>
      <c r="K255" s="52"/>
    </row>
    <row r="256" customFormat="false" ht="19.5" hidden="false" customHeight="true" outlineLevel="0" collapsed="false">
      <c r="A256" s="52"/>
      <c r="B256" s="89" t="str">
        <f aca="false">IF(A256="","",IFERROR(INDEX(Teachers!$B$5:$B$304,MATCH(A256,Teachers!$A$5:$A$304,0)),"ID not found"))</f>
        <v/>
      </c>
      <c r="C256" s="85" t="str">
        <f aca="false">IF(A256="","",IFERROR(INDEX(Teachers!$E$5:$E$304,MATCH(A256,Teachers!$A$5:$A$304,0)),""))</f>
        <v/>
      </c>
      <c r="D256" s="101"/>
      <c r="E256" s="97"/>
      <c r="F256" s="97"/>
      <c r="G256" s="85" t="str">
        <f aca="false">IF(OR(A256="",D256=""),"",COUNTIFS('Staff Attendance'!$B$5:$B$304,A256,'Staff Attendance'!$E$5:$E$304,"A",'Staff Attendance'!$A$5:$A$304,"&gt;="&amp;D256,'Staff Attendance'!$A$5:$A$304,"&lt;"&amp;EDATE(D256,1)))</f>
        <v/>
      </c>
      <c r="H256" s="98" t="str">
        <f aca="false">IF(G256="","",ROUND(E256/Settings!$O$5*G256,0))</f>
        <v/>
      </c>
      <c r="I256" s="97"/>
      <c r="J256" s="98" t="str">
        <f aca="false">IF(OR(A256="",H256=""),"",E256+F256-H256-I256)</f>
        <v/>
      </c>
      <c r="K256" s="52"/>
    </row>
    <row r="257" customFormat="false" ht="19.5" hidden="false" customHeight="true" outlineLevel="0" collapsed="false">
      <c r="A257" s="52"/>
      <c r="B257" s="89" t="str">
        <f aca="false">IF(A257="","",IFERROR(INDEX(Teachers!$B$5:$B$304,MATCH(A257,Teachers!$A$5:$A$304,0)),"ID not found"))</f>
        <v/>
      </c>
      <c r="C257" s="85" t="str">
        <f aca="false">IF(A257="","",IFERROR(INDEX(Teachers!$E$5:$E$304,MATCH(A257,Teachers!$A$5:$A$304,0)),""))</f>
        <v/>
      </c>
      <c r="D257" s="101"/>
      <c r="E257" s="97"/>
      <c r="F257" s="97"/>
      <c r="G257" s="85" t="str">
        <f aca="false">IF(OR(A257="",D257=""),"",COUNTIFS('Staff Attendance'!$B$5:$B$304,A257,'Staff Attendance'!$E$5:$E$304,"A",'Staff Attendance'!$A$5:$A$304,"&gt;="&amp;D257,'Staff Attendance'!$A$5:$A$304,"&lt;"&amp;EDATE(D257,1)))</f>
        <v/>
      </c>
      <c r="H257" s="98" t="str">
        <f aca="false">IF(G257="","",ROUND(E257/Settings!$O$5*G257,0))</f>
        <v/>
      </c>
      <c r="I257" s="97"/>
      <c r="J257" s="98" t="str">
        <f aca="false">IF(OR(A257="",H257=""),"",E257+F257-H257-I257)</f>
        <v/>
      </c>
      <c r="K257" s="52"/>
    </row>
    <row r="258" customFormat="false" ht="19.5" hidden="false" customHeight="true" outlineLevel="0" collapsed="false">
      <c r="A258" s="52"/>
      <c r="B258" s="89" t="str">
        <f aca="false">IF(A258="","",IFERROR(INDEX(Teachers!$B$5:$B$304,MATCH(A258,Teachers!$A$5:$A$304,0)),"ID not found"))</f>
        <v/>
      </c>
      <c r="C258" s="85" t="str">
        <f aca="false">IF(A258="","",IFERROR(INDEX(Teachers!$E$5:$E$304,MATCH(A258,Teachers!$A$5:$A$304,0)),""))</f>
        <v/>
      </c>
      <c r="D258" s="101"/>
      <c r="E258" s="97"/>
      <c r="F258" s="97"/>
      <c r="G258" s="85" t="str">
        <f aca="false">IF(OR(A258="",D258=""),"",COUNTIFS('Staff Attendance'!$B$5:$B$304,A258,'Staff Attendance'!$E$5:$E$304,"A",'Staff Attendance'!$A$5:$A$304,"&gt;="&amp;D258,'Staff Attendance'!$A$5:$A$304,"&lt;"&amp;EDATE(D258,1)))</f>
        <v/>
      </c>
      <c r="H258" s="98" t="str">
        <f aca="false">IF(G258="","",ROUND(E258/Settings!$O$5*G258,0))</f>
        <v/>
      </c>
      <c r="I258" s="97"/>
      <c r="J258" s="98" t="str">
        <f aca="false">IF(OR(A258="",H258=""),"",E258+F258-H258-I258)</f>
        <v/>
      </c>
      <c r="K258" s="52"/>
    </row>
    <row r="259" customFormat="false" ht="19.5" hidden="false" customHeight="true" outlineLevel="0" collapsed="false">
      <c r="A259" s="52"/>
      <c r="B259" s="89" t="str">
        <f aca="false">IF(A259="","",IFERROR(INDEX(Teachers!$B$5:$B$304,MATCH(A259,Teachers!$A$5:$A$304,0)),"ID not found"))</f>
        <v/>
      </c>
      <c r="C259" s="85" t="str">
        <f aca="false">IF(A259="","",IFERROR(INDEX(Teachers!$E$5:$E$304,MATCH(A259,Teachers!$A$5:$A$304,0)),""))</f>
        <v/>
      </c>
      <c r="D259" s="101"/>
      <c r="E259" s="97"/>
      <c r="F259" s="97"/>
      <c r="G259" s="85" t="str">
        <f aca="false">IF(OR(A259="",D259=""),"",COUNTIFS('Staff Attendance'!$B$5:$B$304,A259,'Staff Attendance'!$E$5:$E$304,"A",'Staff Attendance'!$A$5:$A$304,"&gt;="&amp;D259,'Staff Attendance'!$A$5:$A$304,"&lt;"&amp;EDATE(D259,1)))</f>
        <v/>
      </c>
      <c r="H259" s="98" t="str">
        <f aca="false">IF(G259="","",ROUND(E259/Settings!$O$5*G259,0))</f>
        <v/>
      </c>
      <c r="I259" s="97"/>
      <c r="J259" s="98" t="str">
        <f aca="false">IF(OR(A259="",H259=""),"",E259+F259-H259-I259)</f>
        <v/>
      </c>
      <c r="K259" s="52"/>
    </row>
    <row r="260" customFormat="false" ht="19.5" hidden="false" customHeight="true" outlineLevel="0" collapsed="false">
      <c r="A260" s="52"/>
      <c r="B260" s="89" t="str">
        <f aca="false">IF(A260="","",IFERROR(INDEX(Teachers!$B$5:$B$304,MATCH(A260,Teachers!$A$5:$A$304,0)),"ID not found"))</f>
        <v/>
      </c>
      <c r="C260" s="85" t="str">
        <f aca="false">IF(A260="","",IFERROR(INDEX(Teachers!$E$5:$E$304,MATCH(A260,Teachers!$A$5:$A$304,0)),""))</f>
        <v/>
      </c>
      <c r="D260" s="101"/>
      <c r="E260" s="97"/>
      <c r="F260" s="97"/>
      <c r="G260" s="85" t="str">
        <f aca="false">IF(OR(A260="",D260=""),"",COUNTIFS('Staff Attendance'!$B$5:$B$304,A260,'Staff Attendance'!$E$5:$E$304,"A",'Staff Attendance'!$A$5:$A$304,"&gt;="&amp;D260,'Staff Attendance'!$A$5:$A$304,"&lt;"&amp;EDATE(D260,1)))</f>
        <v/>
      </c>
      <c r="H260" s="98" t="str">
        <f aca="false">IF(G260="","",ROUND(E260/Settings!$O$5*G260,0))</f>
        <v/>
      </c>
      <c r="I260" s="97"/>
      <c r="J260" s="98" t="str">
        <f aca="false">IF(OR(A260="",H260=""),"",E260+F260-H260-I260)</f>
        <v/>
      </c>
      <c r="K260" s="52"/>
    </row>
    <row r="261" customFormat="false" ht="19.5" hidden="false" customHeight="true" outlineLevel="0" collapsed="false">
      <c r="A261" s="52"/>
      <c r="B261" s="89" t="str">
        <f aca="false">IF(A261="","",IFERROR(INDEX(Teachers!$B$5:$B$304,MATCH(A261,Teachers!$A$5:$A$304,0)),"ID not found"))</f>
        <v/>
      </c>
      <c r="C261" s="85" t="str">
        <f aca="false">IF(A261="","",IFERROR(INDEX(Teachers!$E$5:$E$304,MATCH(A261,Teachers!$A$5:$A$304,0)),""))</f>
        <v/>
      </c>
      <c r="D261" s="101"/>
      <c r="E261" s="97"/>
      <c r="F261" s="97"/>
      <c r="G261" s="85" t="str">
        <f aca="false">IF(OR(A261="",D261=""),"",COUNTIFS('Staff Attendance'!$B$5:$B$304,A261,'Staff Attendance'!$E$5:$E$304,"A",'Staff Attendance'!$A$5:$A$304,"&gt;="&amp;D261,'Staff Attendance'!$A$5:$A$304,"&lt;"&amp;EDATE(D261,1)))</f>
        <v/>
      </c>
      <c r="H261" s="98" t="str">
        <f aca="false">IF(G261="","",ROUND(E261/Settings!$O$5*G261,0))</f>
        <v/>
      </c>
      <c r="I261" s="97"/>
      <c r="J261" s="98" t="str">
        <f aca="false">IF(OR(A261="",H261=""),"",E261+F261-H261-I261)</f>
        <v/>
      </c>
      <c r="K261" s="52"/>
    </row>
    <row r="262" customFormat="false" ht="19.5" hidden="false" customHeight="true" outlineLevel="0" collapsed="false">
      <c r="A262" s="52"/>
      <c r="B262" s="89" t="str">
        <f aca="false">IF(A262="","",IFERROR(INDEX(Teachers!$B$5:$B$304,MATCH(A262,Teachers!$A$5:$A$304,0)),"ID not found"))</f>
        <v/>
      </c>
      <c r="C262" s="85" t="str">
        <f aca="false">IF(A262="","",IFERROR(INDEX(Teachers!$E$5:$E$304,MATCH(A262,Teachers!$A$5:$A$304,0)),""))</f>
        <v/>
      </c>
      <c r="D262" s="101"/>
      <c r="E262" s="97"/>
      <c r="F262" s="97"/>
      <c r="G262" s="85" t="str">
        <f aca="false">IF(OR(A262="",D262=""),"",COUNTIFS('Staff Attendance'!$B$5:$B$304,A262,'Staff Attendance'!$E$5:$E$304,"A",'Staff Attendance'!$A$5:$A$304,"&gt;="&amp;D262,'Staff Attendance'!$A$5:$A$304,"&lt;"&amp;EDATE(D262,1)))</f>
        <v/>
      </c>
      <c r="H262" s="98" t="str">
        <f aca="false">IF(G262="","",ROUND(E262/Settings!$O$5*G262,0))</f>
        <v/>
      </c>
      <c r="I262" s="97"/>
      <c r="J262" s="98" t="str">
        <f aca="false">IF(OR(A262="",H262=""),"",E262+F262-H262-I262)</f>
        <v/>
      </c>
      <c r="K262" s="52"/>
    </row>
    <row r="263" customFormat="false" ht="19.5" hidden="false" customHeight="true" outlineLevel="0" collapsed="false">
      <c r="A263" s="52"/>
      <c r="B263" s="89" t="str">
        <f aca="false">IF(A263="","",IFERROR(INDEX(Teachers!$B$5:$B$304,MATCH(A263,Teachers!$A$5:$A$304,0)),"ID not found"))</f>
        <v/>
      </c>
      <c r="C263" s="85" t="str">
        <f aca="false">IF(A263="","",IFERROR(INDEX(Teachers!$E$5:$E$304,MATCH(A263,Teachers!$A$5:$A$304,0)),""))</f>
        <v/>
      </c>
      <c r="D263" s="101"/>
      <c r="E263" s="97"/>
      <c r="F263" s="97"/>
      <c r="G263" s="85" t="str">
        <f aca="false">IF(OR(A263="",D263=""),"",COUNTIFS('Staff Attendance'!$B$5:$B$304,A263,'Staff Attendance'!$E$5:$E$304,"A",'Staff Attendance'!$A$5:$A$304,"&gt;="&amp;D263,'Staff Attendance'!$A$5:$A$304,"&lt;"&amp;EDATE(D263,1)))</f>
        <v/>
      </c>
      <c r="H263" s="98" t="str">
        <f aca="false">IF(G263="","",ROUND(E263/Settings!$O$5*G263,0))</f>
        <v/>
      </c>
      <c r="I263" s="97"/>
      <c r="J263" s="98" t="str">
        <f aca="false">IF(OR(A263="",H263=""),"",E263+F263-H263-I263)</f>
        <v/>
      </c>
      <c r="K263" s="52"/>
    </row>
    <row r="264" customFormat="false" ht="19.5" hidden="false" customHeight="true" outlineLevel="0" collapsed="false">
      <c r="A264" s="52"/>
      <c r="B264" s="89" t="str">
        <f aca="false">IF(A264="","",IFERROR(INDEX(Teachers!$B$5:$B$304,MATCH(A264,Teachers!$A$5:$A$304,0)),"ID not found"))</f>
        <v/>
      </c>
      <c r="C264" s="85" t="str">
        <f aca="false">IF(A264="","",IFERROR(INDEX(Teachers!$E$5:$E$304,MATCH(A264,Teachers!$A$5:$A$304,0)),""))</f>
        <v/>
      </c>
      <c r="D264" s="101"/>
      <c r="E264" s="97"/>
      <c r="F264" s="97"/>
      <c r="G264" s="85" t="str">
        <f aca="false">IF(OR(A264="",D264=""),"",COUNTIFS('Staff Attendance'!$B$5:$B$304,A264,'Staff Attendance'!$E$5:$E$304,"A",'Staff Attendance'!$A$5:$A$304,"&gt;="&amp;D264,'Staff Attendance'!$A$5:$A$304,"&lt;"&amp;EDATE(D264,1)))</f>
        <v/>
      </c>
      <c r="H264" s="98" t="str">
        <f aca="false">IF(G264="","",ROUND(E264/Settings!$O$5*G264,0))</f>
        <v/>
      </c>
      <c r="I264" s="97"/>
      <c r="J264" s="98" t="str">
        <f aca="false">IF(OR(A264="",H264=""),"",E264+F264-H264-I264)</f>
        <v/>
      </c>
      <c r="K264" s="52"/>
    </row>
    <row r="265" customFormat="false" ht="19.5" hidden="false" customHeight="true" outlineLevel="0" collapsed="false">
      <c r="A265" s="52"/>
      <c r="B265" s="89" t="str">
        <f aca="false">IF(A265="","",IFERROR(INDEX(Teachers!$B$5:$B$304,MATCH(A265,Teachers!$A$5:$A$304,0)),"ID not found"))</f>
        <v/>
      </c>
      <c r="C265" s="85" t="str">
        <f aca="false">IF(A265="","",IFERROR(INDEX(Teachers!$E$5:$E$304,MATCH(A265,Teachers!$A$5:$A$304,0)),""))</f>
        <v/>
      </c>
      <c r="D265" s="101"/>
      <c r="E265" s="97"/>
      <c r="F265" s="97"/>
      <c r="G265" s="85" t="str">
        <f aca="false">IF(OR(A265="",D265=""),"",COUNTIFS('Staff Attendance'!$B$5:$B$304,A265,'Staff Attendance'!$E$5:$E$304,"A",'Staff Attendance'!$A$5:$A$304,"&gt;="&amp;D265,'Staff Attendance'!$A$5:$A$304,"&lt;"&amp;EDATE(D265,1)))</f>
        <v/>
      </c>
      <c r="H265" s="98" t="str">
        <f aca="false">IF(G265="","",ROUND(E265/Settings!$O$5*G265,0))</f>
        <v/>
      </c>
      <c r="I265" s="97"/>
      <c r="J265" s="98" t="str">
        <f aca="false">IF(OR(A265="",H265=""),"",E265+F265-H265-I265)</f>
        <v/>
      </c>
      <c r="K265" s="52"/>
    </row>
    <row r="266" customFormat="false" ht="19.5" hidden="false" customHeight="true" outlineLevel="0" collapsed="false">
      <c r="A266" s="52"/>
      <c r="B266" s="89" t="str">
        <f aca="false">IF(A266="","",IFERROR(INDEX(Teachers!$B$5:$B$304,MATCH(A266,Teachers!$A$5:$A$304,0)),"ID not found"))</f>
        <v/>
      </c>
      <c r="C266" s="85" t="str">
        <f aca="false">IF(A266="","",IFERROR(INDEX(Teachers!$E$5:$E$304,MATCH(A266,Teachers!$A$5:$A$304,0)),""))</f>
        <v/>
      </c>
      <c r="D266" s="101"/>
      <c r="E266" s="97"/>
      <c r="F266" s="97"/>
      <c r="G266" s="85" t="str">
        <f aca="false">IF(OR(A266="",D266=""),"",COUNTIFS('Staff Attendance'!$B$5:$B$304,A266,'Staff Attendance'!$E$5:$E$304,"A",'Staff Attendance'!$A$5:$A$304,"&gt;="&amp;D266,'Staff Attendance'!$A$5:$A$304,"&lt;"&amp;EDATE(D266,1)))</f>
        <v/>
      </c>
      <c r="H266" s="98" t="str">
        <f aca="false">IF(G266="","",ROUND(E266/Settings!$O$5*G266,0))</f>
        <v/>
      </c>
      <c r="I266" s="97"/>
      <c r="J266" s="98" t="str">
        <f aca="false">IF(OR(A266="",H266=""),"",E266+F266-H266-I266)</f>
        <v/>
      </c>
      <c r="K266" s="52"/>
    </row>
    <row r="267" customFormat="false" ht="19.5" hidden="false" customHeight="true" outlineLevel="0" collapsed="false">
      <c r="A267" s="52"/>
      <c r="B267" s="89" t="str">
        <f aca="false">IF(A267="","",IFERROR(INDEX(Teachers!$B$5:$B$304,MATCH(A267,Teachers!$A$5:$A$304,0)),"ID not found"))</f>
        <v/>
      </c>
      <c r="C267" s="85" t="str">
        <f aca="false">IF(A267="","",IFERROR(INDEX(Teachers!$E$5:$E$304,MATCH(A267,Teachers!$A$5:$A$304,0)),""))</f>
        <v/>
      </c>
      <c r="D267" s="101"/>
      <c r="E267" s="97"/>
      <c r="F267" s="97"/>
      <c r="G267" s="85" t="str">
        <f aca="false">IF(OR(A267="",D267=""),"",COUNTIFS('Staff Attendance'!$B$5:$B$304,A267,'Staff Attendance'!$E$5:$E$304,"A",'Staff Attendance'!$A$5:$A$304,"&gt;="&amp;D267,'Staff Attendance'!$A$5:$A$304,"&lt;"&amp;EDATE(D267,1)))</f>
        <v/>
      </c>
      <c r="H267" s="98" t="str">
        <f aca="false">IF(G267="","",ROUND(E267/Settings!$O$5*G267,0))</f>
        <v/>
      </c>
      <c r="I267" s="97"/>
      <c r="J267" s="98" t="str">
        <f aca="false">IF(OR(A267="",H267=""),"",E267+F267-H267-I267)</f>
        <v/>
      </c>
      <c r="K267" s="52"/>
    </row>
    <row r="268" customFormat="false" ht="19.5" hidden="false" customHeight="true" outlineLevel="0" collapsed="false">
      <c r="A268" s="52"/>
      <c r="B268" s="89" t="str">
        <f aca="false">IF(A268="","",IFERROR(INDEX(Teachers!$B$5:$B$304,MATCH(A268,Teachers!$A$5:$A$304,0)),"ID not found"))</f>
        <v/>
      </c>
      <c r="C268" s="85" t="str">
        <f aca="false">IF(A268="","",IFERROR(INDEX(Teachers!$E$5:$E$304,MATCH(A268,Teachers!$A$5:$A$304,0)),""))</f>
        <v/>
      </c>
      <c r="D268" s="101"/>
      <c r="E268" s="97"/>
      <c r="F268" s="97"/>
      <c r="G268" s="85" t="str">
        <f aca="false">IF(OR(A268="",D268=""),"",COUNTIFS('Staff Attendance'!$B$5:$B$304,A268,'Staff Attendance'!$E$5:$E$304,"A",'Staff Attendance'!$A$5:$A$304,"&gt;="&amp;D268,'Staff Attendance'!$A$5:$A$304,"&lt;"&amp;EDATE(D268,1)))</f>
        <v/>
      </c>
      <c r="H268" s="98" t="str">
        <f aca="false">IF(G268="","",ROUND(E268/Settings!$O$5*G268,0))</f>
        <v/>
      </c>
      <c r="I268" s="97"/>
      <c r="J268" s="98" t="str">
        <f aca="false">IF(OR(A268="",H268=""),"",E268+F268-H268-I268)</f>
        <v/>
      </c>
      <c r="K268" s="52"/>
    </row>
    <row r="269" customFormat="false" ht="19.5" hidden="false" customHeight="true" outlineLevel="0" collapsed="false">
      <c r="A269" s="52"/>
      <c r="B269" s="89" t="str">
        <f aca="false">IF(A269="","",IFERROR(INDEX(Teachers!$B$5:$B$304,MATCH(A269,Teachers!$A$5:$A$304,0)),"ID not found"))</f>
        <v/>
      </c>
      <c r="C269" s="85" t="str">
        <f aca="false">IF(A269="","",IFERROR(INDEX(Teachers!$E$5:$E$304,MATCH(A269,Teachers!$A$5:$A$304,0)),""))</f>
        <v/>
      </c>
      <c r="D269" s="101"/>
      <c r="E269" s="97"/>
      <c r="F269" s="97"/>
      <c r="G269" s="85" t="str">
        <f aca="false">IF(OR(A269="",D269=""),"",COUNTIFS('Staff Attendance'!$B$5:$B$304,A269,'Staff Attendance'!$E$5:$E$304,"A",'Staff Attendance'!$A$5:$A$304,"&gt;="&amp;D269,'Staff Attendance'!$A$5:$A$304,"&lt;"&amp;EDATE(D269,1)))</f>
        <v/>
      </c>
      <c r="H269" s="98" t="str">
        <f aca="false">IF(G269="","",ROUND(E269/Settings!$O$5*G269,0))</f>
        <v/>
      </c>
      <c r="I269" s="97"/>
      <c r="J269" s="98" t="str">
        <f aca="false">IF(OR(A269="",H269=""),"",E269+F269-H269-I269)</f>
        <v/>
      </c>
      <c r="K269" s="52"/>
    </row>
    <row r="270" customFormat="false" ht="19.5" hidden="false" customHeight="true" outlineLevel="0" collapsed="false">
      <c r="A270" s="52"/>
      <c r="B270" s="89" t="str">
        <f aca="false">IF(A270="","",IFERROR(INDEX(Teachers!$B$5:$B$304,MATCH(A270,Teachers!$A$5:$A$304,0)),"ID not found"))</f>
        <v/>
      </c>
      <c r="C270" s="85" t="str">
        <f aca="false">IF(A270="","",IFERROR(INDEX(Teachers!$E$5:$E$304,MATCH(A270,Teachers!$A$5:$A$304,0)),""))</f>
        <v/>
      </c>
      <c r="D270" s="101"/>
      <c r="E270" s="97"/>
      <c r="F270" s="97"/>
      <c r="G270" s="85" t="str">
        <f aca="false">IF(OR(A270="",D270=""),"",COUNTIFS('Staff Attendance'!$B$5:$B$304,A270,'Staff Attendance'!$E$5:$E$304,"A",'Staff Attendance'!$A$5:$A$304,"&gt;="&amp;D270,'Staff Attendance'!$A$5:$A$304,"&lt;"&amp;EDATE(D270,1)))</f>
        <v/>
      </c>
      <c r="H270" s="98" t="str">
        <f aca="false">IF(G270="","",ROUND(E270/Settings!$O$5*G270,0))</f>
        <v/>
      </c>
      <c r="I270" s="97"/>
      <c r="J270" s="98" t="str">
        <f aca="false">IF(OR(A270="",H270=""),"",E270+F270-H270-I270)</f>
        <v/>
      </c>
      <c r="K270" s="52"/>
    </row>
    <row r="271" customFormat="false" ht="19.5" hidden="false" customHeight="true" outlineLevel="0" collapsed="false">
      <c r="A271" s="52"/>
      <c r="B271" s="89" t="str">
        <f aca="false">IF(A271="","",IFERROR(INDEX(Teachers!$B$5:$B$304,MATCH(A271,Teachers!$A$5:$A$304,0)),"ID not found"))</f>
        <v/>
      </c>
      <c r="C271" s="85" t="str">
        <f aca="false">IF(A271="","",IFERROR(INDEX(Teachers!$E$5:$E$304,MATCH(A271,Teachers!$A$5:$A$304,0)),""))</f>
        <v/>
      </c>
      <c r="D271" s="101"/>
      <c r="E271" s="97"/>
      <c r="F271" s="97"/>
      <c r="G271" s="85" t="str">
        <f aca="false">IF(OR(A271="",D271=""),"",COUNTIFS('Staff Attendance'!$B$5:$B$304,A271,'Staff Attendance'!$E$5:$E$304,"A",'Staff Attendance'!$A$5:$A$304,"&gt;="&amp;D271,'Staff Attendance'!$A$5:$A$304,"&lt;"&amp;EDATE(D271,1)))</f>
        <v/>
      </c>
      <c r="H271" s="98" t="str">
        <f aca="false">IF(G271="","",ROUND(E271/Settings!$O$5*G271,0))</f>
        <v/>
      </c>
      <c r="I271" s="97"/>
      <c r="J271" s="98" t="str">
        <f aca="false">IF(OR(A271="",H271=""),"",E271+F271-H271-I271)</f>
        <v/>
      </c>
      <c r="K271" s="52"/>
    </row>
    <row r="272" customFormat="false" ht="19.5" hidden="false" customHeight="true" outlineLevel="0" collapsed="false">
      <c r="A272" s="52"/>
      <c r="B272" s="89" t="str">
        <f aca="false">IF(A272="","",IFERROR(INDEX(Teachers!$B$5:$B$304,MATCH(A272,Teachers!$A$5:$A$304,0)),"ID not found"))</f>
        <v/>
      </c>
      <c r="C272" s="85" t="str">
        <f aca="false">IF(A272="","",IFERROR(INDEX(Teachers!$E$5:$E$304,MATCH(A272,Teachers!$A$5:$A$304,0)),""))</f>
        <v/>
      </c>
      <c r="D272" s="101"/>
      <c r="E272" s="97"/>
      <c r="F272" s="97"/>
      <c r="G272" s="85" t="str">
        <f aca="false">IF(OR(A272="",D272=""),"",COUNTIFS('Staff Attendance'!$B$5:$B$304,A272,'Staff Attendance'!$E$5:$E$304,"A",'Staff Attendance'!$A$5:$A$304,"&gt;="&amp;D272,'Staff Attendance'!$A$5:$A$304,"&lt;"&amp;EDATE(D272,1)))</f>
        <v/>
      </c>
      <c r="H272" s="98" t="str">
        <f aca="false">IF(G272="","",ROUND(E272/Settings!$O$5*G272,0))</f>
        <v/>
      </c>
      <c r="I272" s="97"/>
      <c r="J272" s="98" t="str">
        <f aca="false">IF(OR(A272="",H272=""),"",E272+F272-H272-I272)</f>
        <v/>
      </c>
      <c r="K272" s="52"/>
    </row>
    <row r="273" customFormat="false" ht="19.5" hidden="false" customHeight="true" outlineLevel="0" collapsed="false">
      <c r="A273" s="52"/>
      <c r="B273" s="89" t="str">
        <f aca="false">IF(A273="","",IFERROR(INDEX(Teachers!$B$5:$B$304,MATCH(A273,Teachers!$A$5:$A$304,0)),"ID not found"))</f>
        <v/>
      </c>
      <c r="C273" s="85" t="str">
        <f aca="false">IF(A273="","",IFERROR(INDEX(Teachers!$E$5:$E$304,MATCH(A273,Teachers!$A$5:$A$304,0)),""))</f>
        <v/>
      </c>
      <c r="D273" s="101"/>
      <c r="E273" s="97"/>
      <c r="F273" s="97"/>
      <c r="G273" s="85" t="str">
        <f aca="false">IF(OR(A273="",D273=""),"",COUNTIFS('Staff Attendance'!$B$5:$B$304,A273,'Staff Attendance'!$E$5:$E$304,"A",'Staff Attendance'!$A$5:$A$304,"&gt;="&amp;D273,'Staff Attendance'!$A$5:$A$304,"&lt;"&amp;EDATE(D273,1)))</f>
        <v/>
      </c>
      <c r="H273" s="98" t="str">
        <f aca="false">IF(G273="","",ROUND(E273/Settings!$O$5*G273,0))</f>
        <v/>
      </c>
      <c r="I273" s="97"/>
      <c r="J273" s="98" t="str">
        <f aca="false">IF(OR(A273="",H273=""),"",E273+F273-H273-I273)</f>
        <v/>
      </c>
      <c r="K273" s="52"/>
    </row>
    <row r="274" customFormat="false" ht="19.5" hidden="false" customHeight="true" outlineLevel="0" collapsed="false">
      <c r="A274" s="52"/>
      <c r="B274" s="89" t="str">
        <f aca="false">IF(A274="","",IFERROR(INDEX(Teachers!$B$5:$B$304,MATCH(A274,Teachers!$A$5:$A$304,0)),"ID not found"))</f>
        <v/>
      </c>
      <c r="C274" s="85" t="str">
        <f aca="false">IF(A274="","",IFERROR(INDEX(Teachers!$E$5:$E$304,MATCH(A274,Teachers!$A$5:$A$304,0)),""))</f>
        <v/>
      </c>
      <c r="D274" s="101"/>
      <c r="E274" s="97"/>
      <c r="F274" s="97"/>
      <c r="G274" s="85" t="str">
        <f aca="false">IF(OR(A274="",D274=""),"",COUNTIFS('Staff Attendance'!$B$5:$B$304,A274,'Staff Attendance'!$E$5:$E$304,"A",'Staff Attendance'!$A$5:$A$304,"&gt;="&amp;D274,'Staff Attendance'!$A$5:$A$304,"&lt;"&amp;EDATE(D274,1)))</f>
        <v/>
      </c>
      <c r="H274" s="98" t="str">
        <f aca="false">IF(G274="","",ROUND(E274/Settings!$O$5*G274,0))</f>
        <v/>
      </c>
      <c r="I274" s="97"/>
      <c r="J274" s="98" t="str">
        <f aca="false">IF(OR(A274="",H274=""),"",E274+F274-H274-I274)</f>
        <v/>
      </c>
      <c r="K274" s="52"/>
    </row>
    <row r="275" customFormat="false" ht="19.5" hidden="false" customHeight="true" outlineLevel="0" collapsed="false">
      <c r="A275" s="52"/>
      <c r="B275" s="89" t="str">
        <f aca="false">IF(A275="","",IFERROR(INDEX(Teachers!$B$5:$B$304,MATCH(A275,Teachers!$A$5:$A$304,0)),"ID not found"))</f>
        <v/>
      </c>
      <c r="C275" s="85" t="str">
        <f aca="false">IF(A275="","",IFERROR(INDEX(Teachers!$E$5:$E$304,MATCH(A275,Teachers!$A$5:$A$304,0)),""))</f>
        <v/>
      </c>
      <c r="D275" s="101"/>
      <c r="E275" s="97"/>
      <c r="F275" s="97"/>
      <c r="G275" s="85" t="str">
        <f aca="false">IF(OR(A275="",D275=""),"",COUNTIFS('Staff Attendance'!$B$5:$B$304,A275,'Staff Attendance'!$E$5:$E$304,"A",'Staff Attendance'!$A$5:$A$304,"&gt;="&amp;D275,'Staff Attendance'!$A$5:$A$304,"&lt;"&amp;EDATE(D275,1)))</f>
        <v/>
      </c>
      <c r="H275" s="98" t="str">
        <f aca="false">IF(G275="","",ROUND(E275/Settings!$O$5*G275,0))</f>
        <v/>
      </c>
      <c r="I275" s="97"/>
      <c r="J275" s="98" t="str">
        <f aca="false">IF(OR(A275="",H275=""),"",E275+F275-H275-I275)</f>
        <v/>
      </c>
      <c r="K275" s="52"/>
    </row>
    <row r="276" customFormat="false" ht="19.5" hidden="false" customHeight="true" outlineLevel="0" collapsed="false">
      <c r="A276" s="52"/>
      <c r="B276" s="89" t="str">
        <f aca="false">IF(A276="","",IFERROR(INDEX(Teachers!$B$5:$B$304,MATCH(A276,Teachers!$A$5:$A$304,0)),"ID not found"))</f>
        <v/>
      </c>
      <c r="C276" s="85" t="str">
        <f aca="false">IF(A276="","",IFERROR(INDEX(Teachers!$E$5:$E$304,MATCH(A276,Teachers!$A$5:$A$304,0)),""))</f>
        <v/>
      </c>
      <c r="D276" s="101"/>
      <c r="E276" s="97"/>
      <c r="F276" s="97"/>
      <c r="G276" s="85" t="str">
        <f aca="false">IF(OR(A276="",D276=""),"",COUNTIFS('Staff Attendance'!$B$5:$B$304,A276,'Staff Attendance'!$E$5:$E$304,"A",'Staff Attendance'!$A$5:$A$304,"&gt;="&amp;D276,'Staff Attendance'!$A$5:$A$304,"&lt;"&amp;EDATE(D276,1)))</f>
        <v/>
      </c>
      <c r="H276" s="98" t="str">
        <f aca="false">IF(G276="","",ROUND(E276/Settings!$O$5*G276,0))</f>
        <v/>
      </c>
      <c r="I276" s="97"/>
      <c r="J276" s="98" t="str">
        <f aca="false">IF(OR(A276="",H276=""),"",E276+F276-H276-I276)</f>
        <v/>
      </c>
      <c r="K276" s="52"/>
    </row>
    <row r="277" customFormat="false" ht="19.5" hidden="false" customHeight="true" outlineLevel="0" collapsed="false">
      <c r="A277" s="52"/>
      <c r="B277" s="89" t="str">
        <f aca="false">IF(A277="","",IFERROR(INDEX(Teachers!$B$5:$B$304,MATCH(A277,Teachers!$A$5:$A$304,0)),"ID not found"))</f>
        <v/>
      </c>
      <c r="C277" s="85" t="str">
        <f aca="false">IF(A277="","",IFERROR(INDEX(Teachers!$E$5:$E$304,MATCH(A277,Teachers!$A$5:$A$304,0)),""))</f>
        <v/>
      </c>
      <c r="D277" s="101"/>
      <c r="E277" s="97"/>
      <c r="F277" s="97"/>
      <c r="G277" s="85" t="str">
        <f aca="false">IF(OR(A277="",D277=""),"",COUNTIFS('Staff Attendance'!$B$5:$B$304,A277,'Staff Attendance'!$E$5:$E$304,"A",'Staff Attendance'!$A$5:$A$304,"&gt;="&amp;D277,'Staff Attendance'!$A$5:$A$304,"&lt;"&amp;EDATE(D277,1)))</f>
        <v/>
      </c>
      <c r="H277" s="98" t="str">
        <f aca="false">IF(G277="","",ROUND(E277/Settings!$O$5*G277,0))</f>
        <v/>
      </c>
      <c r="I277" s="97"/>
      <c r="J277" s="98" t="str">
        <f aca="false">IF(OR(A277="",H277=""),"",E277+F277-H277-I277)</f>
        <v/>
      </c>
      <c r="K277" s="52"/>
    </row>
    <row r="278" customFormat="false" ht="19.5" hidden="false" customHeight="true" outlineLevel="0" collapsed="false">
      <c r="A278" s="52"/>
      <c r="B278" s="89" t="str">
        <f aca="false">IF(A278="","",IFERROR(INDEX(Teachers!$B$5:$B$304,MATCH(A278,Teachers!$A$5:$A$304,0)),"ID not found"))</f>
        <v/>
      </c>
      <c r="C278" s="85" t="str">
        <f aca="false">IF(A278="","",IFERROR(INDEX(Teachers!$E$5:$E$304,MATCH(A278,Teachers!$A$5:$A$304,0)),""))</f>
        <v/>
      </c>
      <c r="D278" s="101"/>
      <c r="E278" s="97"/>
      <c r="F278" s="97"/>
      <c r="G278" s="85" t="str">
        <f aca="false">IF(OR(A278="",D278=""),"",COUNTIFS('Staff Attendance'!$B$5:$B$304,A278,'Staff Attendance'!$E$5:$E$304,"A",'Staff Attendance'!$A$5:$A$304,"&gt;="&amp;D278,'Staff Attendance'!$A$5:$A$304,"&lt;"&amp;EDATE(D278,1)))</f>
        <v/>
      </c>
      <c r="H278" s="98" t="str">
        <f aca="false">IF(G278="","",ROUND(E278/Settings!$O$5*G278,0))</f>
        <v/>
      </c>
      <c r="I278" s="97"/>
      <c r="J278" s="98" t="str">
        <f aca="false">IF(OR(A278="",H278=""),"",E278+F278-H278-I278)</f>
        <v/>
      </c>
      <c r="K278" s="52"/>
    </row>
    <row r="279" customFormat="false" ht="19.5" hidden="false" customHeight="true" outlineLevel="0" collapsed="false">
      <c r="A279" s="52"/>
      <c r="B279" s="89" t="str">
        <f aca="false">IF(A279="","",IFERROR(INDEX(Teachers!$B$5:$B$304,MATCH(A279,Teachers!$A$5:$A$304,0)),"ID not found"))</f>
        <v/>
      </c>
      <c r="C279" s="85" t="str">
        <f aca="false">IF(A279="","",IFERROR(INDEX(Teachers!$E$5:$E$304,MATCH(A279,Teachers!$A$5:$A$304,0)),""))</f>
        <v/>
      </c>
      <c r="D279" s="101"/>
      <c r="E279" s="97"/>
      <c r="F279" s="97"/>
      <c r="G279" s="85" t="str">
        <f aca="false">IF(OR(A279="",D279=""),"",COUNTIFS('Staff Attendance'!$B$5:$B$304,A279,'Staff Attendance'!$E$5:$E$304,"A",'Staff Attendance'!$A$5:$A$304,"&gt;="&amp;D279,'Staff Attendance'!$A$5:$A$304,"&lt;"&amp;EDATE(D279,1)))</f>
        <v/>
      </c>
      <c r="H279" s="98" t="str">
        <f aca="false">IF(G279="","",ROUND(E279/Settings!$O$5*G279,0))</f>
        <v/>
      </c>
      <c r="I279" s="97"/>
      <c r="J279" s="98" t="str">
        <f aca="false">IF(OR(A279="",H279=""),"",E279+F279-H279-I279)</f>
        <v/>
      </c>
      <c r="K279" s="52"/>
    </row>
    <row r="280" customFormat="false" ht="19.5" hidden="false" customHeight="true" outlineLevel="0" collapsed="false">
      <c r="A280" s="52"/>
      <c r="B280" s="89" t="str">
        <f aca="false">IF(A280="","",IFERROR(INDEX(Teachers!$B$5:$B$304,MATCH(A280,Teachers!$A$5:$A$304,0)),"ID not found"))</f>
        <v/>
      </c>
      <c r="C280" s="85" t="str">
        <f aca="false">IF(A280="","",IFERROR(INDEX(Teachers!$E$5:$E$304,MATCH(A280,Teachers!$A$5:$A$304,0)),""))</f>
        <v/>
      </c>
      <c r="D280" s="101"/>
      <c r="E280" s="97"/>
      <c r="F280" s="97"/>
      <c r="G280" s="85" t="str">
        <f aca="false">IF(OR(A280="",D280=""),"",COUNTIFS('Staff Attendance'!$B$5:$B$304,A280,'Staff Attendance'!$E$5:$E$304,"A",'Staff Attendance'!$A$5:$A$304,"&gt;="&amp;D280,'Staff Attendance'!$A$5:$A$304,"&lt;"&amp;EDATE(D280,1)))</f>
        <v/>
      </c>
      <c r="H280" s="98" t="str">
        <f aca="false">IF(G280="","",ROUND(E280/Settings!$O$5*G280,0))</f>
        <v/>
      </c>
      <c r="I280" s="97"/>
      <c r="J280" s="98" t="str">
        <f aca="false">IF(OR(A280="",H280=""),"",E280+F280-H280-I280)</f>
        <v/>
      </c>
      <c r="K280" s="52"/>
    </row>
    <row r="281" customFormat="false" ht="19.5" hidden="false" customHeight="true" outlineLevel="0" collapsed="false">
      <c r="A281" s="52"/>
      <c r="B281" s="89" t="str">
        <f aca="false">IF(A281="","",IFERROR(INDEX(Teachers!$B$5:$B$304,MATCH(A281,Teachers!$A$5:$A$304,0)),"ID not found"))</f>
        <v/>
      </c>
      <c r="C281" s="85" t="str">
        <f aca="false">IF(A281="","",IFERROR(INDEX(Teachers!$E$5:$E$304,MATCH(A281,Teachers!$A$5:$A$304,0)),""))</f>
        <v/>
      </c>
      <c r="D281" s="101"/>
      <c r="E281" s="97"/>
      <c r="F281" s="97"/>
      <c r="G281" s="85" t="str">
        <f aca="false">IF(OR(A281="",D281=""),"",COUNTIFS('Staff Attendance'!$B$5:$B$304,A281,'Staff Attendance'!$E$5:$E$304,"A",'Staff Attendance'!$A$5:$A$304,"&gt;="&amp;D281,'Staff Attendance'!$A$5:$A$304,"&lt;"&amp;EDATE(D281,1)))</f>
        <v/>
      </c>
      <c r="H281" s="98" t="str">
        <f aca="false">IF(G281="","",ROUND(E281/Settings!$O$5*G281,0))</f>
        <v/>
      </c>
      <c r="I281" s="97"/>
      <c r="J281" s="98" t="str">
        <f aca="false">IF(OR(A281="",H281=""),"",E281+F281-H281-I281)</f>
        <v/>
      </c>
      <c r="K281" s="52"/>
    </row>
    <row r="282" customFormat="false" ht="19.5" hidden="false" customHeight="true" outlineLevel="0" collapsed="false">
      <c r="A282" s="52"/>
      <c r="B282" s="89" t="str">
        <f aca="false">IF(A282="","",IFERROR(INDEX(Teachers!$B$5:$B$304,MATCH(A282,Teachers!$A$5:$A$304,0)),"ID not found"))</f>
        <v/>
      </c>
      <c r="C282" s="85" t="str">
        <f aca="false">IF(A282="","",IFERROR(INDEX(Teachers!$E$5:$E$304,MATCH(A282,Teachers!$A$5:$A$304,0)),""))</f>
        <v/>
      </c>
      <c r="D282" s="101"/>
      <c r="E282" s="97"/>
      <c r="F282" s="97"/>
      <c r="G282" s="85" t="str">
        <f aca="false">IF(OR(A282="",D282=""),"",COUNTIFS('Staff Attendance'!$B$5:$B$304,A282,'Staff Attendance'!$E$5:$E$304,"A",'Staff Attendance'!$A$5:$A$304,"&gt;="&amp;D282,'Staff Attendance'!$A$5:$A$304,"&lt;"&amp;EDATE(D282,1)))</f>
        <v/>
      </c>
      <c r="H282" s="98" t="str">
        <f aca="false">IF(G282="","",ROUND(E282/Settings!$O$5*G282,0))</f>
        <v/>
      </c>
      <c r="I282" s="97"/>
      <c r="J282" s="98" t="str">
        <f aca="false">IF(OR(A282="",H282=""),"",E282+F282-H282-I282)</f>
        <v/>
      </c>
      <c r="K282" s="52"/>
    </row>
    <row r="283" customFormat="false" ht="19.5" hidden="false" customHeight="true" outlineLevel="0" collapsed="false">
      <c r="A283" s="52"/>
      <c r="B283" s="89" t="str">
        <f aca="false">IF(A283="","",IFERROR(INDEX(Teachers!$B$5:$B$304,MATCH(A283,Teachers!$A$5:$A$304,0)),"ID not found"))</f>
        <v/>
      </c>
      <c r="C283" s="85" t="str">
        <f aca="false">IF(A283="","",IFERROR(INDEX(Teachers!$E$5:$E$304,MATCH(A283,Teachers!$A$5:$A$304,0)),""))</f>
        <v/>
      </c>
      <c r="D283" s="101"/>
      <c r="E283" s="97"/>
      <c r="F283" s="97"/>
      <c r="G283" s="85" t="str">
        <f aca="false">IF(OR(A283="",D283=""),"",COUNTIFS('Staff Attendance'!$B$5:$B$304,A283,'Staff Attendance'!$E$5:$E$304,"A",'Staff Attendance'!$A$5:$A$304,"&gt;="&amp;D283,'Staff Attendance'!$A$5:$A$304,"&lt;"&amp;EDATE(D283,1)))</f>
        <v/>
      </c>
      <c r="H283" s="98" t="str">
        <f aca="false">IF(G283="","",ROUND(E283/Settings!$O$5*G283,0))</f>
        <v/>
      </c>
      <c r="I283" s="97"/>
      <c r="J283" s="98" t="str">
        <f aca="false">IF(OR(A283="",H283=""),"",E283+F283-H283-I283)</f>
        <v/>
      </c>
      <c r="K283" s="52"/>
    </row>
    <row r="284" customFormat="false" ht="19.5" hidden="false" customHeight="true" outlineLevel="0" collapsed="false">
      <c r="A284" s="52"/>
      <c r="B284" s="89" t="str">
        <f aca="false">IF(A284="","",IFERROR(INDEX(Teachers!$B$5:$B$304,MATCH(A284,Teachers!$A$5:$A$304,0)),"ID not found"))</f>
        <v/>
      </c>
      <c r="C284" s="85" t="str">
        <f aca="false">IF(A284="","",IFERROR(INDEX(Teachers!$E$5:$E$304,MATCH(A284,Teachers!$A$5:$A$304,0)),""))</f>
        <v/>
      </c>
      <c r="D284" s="101"/>
      <c r="E284" s="97"/>
      <c r="F284" s="97"/>
      <c r="G284" s="85" t="str">
        <f aca="false">IF(OR(A284="",D284=""),"",COUNTIFS('Staff Attendance'!$B$5:$B$304,A284,'Staff Attendance'!$E$5:$E$304,"A",'Staff Attendance'!$A$5:$A$304,"&gt;="&amp;D284,'Staff Attendance'!$A$5:$A$304,"&lt;"&amp;EDATE(D284,1)))</f>
        <v/>
      </c>
      <c r="H284" s="98" t="str">
        <f aca="false">IF(G284="","",ROUND(E284/Settings!$O$5*G284,0))</f>
        <v/>
      </c>
      <c r="I284" s="97"/>
      <c r="J284" s="98" t="str">
        <f aca="false">IF(OR(A284="",H284=""),"",E284+F284-H284-I284)</f>
        <v/>
      </c>
      <c r="K284" s="52"/>
    </row>
    <row r="285" customFormat="false" ht="19.5" hidden="false" customHeight="true" outlineLevel="0" collapsed="false">
      <c r="A285" s="52"/>
      <c r="B285" s="89" t="str">
        <f aca="false">IF(A285="","",IFERROR(INDEX(Teachers!$B$5:$B$304,MATCH(A285,Teachers!$A$5:$A$304,0)),"ID not found"))</f>
        <v/>
      </c>
      <c r="C285" s="85" t="str">
        <f aca="false">IF(A285="","",IFERROR(INDEX(Teachers!$E$5:$E$304,MATCH(A285,Teachers!$A$5:$A$304,0)),""))</f>
        <v/>
      </c>
      <c r="D285" s="101"/>
      <c r="E285" s="97"/>
      <c r="F285" s="97"/>
      <c r="G285" s="85" t="str">
        <f aca="false">IF(OR(A285="",D285=""),"",COUNTIFS('Staff Attendance'!$B$5:$B$304,A285,'Staff Attendance'!$E$5:$E$304,"A",'Staff Attendance'!$A$5:$A$304,"&gt;="&amp;D285,'Staff Attendance'!$A$5:$A$304,"&lt;"&amp;EDATE(D285,1)))</f>
        <v/>
      </c>
      <c r="H285" s="98" t="str">
        <f aca="false">IF(G285="","",ROUND(E285/Settings!$O$5*G285,0))</f>
        <v/>
      </c>
      <c r="I285" s="97"/>
      <c r="J285" s="98" t="str">
        <f aca="false">IF(OR(A285="",H285=""),"",E285+F285-H285-I285)</f>
        <v/>
      </c>
      <c r="K285" s="52"/>
    </row>
    <row r="286" customFormat="false" ht="19.5" hidden="false" customHeight="true" outlineLevel="0" collapsed="false">
      <c r="A286" s="52"/>
      <c r="B286" s="89" t="str">
        <f aca="false">IF(A286="","",IFERROR(INDEX(Teachers!$B$5:$B$304,MATCH(A286,Teachers!$A$5:$A$304,0)),"ID not found"))</f>
        <v/>
      </c>
      <c r="C286" s="85" t="str">
        <f aca="false">IF(A286="","",IFERROR(INDEX(Teachers!$E$5:$E$304,MATCH(A286,Teachers!$A$5:$A$304,0)),""))</f>
        <v/>
      </c>
      <c r="D286" s="101"/>
      <c r="E286" s="97"/>
      <c r="F286" s="97"/>
      <c r="G286" s="85" t="str">
        <f aca="false">IF(OR(A286="",D286=""),"",COUNTIFS('Staff Attendance'!$B$5:$B$304,A286,'Staff Attendance'!$E$5:$E$304,"A",'Staff Attendance'!$A$5:$A$304,"&gt;="&amp;D286,'Staff Attendance'!$A$5:$A$304,"&lt;"&amp;EDATE(D286,1)))</f>
        <v/>
      </c>
      <c r="H286" s="98" t="str">
        <f aca="false">IF(G286="","",ROUND(E286/Settings!$O$5*G286,0))</f>
        <v/>
      </c>
      <c r="I286" s="97"/>
      <c r="J286" s="98" t="str">
        <f aca="false">IF(OR(A286="",H286=""),"",E286+F286-H286-I286)</f>
        <v/>
      </c>
      <c r="K286" s="52"/>
    </row>
    <row r="287" customFormat="false" ht="19.5" hidden="false" customHeight="true" outlineLevel="0" collapsed="false">
      <c r="A287" s="52"/>
      <c r="B287" s="89" t="str">
        <f aca="false">IF(A287="","",IFERROR(INDEX(Teachers!$B$5:$B$304,MATCH(A287,Teachers!$A$5:$A$304,0)),"ID not found"))</f>
        <v/>
      </c>
      <c r="C287" s="85" t="str">
        <f aca="false">IF(A287="","",IFERROR(INDEX(Teachers!$E$5:$E$304,MATCH(A287,Teachers!$A$5:$A$304,0)),""))</f>
        <v/>
      </c>
      <c r="D287" s="101"/>
      <c r="E287" s="97"/>
      <c r="F287" s="97"/>
      <c r="G287" s="85" t="str">
        <f aca="false">IF(OR(A287="",D287=""),"",COUNTIFS('Staff Attendance'!$B$5:$B$304,A287,'Staff Attendance'!$E$5:$E$304,"A",'Staff Attendance'!$A$5:$A$304,"&gt;="&amp;D287,'Staff Attendance'!$A$5:$A$304,"&lt;"&amp;EDATE(D287,1)))</f>
        <v/>
      </c>
      <c r="H287" s="98" t="str">
        <f aca="false">IF(G287="","",ROUND(E287/Settings!$O$5*G287,0))</f>
        <v/>
      </c>
      <c r="I287" s="97"/>
      <c r="J287" s="98" t="str">
        <f aca="false">IF(OR(A287="",H287=""),"",E287+F287-H287-I287)</f>
        <v/>
      </c>
      <c r="K287" s="52"/>
    </row>
    <row r="288" customFormat="false" ht="19.5" hidden="false" customHeight="true" outlineLevel="0" collapsed="false">
      <c r="A288" s="52"/>
      <c r="B288" s="89" t="str">
        <f aca="false">IF(A288="","",IFERROR(INDEX(Teachers!$B$5:$B$304,MATCH(A288,Teachers!$A$5:$A$304,0)),"ID not found"))</f>
        <v/>
      </c>
      <c r="C288" s="85" t="str">
        <f aca="false">IF(A288="","",IFERROR(INDEX(Teachers!$E$5:$E$304,MATCH(A288,Teachers!$A$5:$A$304,0)),""))</f>
        <v/>
      </c>
      <c r="D288" s="101"/>
      <c r="E288" s="97"/>
      <c r="F288" s="97"/>
      <c r="G288" s="85" t="str">
        <f aca="false">IF(OR(A288="",D288=""),"",COUNTIFS('Staff Attendance'!$B$5:$B$304,A288,'Staff Attendance'!$E$5:$E$304,"A",'Staff Attendance'!$A$5:$A$304,"&gt;="&amp;D288,'Staff Attendance'!$A$5:$A$304,"&lt;"&amp;EDATE(D288,1)))</f>
        <v/>
      </c>
      <c r="H288" s="98" t="str">
        <f aca="false">IF(G288="","",ROUND(E288/Settings!$O$5*G288,0))</f>
        <v/>
      </c>
      <c r="I288" s="97"/>
      <c r="J288" s="98" t="str">
        <f aca="false">IF(OR(A288="",H288=""),"",E288+F288-H288-I288)</f>
        <v/>
      </c>
      <c r="K288" s="52"/>
    </row>
    <row r="289" customFormat="false" ht="19.5" hidden="false" customHeight="true" outlineLevel="0" collapsed="false">
      <c r="A289" s="52"/>
      <c r="B289" s="89" t="str">
        <f aca="false">IF(A289="","",IFERROR(INDEX(Teachers!$B$5:$B$304,MATCH(A289,Teachers!$A$5:$A$304,0)),"ID not found"))</f>
        <v/>
      </c>
      <c r="C289" s="85" t="str">
        <f aca="false">IF(A289="","",IFERROR(INDEX(Teachers!$E$5:$E$304,MATCH(A289,Teachers!$A$5:$A$304,0)),""))</f>
        <v/>
      </c>
      <c r="D289" s="101"/>
      <c r="E289" s="97"/>
      <c r="F289" s="97"/>
      <c r="G289" s="85" t="str">
        <f aca="false">IF(OR(A289="",D289=""),"",COUNTIFS('Staff Attendance'!$B$5:$B$304,A289,'Staff Attendance'!$E$5:$E$304,"A",'Staff Attendance'!$A$5:$A$304,"&gt;="&amp;D289,'Staff Attendance'!$A$5:$A$304,"&lt;"&amp;EDATE(D289,1)))</f>
        <v/>
      </c>
      <c r="H289" s="98" t="str">
        <f aca="false">IF(G289="","",ROUND(E289/Settings!$O$5*G289,0))</f>
        <v/>
      </c>
      <c r="I289" s="97"/>
      <c r="J289" s="98" t="str">
        <f aca="false">IF(OR(A289="",H289=""),"",E289+F289-H289-I289)</f>
        <v/>
      </c>
      <c r="K289" s="52"/>
    </row>
    <row r="290" customFormat="false" ht="19.5" hidden="false" customHeight="true" outlineLevel="0" collapsed="false">
      <c r="A290" s="52"/>
      <c r="B290" s="89" t="str">
        <f aca="false">IF(A290="","",IFERROR(INDEX(Teachers!$B$5:$B$304,MATCH(A290,Teachers!$A$5:$A$304,0)),"ID not found"))</f>
        <v/>
      </c>
      <c r="C290" s="85" t="str">
        <f aca="false">IF(A290="","",IFERROR(INDEX(Teachers!$E$5:$E$304,MATCH(A290,Teachers!$A$5:$A$304,0)),""))</f>
        <v/>
      </c>
      <c r="D290" s="101"/>
      <c r="E290" s="97"/>
      <c r="F290" s="97"/>
      <c r="G290" s="85" t="str">
        <f aca="false">IF(OR(A290="",D290=""),"",COUNTIFS('Staff Attendance'!$B$5:$B$304,A290,'Staff Attendance'!$E$5:$E$304,"A",'Staff Attendance'!$A$5:$A$304,"&gt;="&amp;D290,'Staff Attendance'!$A$5:$A$304,"&lt;"&amp;EDATE(D290,1)))</f>
        <v/>
      </c>
      <c r="H290" s="98" t="str">
        <f aca="false">IF(G290="","",ROUND(E290/Settings!$O$5*G290,0))</f>
        <v/>
      </c>
      <c r="I290" s="97"/>
      <c r="J290" s="98" t="str">
        <f aca="false">IF(OR(A290="",H290=""),"",E290+F290-H290-I290)</f>
        <v/>
      </c>
      <c r="K290" s="52"/>
    </row>
    <row r="291" customFormat="false" ht="19.5" hidden="false" customHeight="true" outlineLevel="0" collapsed="false">
      <c r="A291" s="52"/>
      <c r="B291" s="89" t="str">
        <f aca="false">IF(A291="","",IFERROR(INDEX(Teachers!$B$5:$B$304,MATCH(A291,Teachers!$A$5:$A$304,0)),"ID not found"))</f>
        <v/>
      </c>
      <c r="C291" s="85" t="str">
        <f aca="false">IF(A291="","",IFERROR(INDEX(Teachers!$E$5:$E$304,MATCH(A291,Teachers!$A$5:$A$304,0)),""))</f>
        <v/>
      </c>
      <c r="D291" s="101"/>
      <c r="E291" s="97"/>
      <c r="F291" s="97"/>
      <c r="G291" s="85" t="str">
        <f aca="false">IF(OR(A291="",D291=""),"",COUNTIFS('Staff Attendance'!$B$5:$B$304,A291,'Staff Attendance'!$E$5:$E$304,"A",'Staff Attendance'!$A$5:$A$304,"&gt;="&amp;D291,'Staff Attendance'!$A$5:$A$304,"&lt;"&amp;EDATE(D291,1)))</f>
        <v/>
      </c>
      <c r="H291" s="98" t="str">
        <f aca="false">IF(G291="","",ROUND(E291/Settings!$O$5*G291,0))</f>
        <v/>
      </c>
      <c r="I291" s="97"/>
      <c r="J291" s="98" t="str">
        <f aca="false">IF(OR(A291="",H291=""),"",E291+F291-H291-I291)</f>
        <v/>
      </c>
      <c r="K291" s="52"/>
    </row>
    <row r="292" customFormat="false" ht="19.5" hidden="false" customHeight="true" outlineLevel="0" collapsed="false">
      <c r="A292" s="52"/>
      <c r="B292" s="89" t="str">
        <f aca="false">IF(A292="","",IFERROR(INDEX(Teachers!$B$5:$B$304,MATCH(A292,Teachers!$A$5:$A$304,0)),"ID not found"))</f>
        <v/>
      </c>
      <c r="C292" s="85" t="str">
        <f aca="false">IF(A292="","",IFERROR(INDEX(Teachers!$E$5:$E$304,MATCH(A292,Teachers!$A$5:$A$304,0)),""))</f>
        <v/>
      </c>
      <c r="D292" s="101"/>
      <c r="E292" s="97"/>
      <c r="F292" s="97"/>
      <c r="G292" s="85" t="str">
        <f aca="false">IF(OR(A292="",D292=""),"",COUNTIFS('Staff Attendance'!$B$5:$B$304,A292,'Staff Attendance'!$E$5:$E$304,"A",'Staff Attendance'!$A$5:$A$304,"&gt;="&amp;D292,'Staff Attendance'!$A$5:$A$304,"&lt;"&amp;EDATE(D292,1)))</f>
        <v/>
      </c>
      <c r="H292" s="98" t="str">
        <f aca="false">IF(G292="","",ROUND(E292/Settings!$O$5*G292,0))</f>
        <v/>
      </c>
      <c r="I292" s="97"/>
      <c r="J292" s="98" t="str">
        <f aca="false">IF(OR(A292="",H292=""),"",E292+F292-H292-I292)</f>
        <v/>
      </c>
      <c r="K292" s="52"/>
    </row>
    <row r="293" customFormat="false" ht="19.5" hidden="false" customHeight="true" outlineLevel="0" collapsed="false">
      <c r="A293" s="52"/>
      <c r="B293" s="89" t="str">
        <f aca="false">IF(A293="","",IFERROR(INDEX(Teachers!$B$5:$B$304,MATCH(A293,Teachers!$A$5:$A$304,0)),"ID not found"))</f>
        <v/>
      </c>
      <c r="C293" s="85" t="str">
        <f aca="false">IF(A293="","",IFERROR(INDEX(Teachers!$E$5:$E$304,MATCH(A293,Teachers!$A$5:$A$304,0)),""))</f>
        <v/>
      </c>
      <c r="D293" s="101"/>
      <c r="E293" s="97"/>
      <c r="F293" s="97"/>
      <c r="G293" s="85" t="str">
        <f aca="false">IF(OR(A293="",D293=""),"",COUNTIFS('Staff Attendance'!$B$5:$B$304,A293,'Staff Attendance'!$E$5:$E$304,"A",'Staff Attendance'!$A$5:$A$304,"&gt;="&amp;D293,'Staff Attendance'!$A$5:$A$304,"&lt;"&amp;EDATE(D293,1)))</f>
        <v/>
      </c>
      <c r="H293" s="98" t="str">
        <f aca="false">IF(G293="","",ROUND(E293/Settings!$O$5*G293,0))</f>
        <v/>
      </c>
      <c r="I293" s="97"/>
      <c r="J293" s="98" t="str">
        <f aca="false">IF(OR(A293="",H293=""),"",E293+F293-H293-I293)</f>
        <v/>
      </c>
      <c r="K293" s="52"/>
    </row>
    <row r="294" customFormat="false" ht="19.5" hidden="false" customHeight="true" outlineLevel="0" collapsed="false">
      <c r="A294" s="52"/>
      <c r="B294" s="89" t="str">
        <f aca="false">IF(A294="","",IFERROR(INDEX(Teachers!$B$5:$B$304,MATCH(A294,Teachers!$A$5:$A$304,0)),"ID not found"))</f>
        <v/>
      </c>
      <c r="C294" s="85" t="str">
        <f aca="false">IF(A294="","",IFERROR(INDEX(Teachers!$E$5:$E$304,MATCH(A294,Teachers!$A$5:$A$304,0)),""))</f>
        <v/>
      </c>
      <c r="D294" s="101"/>
      <c r="E294" s="97"/>
      <c r="F294" s="97"/>
      <c r="G294" s="85" t="str">
        <f aca="false">IF(OR(A294="",D294=""),"",COUNTIFS('Staff Attendance'!$B$5:$B$304,A294,'Staff Attendance'!$E$5:$E$304,"A",'Staff Attendance'!$A$5:$A$304,"&gt;="&amp;D294,'Staff Attendance'!$A$5:$A$304,"&lt;"&amp;EDATE(D294,1)))</f>
        <v/>
      </c>
      <c r="H294" s="98" t="str">
        <f aca="false">IF(G294="","",ROUND(E294/Settings!$O$5*G294,0))</f>
        <v/>
      </c>
      <c r="I294" s="97"/>
      <c r="J294" s="98" t="str">
        <f aca="false">IF(OR(A294="",H294=""),"",E294+F294-H294-I294)</f>
        <v/>
      </c>
      <c r="K294" s="52"/>
    </row>
    <row r="295" customFormat="false" ht="19.5" hidden="false" customHeight="true" outlineLevel="0" collapsed="false">
      <c r="A295" s="52"/>
      <c r="B295" s="89" t="str">
        <f aca="false">IF(A295="","",IFERROR(INDEX(Teachers!$B$5:$B$304,MATCH(A295,Teachers!$A$5:$A$304,0)),"ID not found"))</f>
        <v/>
      </c>
      <c r="C295" s="85" t="str">
        <f aca="false">IF(A295="","",IFERROR(INDEX(Teachers!$E$5:$E$304,MATCH(A295,Teachers!$A$5:$A$304,0)),""))</f>
        <v/>
      </c>
      <c r="D295" s="101"/>
      <c r="E295" s="97"/>
      <c r="F295" s="97"/>
      <c r="G295" s="85" t="str">
        <f aca="false">IF(OR(A295="",D295=""),"",COUNTIFS('Staff Attendance'!$B$5:$B$304,A295,'Staff Attendance'!$E$5:$E$304,"A",'Staff Attendance'!$A$5:$A$304,"&gt;="&amp;D295,'Staff Attendance'!$A$5:$A$304,"&lt;"&amp;EDATE(D295,1)))</f>
        <v/>
      </c>
      <c r="H295" s="98" t="str">
        <f aca="false">IF(G295="","",ROUND(E295/Settings!$O$5*G295,0))</f>
        <v/>
      </c>
      <c r="I295" s="97"/>
      <c r="J295" s="98" t="str">
        <f aca="false">IF(OR(A295="",H295=""),"",E295+F295-H295-I295)</f>
        <v/>
      </c>
      <c r="K295" s="52"/>
    </row>
    <row r="296" customFormat="false" ht="19.5" hidden="false" customHeight="true" outlineLevel="0" collapsed="false">
      <c r="A296" s="52"/>
      <c r="B296" s="89" t="str">
        <f aca="false">IF(A296="","",IFERROR(INDEX(Teachers!$B$5:$B$304,MATCH(A296,Teachers!$A$5:$A$304,0)),"ID not found"))</f>
        <v/>
      </c>
      <c r="C296" s="85" t="str">
        <f aca="false">IF(A296="","",IFERROR(INDEX(Teachers!$E$5:$E$304,MATCH(A296,Teachers!$A$5:$A$304,0)),""))</f>
        <v/>
      </c>
      <c r="D296" s="101"/>
      <c r="E296" s="97"/>
      <c r="F296" s="97"/>
      <c r="G296" s="85" t="str">
        <f aca="false">IF(OR(A296="",D296=""),"",COUNTIFS('Staff Attendance'!$B$5:$B$304,A296,'Staff Attendance'!$E$5:$E$304,"A",'Staff Attendance'!$A$5:$A$304,"&gt;="&amp;D296,'Staff Attendance'!$A$5:$A$304,"&lt;"&amp;EDATE(D296,1)))</f>
        <v/>
      </c>
      <c r="H296" s="98" t="str">
        <f aca="false">IF(G296="","",ROUND(E296/Settings!$O$5*G296,0))</f>
        <v/>
      </c>
      <c r="I296" s="97"/>
      <c r="J296" s="98" t="str">
        <f aca="false">IF(OR(A296="",H296=""),"",E296+F296-H296-I296)</f>
        <v/>
      </c>
      <c r="K296" s="52"/>
    </row>
    <row r="297" customFormat="false" ht="19.5" hidden="false" customHeight="true" outlineLevel="0" collapsed="false">
      <c r="A297" s="52"/>
      <c r="B297" s="89" t="str">
        <f aca="false">IF(A297="","",IFERROR(INDEX(Teachers!$B$5:$B$304,MATCH(A297,Teachers!$A$5:$A$304,0)),"ID not found"))</f>
        <v/>
      </c>
      <c r="C297" s="85" t="str">
        <f aca="false">IF(A297="","",IFERROR(INDEX(Teachers!$E$5:$E$304,MATCH(A297,Teachers!$A$5:$A$304,0)),""))</f>
        <v/>
      </c>
      <c r="D297" s="101"/>
      <c r="E297" s="97"/>
      <c r="F297" s="97"/>
      <c r="G297" s="85" t="str">
        <f aca="false">IF(OR(A297="",D297=""),"",COUNTIFS('Staff Attendance'!$B$5:$B$304,A297,'Staff Attendance'!$E$5:$E$304,"A",'Staff Attendance'!$A$5:$A$304,"&gt;="&amp;D297,'Staff Attendance'!$A$5:$A$304,"&lt;"&amp;EDATE(D297,1)))</f>
        <v/>
      </c>
      <c r="H297" s="98" t="str">
        <f aca="false">IF(G297="","",ROUND(E297/Settings!$O$5*G297,0))</f>
        <v/>
      </c>
      <c r="I297" s="97"/>
      <c r="J297" s="98" t="str">
        <f aca="false">IF(OR(A297="",H297=""),"",E297+F297-H297-I297)</f>
        <v/>
      </c>
      <c r="K297" s="52"/>
    </row>
    <row r="298" customFormat="false" ht="19.5" hidden="false" customHeight="true" outlineLevel="0" collapsed="false">
      <c r="A298" s="52"/>
      <c r="B298" s="89" t="str">
        <f aca="false">IF(A298="","",IFERROR(INDEX(Teachers!$B$5:$B$304,MATCH(A298,Teachers!$A$5:$A$304,0)),"ID not found"))</f>
        <v/>
      </c>
      <c r="C298" s="85" t="str">
        <f aca="false">IF(A298="","",IFERROR(INDEX(Teachers!$E$5:$E$304,MATCH(A298,Teachers!$A$5:$A$304,0)),""))</f>
        <v/>
      </c>
      <c r="D298" s="101"/>
      <c r="E298" s="97"/>
      <c r="F298" s="97"/>
      <c r="G298" s="85" t="str">
        <f aca="false">IF(OR(A298="",D298=""),"",COUNTIFS('Staff Attendance'!$B$5:$B$304,A298,'Staff Attendance'!$E$5:$E$304,"A",'Staff Attendance'!$A$5:$A$304,"&gt;="&amp;D298,'Staff Attendance'!$A$5:$A$304,"&lt;"&amp;EDATE(D298,1)))</f>
        <v/>
      </c>
      <c r="H298" s="98" t="str">
        <f aca="false">IF(G298="","",ROUND(E298/Settings!$O$5*G298,0))</f>
        <v/>
      </c>
      <c r="I298" s="97"/>
      <c r="J298" s="98" t="str">
        <f aca="false">IF(OR(A298="",H298=""),"",E298+F298-H298-I298)</f>
        <v/>
      </c>
      <c r="K298" s="52"/>
    </row>
    <row r="299" customFormat="false" ht="19.5" hidden="false" customHeight="true" outlineLevel="0" collapsed="false">
      <c r="A299" s="52"/>
      <c r="B299" s="89" t="str">
        <f aca="false">IF(A299="","",IFERROR(INDEX(Teachers!$B$5:$B$304,MATCH(A299,Teachers!$A$5:$A$304,0)),"ID not found"))</f>
        <v/>
      </c>
      <c r="C299" s="85" t="str">
        <f aca="false">IF(A299="","",IFERROR(INDEX(Teachers!$E$5:$E$304,MATCH(A299,Teachers!$A$5:$A$304,0)),""))</f>
        <v/>
      </c>
      <c r="D299" s="101"/>
      <c r="E299" s="97"/>
      <c r="F299" s="97"/>
      <c r="G299" s="85" t="str">
        <f aca="false">IF(OR(A299="",D299=""),"",COUNTIFS('Staff Attendance'!$B$5:$B$304,A299,'Staff Attendance'!$E$5:$E$304,"A",'Staff Attendance'!$A$5:$A$304,"&gt;="&amp;D299,'Staff Attendance'!$A$5:$A$304,"&lt;"&amp;EDATE(D299,1)))</f>
        <v/>
      </c>
      <c r="H299" s="98" t="str">
        <f aca="false">IF(G299="","",ROUND(E299/Settings!$O$5*G299,0))</f>
        <v/>
      </c>
      <c r="I299" s="97"/>
      <c r="J299" s="98" t="str">
        <f aca="false">IF(OR(A299="",H299=""),"",E299+F299-H299-I299)</f>
        <v/>
      </c>
      <c r="K299" s="52"/>
    </row>
    <row r="300" customFormat="false" ht="19.5" hidden="false" customHeight="true" outlineLevel="0" collapsed="false">
      <c r="A300" s="52"/>
      <c r="B300" s="89" t="str">
        <f aca="false">IF(A300="","",IFERROR(INDEX(Teachers!$B$5:$B$304,MATCH(A300,Teachers!$A$5:$A$304,0)),"ID not found"))</f>
        <v/>
      </c>
      <c r="C300" s="85" t="str">
        <f aca="false">IF(A300="","",IFERROR(INDEX(Teachers!$E$5:$E$304,MATCH(A300,Teachers!$A$5:$A$304,0)),""))</f>
        <v/>
      </c>
      <c r="D300" s="101"/>
      <c r="E300" s="97"/>
      <c r="F300" s="97"/>
      <c r="G300" s="85" t="str">
        <f aca="false">IF(OR(A300="",D300=""),"",COUNTIFS('Staff Attendance'!$B$5:$B$304,A300,'Staff Attendance'!$E$5:$E$304,"A",'Staff Attendance'!$A$5:$A$304,"&gt;="&amp;D300,'Staff Attendance'!$A$5:$A$304,"&lt;"&amp;EDATE(D300,1)))</f>
        <v/>
      </c>
      <c r="H300" s="98" t="str">
        <f aca="false">IF(G300="","",ROUND(E300/Settings!$O$5*G300,0))</f>
        <v/>
      </c>
      <c r="I300" s="97"/>
      <c r="J300" s="98" t="str">
        <f aca="false">IF(OR(A300="",H300=""),"",E300+F300-H300-I300)</f>
        <v/>
      </c>
      <c r="K300" s="52"/>
    </row>
    <row r="301" customFormat="false" ht="19.5" hidden="false" customHeight="true" outlineLevel="0" collapsed="false">
      <c r="A301" s="52"/>
      <c r="B301" s="89" t="str">
        <f aca="false">IF(A301="","",IFERROR(INDEX(Teachers!$B$5:$B$304,MATCH(A301,Teachers!$A$5:$A$304,0)),"ID not found"))</f>
        <v/>
      </c>
      <c r="C301" s="85" t="str">
        <f aca="false">IF(A301="","",IFERROR(INDEX(Teachers!$E$5:$E$304,MATCH(A301,Teachers!$A$5:$A$304,0)),""))</f>
        <v/>
      </c>
      <c r="D301" s="101"/>
      <c r="E301" s="97"/>
      <c r="F301" s="97"/>
      <c r="G301" s="85" t="str">
        <f aca="false">IF(OR(A301="",D301=""),"",COUNTIFS('Staff Attendance'!$B$5:$B$304,A301,'Staff Attendance'!$E$5:$E$304,"A",'Staff Attendance'!$A$5:$A$304,"&gt;="&amp;D301,'Staff Attendance'!$A$5:$A$304,"&lt;"&amp;EDATE(D301,1)))</f>
        <v/>
      </c>
      <c r="H301" s="98" t="str">
        <f aca="false">IF(G301="","",ROUND(E301/Settings!$O$5*G301,0))</f>
        <v/>
      </c>
      <c r="I301" s="97"/>
      <c r="J301" s="98" t="str">
        <f aca="false">IF(OR(A301="",H301=""),"",E301+F301-H301-I301)</f>
        <v/>
      </c>
      <c r="K301" s="52"/>
    </row>
    <row r="302" customFormat="false" ht="19.5" hidden="false" customHeight="true" outlineLevel="0" collapsed="false">
      <c r="A302" s="52"/>
      <c r="B302" s="89" t="str">
        <f aca="false">IF(A302="","",IFERROR(INDEX(Teachers!$B$5:$B$304,MATCH(A302,Teachers!$A$5:$A$304,0)),"ID not found"))</f>
        <v/>
      </c>
      <c r="C302" s="85" t="str">
        <f aca="false">IF(A302="","",IFERROR(INDEX(Teachers!$E$5:$E$304,MATCH(A302,Teachers!$A$5:$A$304,0)),""))</f>
        <v/>
      </c>
      <c r="D302" s="101"/>
      <c r="E302" s="97"/>
      <c r="F302" s="97"/>
      <c r="G302" s="85" t="str">
        <f aca="false">IF(OR(A302="",D302=""),"",COUNTIFS('Staff Attendance'!$B$5:$B$304,A302,'Staff Attendance'!$E$5:$E$304,"A",'Staff Attendance'!$A$5:$A$304,"&gt;="&amp;D302,'Staff Attendance'!$A$5:$A$304,"&lt;"&amp;EDATE(D302,1)))</f>
        <v/>
      </c>
      <c r="H302" s="98" t="str">
        <f aca="false">IF(G302="","",ROUND(E302/Settings!$O$5*G302,0))</f>
        <v/>
      </c>
      <c r="I302" s="97"/>
      <c r="J302" s="98" t="str">
        <f aca="false">IF(OR(A302="",H302=""),"",E302+F302-H302-I302)</f>
        <v/>
      </c>
      <c r="K302" s="52"/>
    </row>
    <row r="303" customFormat="false" ht="19.5" hidden="false" customHeight="true" outlineLevel="0" collapsed="false">
      <c r="A303" s="52"/>
      <c r="B303" s="89" t="str">
        <f aca="false">IF(A303="","",IFERROR(INDEX(Teachers!$B$5:$B$304,MATCH(A303,Teachers!$A$5:$A$304,0)),"ID not found"))</f>
        <v/>
      </c>
      <c r="C303" s="85" t="str">
        <f aca="false">IF(A303="","",IFERROR(INDEX(Teachers!$E$5:$E$304,MATCH(A303,Teachers!$A$5:$A$304,0)),""))</f>
        <v/>
      </c>
      <c r="D303" s="101"/>
      <c r="E303" s="97"/>
      <c r="F303" s="97"/>
      <c r="G303" s="85" t="str">
        <f aca="false">IF(OR(A303="",D303=""),"",COUNTIFS('Staff Attendance'!$B$5:$B$304,A303,'Staff Attendance'!$E$5:$E$304,"A",'Staff Attendance'!$A$5:$A$304,"&gt;="&amp;D303,'Staff Attendance'!$A$5:$A$304,"&lt;"&amp;EDATE(D303,1)))</f>
        <v/>
      </c>
      <c r="H303" s="98" t="str">
        <f aca="false">IF(G303="","",ROUND(E303/Settings!$O$5*G303,0))</f>
        <v/>
      </c>
      <c r="I303" s="97"/>
      <c r="J303" s="98" t="str">
        <f aca="false">IF(OR(A303="",H303=""),"",E303+F303-H303-I303)</f>
        <v/>
      </c>
      <c r="K303" s="52"/>
    </row>
    <row r="304" customFormat="false" ht="19.5" hidden="false" customHeight="true" outlineLevel="0" collapsed="false">
      <c r="A304" s="52"/>
      <c r="B304" s="89" t="str">
        <f aca="false">IF(A304="","",IFERROR(INDEX(Teachers!$B$5:$B$304,MATCH(A304,Teachers!$A$5:$A$304,0)),"ID not found"))</f>
        <v/>
      </c>
      <c r="C304" s="85" t="str">
        <f aca="false">IF(A304="","",IFERROR(INDEX(Teachers!$E$5:$E$304,MATCH(A304,Teachers!$A$5:$A$304,0)),""))</f>
        <v/>
      </c>
      <c r="D304" s="101"/>
      <c r="E304" s="97"/>
      <c r="F304" s="97"/>
      <c r="G304" s="85" t="str">
        <f aca="false">IF(OR(A304="",D304=""),"",COUNTIFS('Staff Attendance'!$B$5:$B$304,A304,'Staff Attendance'!$E$5:$E$304,"A",'Staff Attendance'!$A$5:$A$304,"&gt;="&amp;D304,'Staff Attendance'!$A$5:$A$304,"&lt;"&amp;EDATE(D304,1)))</f>
        <v/>
      </c>
      <c r="H304" s="98" t="str">
        <f aca="false">IF(G304="","",ROUND(E304/Settings!$O$5*G304,0))</f>
        <v/>
      </c>
      <c r="I304" s="97"/>
      <c r="J304" s="98" t="str">
        <f aca="false">IF(OR(A304="",H304=""),"",E304+F304-H304-I304)</f>
        <v/>
      </c>
      <c r="K304" s="52"/>
    </row>
  </sheetData>
  <mergeCells count="3">
    <mergeCell ref="A1:K1"/>
    <mergeCell ref="A2:K2"/>
    <mergeCell ref="A3:K3"/>
  </mergeCells>
  <conditionalFormatting sqref="A5:K304">
    <cfRule type="expression" priority="2" aboveAverage="0" equalAverage="0" bottom="0" percent="0" rank="0" text="" dxfId="0">
      <formula>AND(MOD(ROW(),2)=0,$A5&lt;&gt;"")</formula>
    </cfRule>
  </conditionalFormatting>
  <conditionalFormatting sqref="K5:K304">
    <cfRule type="expression" priority="3" aboveAverage="0" equalAverage="0" bottom="0" percent="0" rank="0" text="" dxfId="6">
      <formula>$K5="Paid"</formula>
    </cfRule>
    <cfRule type="expression" priority="4" aboveAverage="0" equalAverage="0" bottom="0" percent="0" rank="0" text="" dxfId="7">
      <formula>$K5="Unpaid"</formula>
    </cfRule>
  </conditionalFormatting>
  <dataValidations count="2">
    <dataValidation allowBlank="true" error="Pick a Teacher ID from the Teachers tab." errorStyle="stop" errorTitle="Invalid entry" operator="between" showDropDown="false" showErrorMessage="true" showInputMessage="false" sqref="A5:A304" type="list">
      <formula1>Teachers!$A$5:$A$304</formula1>
      <formula2>0</formula2>
    </dataValidation>
    <dataValidation allowBlank="true" error="Choose from the list." errorStyle="stop" errorTitle="Invalid entry" operator="between" showDropDown="false" showErrorMessage="true" showInputMessage="false" sqref="K5:K304" type="list">
      <formula1>"Paid,Unpaid"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9A"/>
    <pageSetUpPr fitToPage="true"/>
  </sheetPr>
  <dimension ref="A1:G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12"/>
    <col collapsed="false" customWidth="true" hidden="false" outlineLevel="0" max="4" min="4" style="1" width="26"/>
    <col collapsed="false" customWidth="true" hidden="false" outlineLevel="0" max="5" min="5" style="1" width="30"/>
    <col collapsed="false" customWidth="true" hidden="false" outlineLevel="0" max="6" min="6" style="1" width="50"/>
    <col collapsed="false" customWidth="true" hidden="false" outlineLevel="0" max="7" min="7" style="1" width="34"/>
  </cols>
  <sheetData>
    <row r="1" customFormat="false" ht="42" hidden="false" customHeight="true" outlineLevel="0" collapsed="false">
      <c r="A1" s="2" t="s">
        <v>389</v>
      </c>
      <c r="B1" s="2"/>
      <c r="C1" s="2"/>
      <c r="D1" s="2"/>
      <c r="E1" s="2"/>
      <c r="F1" s="2"/>
      <c r="G1" s="2"/>
    </row>
    <row r="2" customFormat="false" ht="19.5" hidden="false" customHeight="true" outlineLevel="0" collapsed="false">
      <c r="A2" s="3" t="s">
        <v>390</v>
      </c>
      <c r="B2" s="3"/>
      <c r="C2" s="3"/>
      <c r="D2" s="3"/>
      <c r="E2" s="3"/>
      <c r="F2" s="3"/>
      <c r="G2" s="3"/>
    </row>
    <row r="3" customFormat="false" ht="3.75" hidden="false" customHeight="true" outlineLevel="0" collapsed="false">
      <c r="A3" s="4"/>
      <c r="B3" s="4"/>
      <c r="C3" s="4"/>
      <c r="D3" s="4"/>
      <c r="E3" s="4"/>
      <c r="F3" s="4"/>
      <c r="G3" s="4"/>
    </row>
    <row r="4" customFormat="false" ht="33.75" hidden="false" customHeight="true" outlineLevel="0" collapsed="false">
      <c r="A4" s="15" t="s">
        <v>192</v>
      </c>
      <c r="B4" s="15" t="s">
        <v>391</v>
      </c>
      <c r="C4" s="15" t="s">
        <v>392</v>
      </c>
      <c r="D4" s="15" t="s">
        <v>393</v>
      </c>
      <c r="E4" s="15" t="s">
        <v>394</v>
      </c>
      <c r="F4" s="15" t="s">
        <v>132</v>
      </c>
      <c r="G4" s="15" t="s">
        <v>331</v>
      </c>
    </row>
    <row r="5" customFormat="false" ht="19.5" hidden="false" customHeight="true" outlineLevel="0" collapsed="false">
      <c r="A5" s="102"/>
      <c r="B5" s="86"/>
      <c r="C5" s="86"/>
      <c r="D5" s="86"/>
      <c r="E5" s="86"/>
      <c r="F5" s="86"/>
      <c r="G5" s="86"/>
    </row>
    <row r="6" customFormat="false" ht="19.5" hidden="false" customHeight="true" outlineLevel="0" collapsed="false">
      <c r="A6" s="102"/>
      <c r="B6" s="86"/>
      <c r="C6" s="86"/>
      <c r="D6" s="86"/>
      <c r="E6" s="86"/>
      <c r="F6" s="86"/>
      <c r="G6" s="86"/>
    </row>
    <row r="7" customFormat="false" ht="19.5" hidden="false" customHeight="true" outlineLevel="0" collapsed="false">
      <c r="A7" s="102"/>
      <c r="B7" s="86"/>
      <c r="C7" s="86"/>
      <c r="D7" s="86"/>
      <c r="E7" s="86"/>
      <c r="F7" s="86"/>
      <c r="G7" s="86"/>
    </row>
    <row r="8" customFormat="false" ht="19.5" hidden="false" customHeight="true" outlineLevel="0" collapsed="false">
      <c r="A8" s="102"/>
      <c r="B8" s="86"/>
      <c r="C8" s="86"/>
      <c r="D8" s="86"/>
      <c r="E8" s="86"/>
      <c r="F8" s="86"/>
      <c r="G8" s="86"/>
    </row>
    <row r="9" customFormat="false" ht="19.5" hidden="false" customHeight="true" outlineLevel="0" collapsed="false">
      <c r="A9" s="102"/>
      <c r="B9" s="86"/>
      <c r="C9" s="86"/>
      <c r="D9" s="86"/>
      <c r="E9" s="86"/>
      <c r="F9" s="86"/>
      <c r="G9" s="86"/>
    </row>
    <row r="10" customFormat="false" ht="19.5" hidden="false" customHeight="true" outlineLevel="0" collapsed="false">
      <c r="A10" s="102"/>
      <c r="B10" s="86"/>
      <c r="C10" s="86"/>
      <c r="D10" s="86"/>
      <c r="E10" s="86"/>
      <c r="F10" s="86"/>
      <c r="G10" s="86"/>
    </row>
    <row r="11" customFormat="false" ht="19.5" hidden="false" customHeight="true" outlineLevel="0" collapsed="false">
      <c r="A11" s="102"/>
      <c r="B11" s="86"/>
      <c r="C11" s="86"/>
      <c r="D11" s="86"/>
      <c r="E11" s="86"/>
      <c r="F11" s="86"/>
      <c r="G11" s="86"/>
    </row>
    <row r="12" customFormat="false" ht="19.5" hidden="false" customHeight="true" outlineLevel="0" collapsed="false">
      <c r="A12" s="102"/>
      <c r="B12" s="86"/>
      <c r="C12" s="86"/>
      <c r="D12" s="86"/>
      <c r="E12" s="86"/>
      <c r="F12" s="86"/>
      <c r="G12" s="86"/>
    </row>
    <row r="13" customFormat="false" ht="19.5" hidden="false" customHeight="true" outlineLevel="0" collapsed="false">
      <c r="A13" s="102"/>
      <c r="B13" s="86"/>
      <c r="C13" s="86"/>
      <c r="D13" s="86"/>
      <c r="E13" s="86"/>
      <c r="F13" s="86"/>
      <c r="G13" s="86"/>
    </row>
    <row r="14" customFormat="false" ht="19.5" hidden="false" customHeight="true" outlineLevel="0" collapsed="false">
      <c r="A14" s="102"/>
      <c r="B14" s="86"/>
      <c r="C14" s="86"/>
      <c r="D14" s="86"/>
      <c r="E14" s="86"/>
      <c r="F14" s="86"/>
      <c r="G14" s="86"/>
    </row>
    <row r="15" customFormat="false" ht="19.5" hidden="false" customHeight="true" outlineLevel="0" collapsed="false">
      <c r="A15" s="102"/>
      <c r="B15" s="86"/>
      <c r="C15" s="86"/>
      <c r="D15" s="86"/>
      <c r="E15" s="86"/>
      <c r="F15" s="86"/>
      <c r="G15" s="86"/>
    </row>
    <row r="16" customFormat="false" ht="19.5" hidden="false" customHeight="true" outlineLevel="0" collapsed="false">
      <c r="A16" s="102"/>
      <c r="B16" s="86"/>
      <c r="C16" s="86"/>
      <c r="D16" s="86"/>
      <c r="E16" s="86"/>
      <c r="F16" s="86"/>
      <c r="G16" s="86"/>
    </row>
    <row r="17" customFormat="false" ht="19.5" hidden="false" customHeight="true" outlineLevel="0" collapsed="false">
      <c r="A17" s="102"/>
      <c r="B17" s="86"/>
      <c r="C17" s="86"/>
      <c r="D17" s="86"/>
      <c r="E17" s="86"/>
      <c r="F17" s="86"/>
      <c r="G17" s="86"/>
    </row>
    <row r="18" customFormat="false" ht="19.5" hidden="false" customHeight="true" outlineLevel="0" collapsed="false">
      <c r="A18" s="102"/>
      <c r="B18" s="86"/>
      <c r="C18" s="86"/>
      <c r="D18" s="86"/>
      <c r="E18" s="86"/>
      <c r="F18" s="86"/>
      <c r="G18" s="86"/>
    </row>
    <row r="19" customFormat="false" ht="19.5" hidden="false" customHeight="true" outlineLevel="0" collapsed="false">
      <c r="A19" s="102"/>
      <c r="B19" s="86"/>
      <c r="C19" s="86"/>
      <c r="D19" s="86"/>
      <c r="E19" s="86"/>
      <c r="F19" s="86"/>
      <c r="G19" s="86"/>
    </row>
    <row r="20" customFormat="false" ht="19.5" hidden="false" customHeight="true" outlineLevel="0" collapsed="false">
      <c r="A20" s="102"/>
      <c r="B20" s="86"/>
      <c r="C20" s="86"/>
      <c r="D20" s="86"/>
      <c r="E20" s="86"/>
      <c r="F20" s="86"/>
      <c r="G20" s="86"/>
    </row>
    <row r="21" customFormat="false" ht="19.5" hidden="false" customHeight="true" outlineLevel="0" collapsed="false">
      <c r="A21" s="102"/>
      <c r="B21" s="86"/>
      <c r="C21" s="86"/>
      <c r="D21" s="86"/>
      <c r="E21" s="86"/>
      <c r="F21" s="86"/>
      <c r="G21" s="86"/>
    </row>
    <row r="22" customFormat="false" ht="19.5" hidden="false" customHeight="true" outlineLevel="0" collapsed="false">
      <c r="A22" s="102"/>
      <c r="B22" s="86"/>
      <c r="C22" s="86"/>
      <c r="D22" s="86"/>
      <c r="E22" s="86"/>
      <c r="F22" s="86"/>
      <c r="G22" s="86"/>
    </row>
    <row r="23" customFormat="false" ht="19.5" hidden="false" customHeight="true" outlineLevel="0" collapsed="false">
      <c r="A23" s="102"/>
      <c r="B23" s="86"/>
      <c r="C23" s="86"/>
      <c r="D23" s="86"/>
      <c r="E23" s="86"/>
      <c r="F23" s="86"/>
      <c r="G23" s="86"/>
    </row>
    <row r="24" customFormat="false" ht="19.5" hidden="false" customHeight="true" outlineLevel="0" collapsed="false">
      <c r="A24" s="102"/>
      <c r="B24" s="86"/>
      <c r="C24" s="86"/>
      <c r="D24" s="86"/>
      <c r="E24" s="86"/>
      <c r="F24" s="86"/>
      <c r="G24" s="86"/>
    </row>
    <row r="25" customFormat="false" ht="19.5" hidden="false" customHeight="true" outlineLevel="0" collapsed="false">
      <c r="A25" s="102"/>
      <c r="B25" s="86"/>
      <c r="C25" s="86"/>
      <c r="D25" s="86"/>
      <c r="E25" s="86"/>
      <c r="F25" s="86"/>
      <c r="G25" s="86"/>
    </row>
    <row r="26" customFormat="false" ht="19.5" hidden="false" customHeight="true" outlineLevel="0" collapsed="false">
      <c r="A26" s="102"/>
      <c r="B26" s="86"/>
      <c r="C26" s="86"/>
      <c r="D26" s="86"/>
      <c r="E26" s="86"/>
      <c r="F26" s="86"/>
      <c r="G26" s="86"/>
    </row>
    <row r="27" customFormat="false" ht="19.5" hidden="false" customHeight="true" outlineLevel="0" collapsed="false">
      <c r="A27" s="102"/>
      <c r="B27" s="86"/>
      <c r="C27" s="86"/>
      <c r="D27" s="86"/>
      <c r="E27" s="86"/>
      <c r="F27" s="86"/>
      <c r="G27" s="86"/>
    </row>
    <row r="28" customFormat="false" ht="19.5" hidden="false" customHeight="true" outlineLevel="0" collapsed="false">
      <c r="A28" s="102"/>
      <c r="B28" s="86"/>
      <c r="C28" s="86"/>
      <c r="D28" s="86"/>
      <c r="E28" s="86"/>
      <c r="F28" s="86"/>
      <c r="G28" s="86"/>
    </row>
    <row r="29" customFormat="false" ht="19.5" hidden="false" customHeight="true" outlineLevel="0" collapsed="false">
      <c r="A29" s="102"/>
      <c r="B29" s="86"/>
      <c r="C29" s="86"/>
      <c r="D29" s="86"/>
      <c r="E29" s="86"/>
      <c r="F29" s="86"/>
      <c r="G29" s="86"/>
    </row>
    <row r="30" customFormat="false" ht="19.5" hidden="false" customHeight="true" outlineLevel="0" collapsed="false">
      <c r="A30" s="102"/>
      <c r="B30" s="86"/>
      <c r="C30" s="86"/>
      <c r="D30" s="86"/>
      <c r="E30" s="86"/>
      <c r="F30" s="86"/>
      <c r="G30" s="86"/>
    </row>
    <row r="31" customFormat="false" ht="19.5" hidden="false" customHeight="true" outlineLevel="0" collapsed="false">
      <c r="A31" s="102"/>
      <c r="B31" s="86"/>
      <c r="C31" s="86"/>
      <c r="D31" s="86"/>
      <c r="E31" s="86"/>
      <c r="F31" s="86"/>
      <c r="G31" s="86"/>
    </row>
    <row r="32" customFormat="false" ht="19.5" hidden="false" customHeight="true" outlineLevel="0" collapsed="false">
      <c r="A32" s="102"/>
      <c r="B32" s="86"/>
      <c r="C32" s="86"/>
      <c r="D32" s="86"/>
      <c r="E32" s="86"/>
      <c r="F32" s="86"/>
      <c r="G32" s="86"/>
    </row>
    <row r="33" customFormat="false" ht="19.5" hidden="false" customHeight="true" outlineLevel="0" collapsed="false">
      <c r="A33" s="102"/>
      <c r="B33" s="86"/>
      <c r="C33" s="86"/>
      <c r="D33" s="86"/>
      <c r="E33" s="86"/>
      <c r="F33" s="86"/>
      <c r="G33" s="86"/>
    </row>
    <row r="34" customFormat="false" ht="19.5" hidden="false" customHeight="true" outlineLevel="0" collapsed="false">
      <c r="A34" s="102"/>
      <c r="B34" s="86"/>
      <c r="C34" s="86"/>
      <c r="D34" s="86"/>
      <c r="E34" s="86"/>
      <c r="F34" s="86"/>
      <c r="G34" s="86"/>
    </row>
    <row r="35" customFormat="false" ht="19.5" hidden="false" customHeight="true" outlineLevel="0" collapsed="false">
      <c r="A35" s="102"/>
      <c r="B35" s="86"/>
      <c r="C35" s="86"/>
      <c r="D35" s="86"/>
      <c r="E35" s="86"/>
      <c r="F35" s="86"/>
      <c r="G35" s="86"/>
    </row>
    <row r="36" customFormat="false" ht="19.5" hidden="false" customHeight="true" outlineLevel="0" collapsed="false">
      <c r="A36" s="102"/>
      <c r="B36" s="86"/>
      <c r="C36" s="86"/>
      <c r="D36" s="86"/>
      <c r="E36" s="86"/>
      <c r="F36" s="86"/>
      <c r="G36" s="86"/>
    </row>
    <row r="37" customFormat="false" ht="19.5" hidden="false" customHeight="true" outlineLevel="0" collapsed="false">
      <c r="A37" s="102"/>
      <c r="B37" s="86"/>
      <c r="C37" s="86"/>
      <c r="D37" s="86"/>
      <c r="E37" s="86"/>
      <c r="F37" s="86"/>
      <c r="G37" s="86"/>
    </row>
    <row r="38" customFormat="false" ht="19.5" hidden="false" customHeight="true" outlineLevel="0" collapsed="false">
      <c r="A38" s="102"/>
      <c r="B38" s="86"/>
      <c r="C38" s="86"/>
      <c r="D38" s="86"/>
      <c r="E38" s="86"/>
      <c r="F38" s="86"/>
      <c r="G38" s="86"/>
    </row>
    <row r="39" customFormat="false" ht="19.5" hidden="false" customHeight="true" outlineLevel="0" collapsed="false">
      <c r="A39" s="102"/>
      <c r="B39" s="86"/>
      <c r="C39" s="86"/>
      <c r="D39" s="86"/>
      <c r="E39" s="86"/>
      <c r="F39" s="86"/>
      <c r="G39" s="86"/>
    </row>
    <row r="40" customFormat="false" ht="19.5" hidden="false" customHeight="true" outlineLevel="0" collapsed="false">
      <c r="A40" s="102"/>
      <c r="B40" s="86"/>
      <c r="C40" s="86"/>
      <c r="D40" s="86"/>
      <c r="E40" s="86"/>
      <c r="F40" s="86"/>
      <c r="G40" s="86"/>
    </row>
    <row r="41" customFormat="false" ht="19.5" hidden="false" customHeight="true" outlineLevel="0" collapsed="false">
      <c r="A41" s="102"/>
      <c r="B41" s="86"/>
      <c r="C41" s="86"/>
      <c r="D41" s="86"/>
      <c r="E41" s="86"/>
      <c r="F41" s="86"/>
      <c r="G41" s="86"/>
    </row>
    <row r="42" customFormat="false" ht="19.5" hidden="false" customHeight="true" outlineLevel="0" collapsed="false">
      <c r="A42" s="102"/>
      <c r="B42" s="86"/>
      <c r="C42" s="86"/>
      <c r="D42" s="86"/>
      <c r="E42" s="86"/>
      <c r="F42" s="86"/>
      <c r="G42" s="86"/>
    </row>
    <row r="43" customFormat="false" ht="19.5" hidden="false" customHeight="true" outlineLevel="0" collapsed="false">
      <c r="A43" s="102"/>
      <c r="B43" s="86"/>
      <c r="C43" s="86"/>
      <c r="D43" s="86"/>
      <c r="E43" s="86"/>
      <c r="F43" s="86"/>
      <c r="G43" s="86"/>
    </row>
    <row r="44" customFormat="false" ht="19.5" hidden="false" customHeight="true" outlineLevel="0" collapsed="false">
      <c r="A44" s="102"/>
      <c r="B44" s="86"/>
      <c r="C44" s="86"/>
      <c r="D44" s="86"/>
      <c r="E44" s="86"/>
      <c r="F44" s="86"/>
      <c r="G44" s="86"/>
    </row>
    <row r="45" customFormat="false" ht="19.5" hidden="false" customHeight="true" outlineLevel="0" collapsed="false">
      <c r="A45" s="102"/>
      <c r="B45" s="86"/>
      <c r="C45" s="86"/>
      <c r="D45" s="86"/>
      <c r="E45" s="86"/>
      <c r="F45" s="86"/>
      <c r="G45" s="86"/>
    </row>
    <row r="46" customFormat="false" ht="19.5" hidden="false" customHeight="true" outlineLevel="0" collapsed="false">
      <c r="A46" s="102"/>
      <c r="B46" s="86"/>
      <c r="C46" s="86"/>
      <c r="D46" s="86"/>
      <c r="E46" s="86"/>
      <c r="F46" s="86"/>
      <c r="G46" s="86"/>
    </row>
    <row r="47" customFormat="false" ht="19.5" hidden="false" customHeight="true" outlineLevel="0" collapsed="false">
      <c r="A47" s="102"/>
      <c r="B47" s="86"/>
      <c r="C47" s="86"/>
      <c r="D47" s="86"/>
      <c r="E47" s="86"/>
      <c r="F47" s="86"/>
      <c r="G47" s="86"/>
    </row>
    <row r="48" customFormat="false" ht="19.5" hidden="false" customHeight="true" outlineLevel="0" collapsed="false">
      <c r="A48" s="102"/>
      <c r="B48" s="86"/>
      <c r="C48" s="86"/>
      <c r="D48" s="86"/>
      <c r="E48" s="86"/>
      <c r="F48" s="86"/>
      <c r="G48" s="86"/>
    </row>
    <row r="49" customFormat="false" ht="19.5" hidden="false" customHeight="true" outlineLevel="0" collapsed="false">
      <c r="A49" s="102"/>
      <c r="B49" s="86"/>
      <c r="C49" s="86"/>
      <c r="D49" s="86"/>
      <c r="E49" s="86"/>
      <c r="F49" s="86"/>
      <c r="G49" s="86"/>
    </row>
    <row r="50" customFormat="false" ht="19.5" hidden="false" customHeight="true" outlineLevel="0" collapsed="false">
      <c r="A50" s="102"/>
      <c r="B50" s="86"/>
      <c r="C50" s="86"/>
      <c r="D50" s="86"/>
      <c r="E50" s="86"/>
      <c r="F50" s="86"/>
      <c r="G50" s="86"/>
    </row>
    <row r="51" customFormat="false" ht="19.5" hidden="false" customHeight="true" outlineLevel="0" collapsed="false">
      <c r="A51" s="102"/>
      <c r="B51" s="86"/>
      <c r="C51" s="86"/>
      <c r="D51" s="86"/>
      <c r="E51" s="86"/>
      <c r="F51" s="86"/>
      <c r="G51" s="86"/>
    </row>
    <row r="52" customFormat="false" ht="19.5" hidden="false" customHeight="true" outlineLevel="0" collapsed="false">
      <c r="A52" s="102"/>
      <c r="B52" s="86"/>
      <c r="C52" s="86"/>
      <c r="D52" s="86"/>
      <c r="E52" s="86"/>
      <c r="F52" s="86"/>
      <c r="G52" s="86"/>
    </row>
    <row r="53" customFormat="false" ht="19.5" hidden="false" customHeight="true" outlineLevel="0" collapsed="false">
      <c r="A53" s="102"/>
      <c r="B53" s="86"/>
      <c r="C53" s="86"/>
      <c r="D53" s="86"/>
      <c r="E53" s="86"/>
      <c r="F53" s="86"/>
      <c r="G53" s="86"/>
    </row>
    <row r="54" customFormat="false" ht="19.5" hidden="false" customHeight="true" outlineLevel="0" collapsed="false">
      <c r="A54" s="102"/>
      <c r="B54" s="86"/>
      <c r="C54" s="86"/>
      <c r="D54" s="86"/>
      <c r="E54" s="86"/>
      <c r="F54" s="86"/>
      <c r="G54" s="86"/>
    </row>
    <row r="55" customFormat="false" ht="19.5" hidden="false" customHeight="true" outlineLevel="0" collapsed="false">
      <c r="A55" s="102"/>
      <c r="B55" s="86"/>
      <c r="C55" s="86"/>
      <c r="D55" s="86"/>
      <c r="E55" s="86"/>
      <c r="F55" s="86"/>
      <c r="G55" s="86"/>
    </row>
    <row r="56" customFormat="false" ht="19.5" hidden="false" customHeight="true" outlineLevel="0" collapsed="false">
      <c r="A56" s="102"/>
      <c r="B56" s="86"/>
      <c r="C56" s="86"/>
      <c r="D56" s="86"/>
      <c r="E56" s="86"/>
      <c r="F56" s="86"/>
      <c r="G56" s="86"/>
    </row>
    <row r="57" customFormat="false" ht="19.5" hidden="false" customHeight="true" outlineLevel="0" collapsed="false">
      <c r="A57" s="102"/>
      <c r="B57" s="86"/>
      <c r="C57" s="86"/>
      <c r="D57" s="86"/>
      <c r="E57" s="86"/>
      <c r="F57" s="86"/>
      <c r="G57" s="86"/>
    </row>
    <row r="58" customFormat="false" ht="19.5" hidden="false" customHeight="true" outlineLevel="0" collapsed="false">
      <c r="A58" s="102"/>
      <c r="B58" s="86"/>
      <c r="C58" s="86"/>
      <c r="D58" s="86"/>
      <c r="E58" s="86"/>
      <c r="F58" s="86"/>
      <c r="G58" s="86"/>
    </row>
    <row r="59" customFormat="false" ht="19.5" hidden="false" customHeight="true" outlineLevel="0" collapsed="false">
      <c r="A59" s="102"/>
      <c r="B59" s="86"/>
      <c r="C59" s="86"/>
      <c r="D59" s="86"/>
      <c r="E59" s="86"/>
      <c r="F59" s="86"/>
      <c r="G59" s="86"/>
    </row>
    <row r="60" customFormat="false" ht="19.5" hidden="false" customHeight="true" outlineLevel="0" collapsed="false">
      <c r="A60" s="102"/>
      <c r="B60" s="86"/>
      <c r="C60" s="86"/>
      <c r="D60" s="86"/>
      <c r="E60" s="86"/>
      <c r="F60" s="86"/>
      <c r="G60" s="86"/>
    </row>
    <row r="61" customFormat="false" ht="19.5" hidden="false" customHeight="true" outlineLevel="0" collapsed="false">
      <c r="A61" s="102"/>
      <c r="B61" s="86"/>
      <c r="C61" s="86"/>
      <c r="D61" s="86"/>
      <c r="E61" s="86"/>
      <c r="F61" s="86"/>
      <c r="G61" s="86"/>
    </row>
    <row r="62" customFormat="false" ht="19.5" hidden="false" customHeight="true" outlineLevel="0" collapsed="false">
      <c r="A62" s="102"/>
      <c r="B62" s="86"/>
      <c r="C62" s="86"/>
      <c r="D62" s="86"/>
      <c r="E62" s="86"/>
      <c r="F62" s="86"/>
      <c r="G62" s="86"/>
    </row>
    <row r="63" customFormat="false" ht="19.5" hidden="false" customHeight="true" outlineLevel="0" collapsed="false">
      <c r="A63" s="102"/>
      <c r="B63" s="86"/>
      <c r="C63" s="86"/>
      <c r="D63" s="86"/>
      <c r="E63" s="86"/>
      <c r="F63" s="86"/>
      <c r="G63" s="86"/>
    </row>
    <row r="64" customFormat="false" ht="19.5" hidden="false" customHeight="true" outlineLevel="0" collapsed="false">
      <c r="A64" s="102"/>
      <c r="B64" s="86"/>
      <c r="C64" s="86"/>
      <c r="D64" s="86"/>
      <c r="E64" s="86"/>
      <c r="F64" s="86"/>
      <c r="G64" s="86"/>
    </row>
    <row r="65" customFormat="false" ht="19.5" hidden="false" customHeight="true" outlineLevel="0" collapsed="false">
      <c r="A65" s="102"/>
      <c r="B65" s="86"/>
      <c r="C65" s="86"/>
      <c r="D65" s="86"/>
      <c r="E65" s="86"/>
      <c r="F65" s="86"/>
      <c r="G65" s="86"/>
    </row>
    <row r="66" customFormat="false" ht="19.5" hidden="false" customHeight="true" outlineLevel="0" collapsed="false">
      <c r="A66" s="102"/>
      <c r="B66" s="86"/>
      <c r="C66" s="86"/>
      <c r="D66" s="86"/>
      <c r="E66" s="86"/>
      <c r="F66" s="86"/>
      <c r="G66" s="86"/>
    </row>
    <row r="67" customFormat="false" ht="19.5" hidden="false" customHeight="true" outlineLevel="0" collapsed="false">
      <c r="A67" s="102"/>
      <c r="B67" s="86"/>
      <c r="C67" s="86"/>
      <c r="D67" s="86"/>
      <c r="E67" s="86"/>
      <c r="F67" s="86"/>
      <c r="G67" s="86"/>
    </row>
    <row r="68" customFormat="false" ht="19.5" hidden="false" customHeight="true" outlineLevel="0" collapsed="false">
      <c r="A68" s="102"/>
      <c r="B68" s="86"/>
      <c r="C68" s="86"/>
      <c r="D68" s="86"/>
      <c r="E68" s="86"/>
      <c r="F68" s="86"/>
      <c r="G68" s="86"/>
    </row>
    <row r="69" customFormat="false" ht="19.5" hidden="false" customHeight="true" outlineLevel="0" collapsed="false">
      <c r="A69" s="102"/>
      <c r="B69" s="86"/>
      <c r="C69" s="86"/>
      <c r="D69" s="86"/>
      <c r="E69" s="86"/>
      <c r="F69" s="86"/>
      <c r="G69" s="86"/>
    </row>
    <row r="70" customFormat="false" ht="19.5" hidden="false" customHeight="true" outlineLevel="0" collapsed="false">
      <c r="A70" s="102"/>
      <c r="B70" s="86"/>
      <c r="C70" s="86"/>
      <c r="D70" s="86"/>
      <c r="E70" s="86"/>
      <c r="F70" s="86"/>
      <c r="G70" s="86"/>
    </row>
    <row r="71" customFormat="false" ht="19.5" hidden="false" customHeight="true" outlineLevel="0" collapsed="false">
      <c r="A71" s="102"/>
      <c r="B71" s="86"/>
      <c r="C71" s="86"/>
      <c r="D71" s="86"/>
      <c r="E71" s="86"/>
      <c r="F71" s="86"/>
      <c r="G71" s="86"/>
    </row>
    <row r="72" customFormat="false" ht="19.5" hidden="false" customHeight="true" outlineLevel="0" collapsed="false">
      <c r="A72" s="102"/>
      <c r="B72" s="86"/>
      <c r="C72" s="86"/>
      <c r="D72" s="86"/>
      <c r="E72" s="86"/>
      <c r="F72" s="86"/>
      <c r="G72" s="86"/>
    </row>
    <row r="73" customFormat="false" ht="19.5" hidden="false" customHeight="true" outlineLevel="0" collapsed="false">
      <c r="A73" s="102"/>
      <c r="B73" s="86"/>
      <c r="C73" s="86"/>
      <c r="D73" s="86"/>
      <c r="E73" s="86"/>
      <c r="F73" s="86"/>
      <c r="G73" s="86"/>
    </row>
    <row r="74" customFormat="false" ht="19.5" hidden="false" customHeight="true" outlineLevel="0" collapsed="false">
      <c r="A74" s="102"/>
      <c r="B74" s="86"/>
      <c r="C74" s="86"/>
      <c r="D74" s="86"/>
      <c r="E74" s="86"/>
      <c r="F74" s="86"/>
      <c r="G74" s="86"/>
    </row>
    <row r="75" customFormat="false" ht="19.5" hidden="false" customHeight="true" outlineLevel="0" collapsed="false">
      <c r="A75" s="102"/>
      <c r="B75" s="86"/>
      <c r="C75" s="86"/>
      <c r="D75" s="86"/>
      <c r="E75" s="86"/>
      <c r="F75" s="86"/>
      <c r="G75" s="86"/>
    </row>
    <row r="76" customFormat="false" ht="19.5" hidden="false" customHeight="true" outlineLevel="0" collapsed="false">
      <c r="A76" s="102"/>
      <c r="B76" s="86"/>
      <c r="C76" s="86"/>
      <c r="D76" s="86"/>
      <c r="E76" s="86"/>
      <c r="F76" s="86"/>
      <c r="G76" s="86"/>
    </row>
    <row r="77" customFormat="false" ht="19.5" hidden="false" customHeight="true" outlineLevel="0" collapsed="false">
      <c r="A77" s="102"/>
      <c r="B77" s="86"/>
      <c r="C77" s="86"/>
      <c r="D77" s="86"/>
      <c r="E77" s="86"/>
      <c r="F77" s="86"/>
      <c r="G77" s="86"/>
    </row>
    <row r="78" customFormat="false" ht="19.5" hidden="false" customHeight="true" outlineLevel="0" collapsed="false">
      <c r="A78" s="102"/>
      <c r="B78" s="86"/>
      <c r="C78" s="86"/>
      <c r="D78" s="86"/>
      <c r="E78" s="86"/>
      <c r="F78" s="86"/>
      <c r="G78" s="86"/>
    </row>
    <row r="79" customFormat="false" ht="19.5" hidden="false" customHeight="true" outlineLevel="0" collapsed="false">
      <c r="A79" s="102"/>
      <c r="B79" s="86"/>
      <c r="C79" s="86"/>
      <c r="D79" s="86"/>
      <c r="E79" s="86"/>
      <c r="F79" s="86"/>
      <c r="G79" s="86"/>
    </row>
    <row r="80" customFormat="false" ht="19.5" hidden="false" customHeight="true" outlineLevel="0" collapsed="false">
      <c r="A80" s="102"/>
      <c r="B80" s="86"/>
      <c r="C80" s="86"/>
      <c r="D80" s="86"/>
      <c r="E80" s="86"/>
      <c r="F80" s="86"/>
      <c r="G80" s="86"/>
    </row>
    <row r="81" customFormat="false" ht="19.5" hidden="false" customHeight="true" outlineLevel="0" collapsed="false">
      <c r="A81" s="102"/>
      <c r="B81" s="86"/>
      <c r="C81" s="86"/>
      <c r="D81" s="86"/>
      <c r="E81" s="86"/>
      <c r="F81" s="86"/>
      <c r="G81" s="86"/>
    </row>
    <row r="82" customFormat="false" ht="19.5" hidden="false" customHeight="true" outlineLevel="0" collapsed="false">
      <c r="A82" s="102"/>
      <c r="B82" s="86"/>
      <c r="C82" s="86"/>
      <c r="D82" s="86"/>
      <c r="E82" s="86"/>
      <c r="F82" s="86"/>
      <c r="G82" s="86"/>
    </row>
    <row r="83" customFormat="false" ht="19.5" hidden="false" customHeight="true" outlineLevel="0" collapsed="false">
      <c r="A83" s="102"/>
      <c r="B83" s="86"/>
      <c r="C83" s="86"/>
      <c r="D83" s="86"/>
      <c r="E83" s="86"/>
      <c r="F83" s="86"/>
      <c r="G83" s="86"/>
    </row>
    <row r="84" customFormat="false" ht="19.5" hidden="false" customHeight="true" outlineLevel="0" collapsed="false">
      <c r="A84" s="102"/>
      <c r="B84" s="86"/>
      <c r="C84" s="86"/>
      <c r="D84" s="86"/>
      <c r="E84" s="86"/>
      <c r="F84" s="86"/>
      <c r="G84" s="86"/>
    </row>
    <row r="85" customFormat="false" ht="19.5" hidden="false" customHeight="true" outlineLevel="0" collapsed="false">
      <c r="A85" s="102"/>
      <c r="B85" s="86"/>
      <c r="C85" s="86"/>
      <c r="D85" s="86"/>
      <c r="E85" s="86"/>
      <c r="F85" s="86"/>
      <c r="G85" s="86"/>
    </row>
    <row r="86" customFormat="false" ht="19.5" hidden="false" customHeight="true" outlineLevel="0" collapsed="false">
      <c r="A86" s="102"/>
      <c r="B86" s="86"/>
      <c r="C86" s="86"/>
      <c r="D86" s="86"/>
      <c r="E86" s="86"/>
      <c r="F86" s="86"/>
      <c r="G86" s="86"/>
    </row>
    <row r="87" customFormat="false" ht="19.5" hidden="false" customHeight="true" outlineLevel="0" collapsed="false">
      <c r="A87" s="102"/>
      <c r="B87" s="86"/>
      <c r="C87" s="86"/>
      <c r="D87" s="86"/>
      <c r="E87" s="86"/>
      <c r="F87" s="86"/>
      <c r="G87" s="86"/>
    </row>
    <row r="88" customFormat="false" ht="19.5" hidden="false" customHeight="true" outlineLevel="0" collapsed="false">
      <c r="A88" s="102"/>
      <c r="B88" s="86"/>
      <c r="C88" s="86"/>
      <c r="D88" s="86"/>
      <c r="E88" s="86"/>
      <c r="F88" s="86"/>
      <c r="G88" s="86"/>
    </row>
    <row r="89" customFormat="false" ht="19.5" hidden="false" customHeight="true" outlineLevel="0" collapsed="false">
      <c r="A89" s="102"/>
      <c r="B89" s="86"/>
      <c r="C89" s="86"/>
      <c r="D89" s="86"/>
      <c r="E89" s="86"/>
      <c r="F89" s="86"/>
      <c r="G89" s="86"/>
    </row>
    <row r="90" customFormat="false" ht="19.5" hidden="false" customHeight="true" outlineLevel="0" collapsed="false">
      <c r="A90" s="102"/>
      <c r="B90" s="86"/>
      <c r="C90" s="86"/>
      <c r="D90" s="86"/>
      <c r="E90" s="86"/>
      <c r="F90" s="86"/>
      <c r="G90" s="86"/>
    </row>
    <row r="91" customFormat="false" ht="19.5" hidden="false" customHeight="true" outlineLevel="0" collapsed="false">
      <c r="A91" s="102"/>
      <c r="B91" s="86"/>
      <c r="C91" s="86"/>
      <c r="D91" s="86"/>
      <c r="E91" s="86"/>
      <c r="F91" s="86"/>
      <c r="G91" s="86"/>
    </row>
    <row r="92" customFormat="false" ht="19.5" hidden="false" customHeight="true" outlineLevel="0" collapsed="false">
      <c r="A92" s="102"/>
      <c r="B92" s="86"/>
      <c r="C92" s="86"/>
      <c r="D92" s="86"/>
      <c r="E92" s="86"/>
      <c r="F92" s="86"/>
      <c r="G92" s="86"/>
    </row>
    <row r="93" customFormat="false" ht="19.5" hidden="false" customHeight="true" outlineLevel="0" collapsed="false">
      <c r="A93" s="102"/>
      <c r="B93" s="86"/>
      <c r="C93" s="86"/>
      <c r="D93" s="86"/>
      <c r="E93" s="86"/>
      <c r="F93" s="86"/>
      <c r="G93" s="86"/>
    </row>
    <row r="94" customFormat="false" ht="19.5" hidden="false" customHeight="true" outlineLevel="0" collapsed="false">
      <c r="A94" s="102"/>
      <c r="B94" s="86"/>
      <c r="C94" s="86"/>
      <c r="D94" s="86"/>
      <c r="E94" s="86"/>
      <c r="F94" s="86"/>
      <c r="G94" s="86"/>
    </row>
    <row r="95" customFormat="false" ht="19.5" hidden="false" customHeight="true" outlineLevel="0" collapsed="false">
      <c r="A95" s="102"/>
      <c r="B95" s="86"/>
      <c r="C95" s="86"/>
      <c r="D95" s="86"/>
      <c r="E95" s="86"/>
      <c r="F95" s="86"/>
      <c r="G95" s="86"/>
    </row>
    <row r="96" customFormat="false" ht="19.5" hidden="false" customHeight="true" outlineLevel="0" collapsed="false">
      <c r="A96" s="102"/>
      <c r="B96" s="86"/>
      <c r="C96" s="86"/>
      <c r="D96" s="86"/>
      <c r="E96" s="86"/>
      <c r="F96" s="86"/>
      <c r="G96" s="86"/>
    </row>
    <row r="97" customFormat="false" ht="19.5" hidden="false" customHeight="true" outlineLevel="0" collapsed="false">
      <c r="A97" s="102"/>
      <c r="B97" s="86"/>
      <c r="C97" s="86"/>
      <c r="D97" s="86"/>
      <c r="E97" s="86"/>
      <c r="F97" s="86"/>
      <c r="G97" s="86"/>
    </row>
    <row r="98" customFormat="false" ht="19.5" hidden="false" customHeight="true" outlineLevel="0" collapsed="false">
      <c r="A98" s="102"/>
      <c r="B98" s="86"/>
      <c r="C98" s="86"/>
      <c r="D98" s="86"/>
      <c r="E98" s="86"/>
      <c r="F98" s="86"/>
      <c r="G98" s="86"/>
    </row>
    <row r="99" customFormat="false" ht="19.5" hidden="false" customHeight="true" outlineLevel="0" collapsed="false">
      <c r="A99" s="102"/>
      <c r="B99" s="86"/>
      <c r="C99" s="86"/>
      <c r="D99" s="86"/>
      <c r="E99" s="86"/>
      <c r="F99" s="86"/>
      <c r="G99" s="86"/>
    </row>
    <row r="100" customFormat="false" ht="19.5" hidden="false" customHeight="true" outlineLevel="0" collapsed="false">
      <c r="A100" s="102"/>
      <c r="B100" s="86"/>
      <c r="C100" s="86"/>
      <c r="D100" s="86"/>
      <c r="E100" s="86"/>
      <c r="F100" s="86"/>
      <c r="G100" s="86"/>
    </row>
    <row r="101" customFormat="false" ht="19.5" hidden="false" customHeight="true" outlineLevel="0" collapsed="false">
      <c r="A101" s="102"/>
      <c r="B101" s="86"/>
      <c r="C101" s="86"/>
      <c r="D101" s="86"/>
      <c r="E101" s="86"/>
      <c r="F101" s="86"/>
      <c r="G101" s="86"/>
    </row>
    <row r="102" customFormat="false" ht="19.5" hidden="false" customHeight="true" outlineLevel="0" collapsed="false">
      <c r="A102" s="102"/>
      <c r="B102" s="86"/>
      <c r="C102" s="86"/>
      <c r="D102" s="86"/>
      <c r="E102" s="86"/>
      <c r="F102" s="86"/>
      <c r="G102" s="86"/>
    </row>
    <row r="103" customFormat="false" ht="19.5" hidden="false" customHeight="true" outlineLevel="0" collapsed="false">
      <c r="A103" s="102"/>
      <c r="B103" s="86"/>
      <c r="C103" s="86"/>
      <c r="D103" s="86"/>
      <c r="E103" s="86"/>
      <c r="F103" s="86"/>
      <c r="G103" s="86"/>
    </row>
    <row r="104" customFormat="false" ht="19.5" hidden="false" customHeight="true" outlineLevel="0" collapsed="false">
      <c r="A104" s="102"/>
      <c r="B104" s="86"/>
      <c r="C104" s="86"/>
      <c r="D104" s="86"/>
      <c r="E104" s="86"/>
      <c r="F104" s="86"/>
      <c r="G104" s="86"/>
    </row>
    <row r="105" customFormat="false" ht="19.5" hidden="false" customHeight="true" outlineLevel="0" collapsed="false">
      <c r="A105" s="102"/>
      <c r="B105" s="86"/>
      <c r="C105" s="86"/>
      <c r="D105" s="86"/>
      <c r="E105" s="86"/>
      <c r="F105" s="86"/>
      <c r="G105" s="86"/>
    </row>
    <row r="106" customFormat="false" ht="19.5" hidden="false" customHeight="true" outlineLevel="0" collapsed="false">
      <c r="A106" s="102"/>
      <c r="B106" s="86"/>
      <c r="C106" s="86"/>
      <c r="D106" s="86"/>
      <c r="E106" s="86"/>
      <c r="F106" s="86"/>
      <c r="G106" s="86"/>
    </row>
    <row r="107" customFormat="false" ht="19.5" hidden="false" customHeight="true" outlineLevel="0" collapsed="false">
      <c r="A107" s="102"/>
      <c r="B107" s="86"/>
      <c r="C107" s="86"/>
      <c r="D107" s="86"/>
      <c r="E107" s="86"/>
      <c r="F107" s="86"/>
      <c r="G107" s="86"/>
    </row>
    <row r="108" customFormat="false" ht="19.5" hidden="false" customHeight="true" outlineLevel="0" collapsed="false">
      <c r="A108" s="102"/>
      <c r="B108" s="86"/>
      <c r="C108" s="86"/>
      <c r="D108" s="86"/>
      <c r="E108" s="86"/>
      <c r="F108" s="86"/>
      <c r="G108" s="86"/>
    </row>
    <row r="109" customFormat="false" ht="19.5" hidden="false" customHeight="true" outlineLevel="0" collapsed="false">
      <c r="A109" s="102"/>
      <c r="B109" s="86"/>
      <c r="C109" s="86"/>
      <c r="D109" s="86"/>
      <c r="E109" s="86"/>
      <c r="F109" s="86"/>
      <c r="G109" s="86"/>
    </row>
    <row r="110" customFormat="false" ht="19.5" hidden="false" customHeight="true" outlineLevel="0" collapsed="false">
      <c r="A110" s="102"/>
      <c r="B110" s="86"/>
      <c r="C110" s="86"/>
      <c r="D110" s="86"/>
      <c r="E110" s="86"/>
      <c r="F110" s="86"/>
      <c r="G110" s="86"/>
    </row>
    <row r="111" customFormat="false" ht="19.5" hidden="false" customHeight="true" outlineLevel="0" collapsed="false">
      <c r="A111" s="102"/>
      <c r="B111" s="86"/>
      <c r="C111" s="86"/>
      <c r="D111" s="86"/>
      <c r="E111" s="86"/>
      <c r="F111" s="86"/>
      <c r="G111" s="86"/>
    </row>
    <row r="112" customFormat="false" ht="19.5" hidden="false" customHeight="true" outlineLevel="0" collapsed="false">
      <c r="A112" s="102"/>
      <c r="B112" s="86"/>
      <c r="C112" s="86"/>
      <c r="D112" s="86"/>
      <c r="E112" s="86"/>
      <c r="F112" s="86"/>
      <c r="G112" s="86"/>
    </row>
    <row r="113" customFormat="false" ht="19.5" hidden="false" customHeight="true" outlineLevel="0" collapsed="false">
      <c r="A113" s="102"/>
      <c r="B113" s="86"/>
      <c r="C113" s="86"/>
      <c r="D113" s="86"/>
      <c r="E113" s="86"/>
      <c r="F113" s="86"/>
      <c r="G113" s="86"/>
    </row>
    <row r="114" customFormat="false" ht="19.5" hidden="false" customHeight="true" outlineLevel="0" collapsed="false">
      <c r="A114" s="102"/>
      <c r="B114" s="86"/>
      <c r="C114" s="86"/>
      <c r="D114" s="86"/>
      <c r="E114" s="86"/>
      <c r="F114" s="86"/>
      <c r="G114" s="86"/>
    </row>
    <row r="115" customFormat="false" ht="19.5" hidden="false" customHeight="true" outlineLevel="0" collapsed="false">
      <c r="A115" s="102"/>
      <c r="B115" s="86"/>
      <c r="C115" s="86"/>
      <c r="D115" s="86"/>
      <c r="E115" s="86"/>
      <c r="F115" s="86"/>
      <c r="G115" s="86"/>
    </row>
    <row r="116" customFormat="false" ht="19.5" hidden="false" customHeight="true" outlineLevel="0" collapsed="false">
      <c r="A116" s="102"/>
      <c r="B116" s="86"/>
      <c r="C116" s="86"/>
      <c r="D116" s="86"/>
      <c r="E116" s="86"/>
      <c r="F116" s="86"/>
      <c r="G116" s="86"/>
    </row>
    <row r="117" customFormat="false" ht="19.5" hidden="false" customHeight="true" outlineLevel="0" collapsed="false">
      <c r="A117" s="102"/>
      <c r="B117" s="86"/>
      <c r="C117" s="86"/>
      <c r="D117" s="86"/>
      <c r="E117" s="86"/>
      <c r="F117" s="86"/>
      <c r="G117" s="86"/>
    </row>
    <row r="118" customFormat="false" ht="19.5" hidden="false" customHeight="true" outlineLevel="0" collapsed="false">
      <c r="A118" s="102"/>
      <c r="B118" s="86"/>
      <c r="C118" s="86"/>
      <c r="D118" s="86"/>
      <c r="E118" s="86"/>
      <c r="F118" s="86"/>
      <c r="G118" s="86"/>
    </row>
    <row r="119" customFormat="false" ht="19.5" hidden="false" customHeight="true" outlineLevel="0" collapsed="false">
      <c r="A119" s="102"/>
      <c r="B119" s="86"/>
      <c r="C119" s="86"/>
      <c r="D119" s="86"/>
      <c r="E119" s="86"/>
      <c r="F119" s="86"/>
      <c r="G119" s="86"/>
    </row>
    <row r="120" customFormat="false" ht="19.5" hidden="false" customHeight="true" outlineLevel="0" collapsed="false">
      <c r="A120" s="102"/>
      <c r="B120" s="86"/>
      <c r="C120" s="86"/>
      <c r="D120" s="86"/>
      <c r="E120" s="86"/>
      <c r="F120" s="86"/>
      <c r="G120" s="86"/>
    </row>
    <row r="121" customFormat="false" ht="19.5" hidden="false" customHeight="true" outlineLevel="0" collapsed="false">
      <c r="A121" s="102"/>
      <c r="B121" s="86"/>
      <c r="C121" s="86"/>
      <c r="D121" s="86"/>
      <c r="E121" s="86"/>
      <c r="F121" s="86"/>
      <c r="G121" s="86"/>
    </row>
    <row r="122" customFormat="false" ht="19.5" hidden="false" customHeight="true" outlineLevel="0" collapsed="false">
      <c r="A122" s="102"/>
      <c r="B122" s="86"/>
      <c r="C122" s="86"/>
      <c r="D122" s="86"/>
      <c r="E122" s="86"/>
      <c r="F122" s="86"/>
      <c r="G122" s="86"/>
    </row>
    <row r="123" customFormat="false" ht="19.5" hidden="false" customHeight="true" outlineLevel="0" collapsed="false">
      <c r="A123" s="102"/>
      <c r="B123" s="86"/>
      <c r="C123" s="86"/>
      <c r="D123" s="86"/>
      <c r="E123" s="86"/>
      <c r="F123" s="86"/>
      <c r="G123" s="86"/>
    </row>
    <row r="124" customFormat="false" ht="19.5" hidden="false" customHeight="true" outlineLevel="0" collapsed="false">
      <c r="A124" s="102"/>
      <c r="B124" s="86"/>
      <c r="C124" s="86"/>
      <c r="D124" s="86"/>
      <c r="E124" s="86"/>
      <c r="F124" s="86"/>
      <c r="G124" s="86"/>
    </row>
    <row r="125" customFormat="false" ht="19.5" hidden="false" customHeight="true" outlineLevel="0" collapsed="false">
      <c r="A125" s="102"/>
      <c r="B125" s="86"/>
      <c r="C125" s="86"/>
      <c r="D125" s="86"/>
      <c r="E125" s="86"/>
      <c r="F125" s="86"/>
      <c r="G125" s="86"/>
    </row>
    <row r="126" customFormat="false" ht="19.5" hidden="false" customHeight="true" outlineLevel="0" collapsed="false">
      <c r="A126" s="102"/>
      <c r="B126" s="86"/>
      <c r="C126" s="86"/>
      <c r="D126" s="86"/>
      <c r="E126" s="86"/>
      <c r="F126" s="86"/>
      <c r="G126" s="86"/>
    </row>
    <row r="127" customFormat="false" ht="19.5" hidden="false" customHeight="true" outlineLevel="0" collapsed="false">
      <c r="A127" s="102"/>
      <c r="B127" s="86"/>
      <c r="C127" s="86"/>
      <c r="D127" s="86"/>
      <c r="E127" s="86"/>
      <c r="F127" s="86"/>
      <c r="G127" s="86"/>
    </row>
    <row r="128" customFormat="false" ht="19.5" hidden="false" customHeight="true" outlineLevel="0" collapsed="false">
      <c r="A128" s="102"/>
      <c r="B128" s="86"/>
      <c r="C128" s="86"/>
      <c r="D128" s="86"/>
      <c r="E128" s="86"/>
      <c r="F128" s="86"/>
      <c r="G128" s="86"/>
    </row>
    <row r="129" customFormat="false" ht="19.5" hidden="false" customHeight="true" outlineLevel="0" collapsed="false">
      <c r="A129" s="102"/>
      <c r="B129" s="86"/>
      <c r="C129" s="86"/>
      <c r="D129" s="86"/>
      <c r="E129" s="86"/>
      <c r="F129" s="86"/>
      <c r="G129" s="86"/>
    </row>
    <row r="130" customFormat="false" ht="19.5" hidden="false" customHeight="true" outlineLevel="0" collapsed="false">
      <c r="A130" s="102"/>
      <c r="B130" s="86"/>
      <c r="C130" s="86"/>
      <c r="D130" s="86"/>
      <c r="E130" s="86"/>
      <c r="F130" s="86"/>
      <c r="G130" s="86"/>
    </row>
    <row r="131" customFormat="false" ht="19.5" hidden="false" customHeight="true" outlineLevel="0" collapsed="false">
      <c r="A131" s="102"/>
      <c r="B131" s="86"/>
      <c r="C131" s="86"/>
      <c r="D131" s="86"/>
      <c r="E131" s="86"/>
      <c r="F131" s="86"/>
      <c r="G131" s="86"/>
    </row>
    <row r="132" customFormat="false" ht="19.5" hidden="false" customHeight="true" outlineLevel="0" collapsed="false">
      <c r="A132" s="102"/>
      <c r="B132" s="86"/>
      <c r="C132" s="86"/>
      <c r="D132" s="86"/>
      <c r="E132" s="86"/>
      <c r="F132" s="86"/>
      <c r="G132" s="86"/>
    </row>
    <row r="133" customFormat="false" ht="19.5" hidden="false" customHeight="true" outlineLevel="0" collapsed="false">
      <c r="A133" s="102"/>
      <c r="B133" s="86"/>
      <c r="C133" s="86"/>
      <c r="D133" s="86"/>
      <c r="E133" s="86"/>
      <c r="F133" s="86"/>
      <c r="G133" s="86"/>
    </row>
    <row r="134" customFormat="false" ht="19.5" hidden="false" customHeight="true" outlineLevel="0" collapsed="false">
      <c r="A134" s="102"/>
      <c r="B134" s="86"/>
      <c r="C134" s="86"/>
      <c r="D134" s="86"/>
      <c r="E134" s="86"/>
      <c r="F134" s="86"/>
      <c r="G134" s="86"/>
    </row>
    <row r="135" customFormat="false" ht="19.5" hidden="false" customHeight="true" outlineLevel="0" collapsed="false">
      <c r="A135" s="102"/>
      <c r="B135" s="86"/>
      <c r="C135" s="86"/>
      <c r="D135" s="86"/>
      <c r="E135" s="86"/>
      <c r="F135" s="86"/>
      <c r="G135" s="86"/>
    </row>
    <row r="136" customFormat="false" ht="19.5" hidden="false" customHeight="true" outlineLevel="0" collapsed="false">
      <c r="A136" s="102"/>
      <c r="B136" s="86"/>
      <c r="C136" s="86"/>
      <c r="D136" s="86"/>
      <c r="E136" s="86"/>
      <c r="F136" s="86"/>
      <c r="G136" s="86"/>
    </row>
    <row r="137" customFormat="false" ht="19.5" hidden="false" customHeight="true" outlineLevel="0" collapsed="false">
      <c r="A137" s="102"/>
      <c r="B137" s="86"/>
      <c r="C137" s="86"/>
      <c r="D137" s="86"/>
      <c r="E137" s="86"/>
      <c r="F137" s="86"/>
      <c r="G137" s="86"/>
    </row>
    <row r="138" customFormat="false" ht="19.5" hidden="false" customHeight="true" outlineLevel="0" collapsed="false">
      <c r="A138" s="102"/>
      <c r="B138" s="86"/>
      <c r="C138" s="86"/>
      <c r="D138" s="86"/>
      <c r="E138" s="86"/>
      <c r="F138" s="86"/>
      <c r="G138" s="86"/>
    </row>
    <row r="139" customFormat="false" ht="19.5" hidden="false" customHeight="true" outlineLevel="0" collapsed="false">
      <c r="A139" s="102"/>
      <c r="B139" s="86"/>
      <c r="C139" s="86"/>
      <c r="D139" s="86"/>
      <c r="E139" s="86"/>
      <c r="F139" s="86"/>
      <c r="G139" s="86"/>
    </row>
    <row r="140" customFormat="false" ht="19.5" hidden="false" customHeight="true" outlineLevel="0" collapsed="false">
      <c r="A140" s="102"/>
      <c r="B140" s="86"/>
      <c r="C140" s="86"/>
      <c r="D140" s="86"/>
      <c r="E140" s="86"/>
      <c r="F140" s="86"/>
      <c r="G140" s="86"/>
    </row>
    <row r="141" customFormat="false" ht="19.5" hidden="false" customHeight="true" outlineLevel="0" collapsed="false">
      <c r="A141" s="102"/>
      <c r="B141" s="86"/>
      <c r="C141" s="86"/>
      <c r="D141" s="86"/>
      <c r="E141" s="86"/>
      <c r="F141" s="86"/>
      <c r="G141" s="86"/>
    </row>
    <row r="142" customFormat="false" ht="19.5" hidden="false" customHeight="true" outlineLevel="0" collapsed="false">
      <c r="A142" s="102"/>
      <c r="B142" s="86"/>
      <c r="C142" s="86"/>
      <c r="D142" s="86"/>
      <c r="E142" s="86"/>
      <c r="F142" s="86"/>
      <c r="G142" s="86"/>
    </row>
    <row r="143" customFormat="false" ht="19.5" hidden="false" customHeight="true" outlineLevel="0" collapsed="false">
      <c r="A143" s="102"/>
      <c r="B143" s="86"/>
      <c r="C143" s="86"/>
      <c r="D143" s="86"/>
      <c r="E143" s="86"/>
      <c r="F143" s="86"/>
      <c r="G143" s="86"/>
    </row>
    <row r="144" customFormat="false" ht="19.5" hidden="false" customHeight="true" outlineLevel="0" collapsed="false">
      <c r="A144" s="102"/>
      <c r="B144" s="86"/>
      <c r="C144" s="86"/>
      <c r="D144" s="86"/>
      <c r="E144" s="86"/>
      <c r="F144" s="86"/>
      <c r="G144" s="86"/>
    </row>
    <row r="145" customFormat="false" ht="19.5" hidden="false" customHeight="true" outlineLevel="0" collapsed="false">
      <c r="A145" s="102"/>
      <c r="B145" s="86"/>
      <c r="C145" s="86"/>
      <c r="D145" s="86"/>
      <c r="E145" s="86"/>
      <c r="F145" s="86"/>
      <c r="G145" s="86"/>
    </row>
    <row r="146" customFormat="false" ht="19.5" hidden="false" customHeight="true" outlineLevel="0" collapsed="false">
      <c r="A146" s="102"/>
      <c r="B146" s="86"/>
      <c r="C146" s="86"/>
      <c r="D146" s="86"/>
      <c r="E146" s="86"/>
      <c r="F146" s="86"/>
      <c r="G146" s="86"/>
    </row>
    <row r="147" customFormat="false" ht="19.5" hidden="false" customHeight="true" outlineLevel="0" collapsed="false">
      <c r="A147" s="102"/>
      <c r="B147" s="86"/>
      <c r="C147" s="86"/>
      <c r="D147" s="86"/>
      <c r="E147" s="86"/>
      <c r="F147" s="86"/>
      <c r="G147" s="86"/>
    </row>
    <row r="148" customFormat="false" ht="19.5" hidden="false" customHeight="true" outlineLevel="0" collapsed="false">
      <c r="A148" s="102"/>
      <c r="B148" s="86"/>
      <c r="C148" s="86"/>
      <c r="D148" s="86"/>
      <c r="E148" s="86"/>
      <c r="F148" s="86"/>
      <c r="G148" s="86"/>
    </row>
    <row r="149" customFormat="false" ht="19.5" hidden="false" customHeight="true" outlineLevel="0" collapsed="false">
      <c r="A149" s="102"/>
      <c r="B149" s="86"/>
      <c r="C149" s="86"/>
      <c r="D149" s="86"/>
      <c r="E149" s="86"/>
      <c r="F149" s="86"/>
      <c r="G149" s="86"/>
    </row>
    <row r="150" customFormat="false" ht="19.5" hidden="false" customHeight="true" outlineLevel="0" collapsed="false">
      <c r="A150" s="102"/>
      <c r="B150" s="86"/>
      <c r="C150" s="86"/>
      <c r="D150" s="86"/>
      <c r="E150" s="86"/>
      <c r="F150" s="86"/>
      <c r="G150" s="86"/>
    </row>
    <row r="151" customFormat="false" ht="19.5" hidden="false" customHeight="true" outlineLevel="0" collapsed="false">
      <c r="A151" s="102"/>
      <c r="B151" s="86"/>
      <c r="C151" s="86"/>
      <c r="D151" s="86"/>
      <c r="E151" s="86"/>
      <c r="F151" s="86"/>
      <c r="G151" s="86"/>
    </row>
    <row r="152" customFormat="false" ht="19.5" hidden="false" customHeight="true" outlineLevel="0" collapsed="false">
      <c r="A152" s="102"/>
      <c r="B152" s="86"/>
      <c r="C152" s="86"/>
      <c r="D152" s="86"/>
      <c r="E152" s="86"/>
      <c r="F152" s="86"/>
      <c r="G152" s="86"/>
    </row>
    <row r="153" customFormat="false" ht="19.5" hidden="false" customHeight="true" outlineLevel="0" collapsed="false">
      <c r="A153" s="102"/>
      <c r="B153" s="86"/>
      <c r="C153" s="86"/>
      <c r="D153" s="86"/>
      <c r="E153" s="86"/>
      <c r="F153" s="86"/>
      <c r="G153" s="86"/>
    </row>
    <row r="154" customFormat="false" ht="19.5" hidden="false" customHeight="true" outlineLevel="0" collapsed="false">
      <c r="A154" s="102"/>
      <c r="B154" s="86"/>
      <c r="C154" s="86"/>
      <c r="D154" s="86"/>
      <c r="E154" s="86"/>
      <c r="F154" s="86"/>
      <c r="G154" s="86"/>
    </row>
    <row r="155" customFormat="false" ht="19.5" hidden="false" customHeight="true" outlineLevel="0" collapsed="false">
      <c r="A155" s="102"/>
      <c r="B155" s="86"/>
      <c r="C155" s="86"/>
      <c r="D155" s="86"/>
      <c r="E155" s="86"/>
      <c r="F155" s="86"/>
      <c r="G155" s="86"/>
    </row>
    <row r="156" customFormat="false" ht="19.5" hidden="false" customHeight="true" outlineLevel="0" collapsed="false">
      <c r="A156" s="102"/>
      <c r="B156" s="86"/>
      <c r="C156" s="86"/>
      <c r="D156" s="86"/>
      <c r="E156" s="86"/>
      <c r="F156" s="86"/>
      <c r="G156" s="86"/>
    </row>
    <row r="157" customFormat="false" ht="19.5" hidden="false" customHeight="true" outlineLevel="0" collapsed="false">
      <c r="A157" s="102"/>
      <c r="B157" s="86"/>
      <c r="C157" s="86"/>
      <c r="D157" s="86"/>
      <c r="E157" s="86"/>
      <c r="F157" s="86"/>
      <c r="G157" s="86"/>
    </row>
    <row r="158" customFormat="false" ht="19.5" hidden="false" customHeight="true" outlineLevel="0" collapsed="false">
      <c r="A158" s="102"/>
      <c r="B158" s="86"/>
      <c r="C158" s="86"/>
      <c r="D158" s="86"/>
      <c r="E158" s="86"/>
      <c r="F158" s="86"/>
      <c r="G158" s="86"/>
    </row>
    <row r="159" customFormat="false" ht="19.5" hidden="false" customHeight="true" outlineLevel="0" collapsed="false">
      <c r="A159" s="102"/>
      <c r="B159" s="86"/>
      <c r="C159" s="86"/>
      <c r="D159" s="86"/>
      <c r="E159" s="86"/>
      <c r="F159" s="86"/>
      <c r="G159" s="86"/>
    </row>
    <row r="160" customFormat="false" ht="19.5" hidden="false" customHeight="true" outlineLevel="0" collapsed="false">
      <c r="A160" s="102"/>
      <c r="B160" s="86"/>
      <c r="C160" s="86"/>
      <c r="D160" s="86"/>
      <c r="E160" s="86"/>
      <c r="F160" s="86"/>
      <c r="G160" s="86"/>
    </row>
    <row r="161" customFormat="false" ht="19.5" hidden="false" customHeight="true" outlineLevel="0" collapsed="false">
      <c r="A161" s="102"/>
      <c r="B161" s="86"/>
      <c r="C161" s="86"/>
      <c r="D161" s="86"/>
      <c r="E161" s="86"/>
      <c r="F161" s="86"/>
      <c r="G161" s="86"/>
    </row>
    <row r="162" customFormat="false" ht="19.5" hidden="false" customHeight="true" outlineLevel="0" collapsed="false">
      <c r="A162" s="102"/>
      <c r="B162" s="86"/>
      <c r="C162" s="86"/>
      <c r="D162" s="86"/>
      <c r="E162" s="86"/>
      <c r="F162" s="86"/>
      <c r="G162" s="86"/>
    </row>
    <row r="163" customFormat="false" ht="19.5" hidden="false" customHeight="true" outlineLevel="0" collapsed="false">
      <c r="A163" s="102"/>
      <c r="B163" s="86"/>
      <c r="C163" s="86"/>
      <c r="D163" s="86"/>
      <c r="E163" s="86"/>
      <c r="F163" s="86"/>
      <c r="G163" s="86"/>
    </row>
    <row r="164" customFormat="false" ht="19.5" hidden="false" customHeight="true" outlineLevel="0" collapsed="false">
      <c r="A164" s="102"/>
      <c r="B164" s="86"/>
      <c r="C164" s="86"/>
      <c r="D164" s="86"/>
      <c r="E164" s="86"/>
      <c r="F164" s="86"/>
      <c r="G164" s="86"/>
    </row>
    <row r="165" customFormat="false" ht="19.5" hidden="false" customHeight="true" outlineLevel="0" collapsed="false">
      <c r="A165" s="102"/>
      <c r="B165" s="86"/>
      <c r="C165" s="86"/>
      <c r="D165" s="86"/>
      <c r="E165" s="86"/>
      <c r="F165" s="86"/>
      <c r="G165" s="86"/>
    </row>
    <row r="166" customFormat="false" ht="19.5" hidden="false" customHeight="true" outlineLevel="0" collapsed="false">
      <c r="A166" s="102"/>
      <c r="B166" s="86"/>
      <c r="C166" s="86"/>
      <c r="D166" s="86"/>
      <c r="E166" s="86"/>
      <c r="F166" s="86"/>
      <c r="G166" s="86"/>
    </row>
    <row r="167" customFormat="false" ht="19.5" hidden="false" customHeight="true" outlineLevel="0" collapsed="false">
      <c r="A167" s="102"/>
      <c r="B167" s="86"/>
      <c r="C167" s="86"/>
      <c r="D167" s="86"/>
      <c r="E167" s="86"/>
      <c r="F167" s="86"/>
      <c r="G167" s="86"/>
    </row>
    <row r="168" customFormat="false" ht="19.5" hidden="false" customHeight="true" outlineLevel="0" collapsed="false">
      <c r="A168" s="102"/>
      <c r="B168" s="86"/>
      <c r="C168" s="86"/>
      <c r="D168" s="86"/>
      <c r="E168" s="86"/>
      <c r="F168" s="86"/>
      <c r="G168" s="86"/>
    </row>
    <row r="169" customFormat="false" ht="19.5" hidden="false" customHeight="true" outlineLevel="0" collapsed="false">
      <c r="A169" s="102"/>
      <c r="B169" s="86"/>
      <c r="C169" s="86"/>
      <c r="D169" s="86"/>
      <c r="E169" s="86"/>
      <c r="F169" s="86"/>
      <c r="G169" s="86"/>
    </row>
    <row r="170" customFormat="false" ht="19.5" hidden="false" customHeight="true" outlineLevel="0" collapsed="false">
      <c r="A170" s="102"/>
      <c r="B170" s="86"/>
      <c r="C170" s="86"/>
      <c r="D170" s="86"/>
      <c r="E170" s="86"/>
      <c r="F170" s="86"/>
      <c r="G170" s="86"/>
    </row>
    <row r="171" customFormat="false" ht="19.5" hidden="false" customHeight="true" outlineLevel="0" collapsed="false">
      <c r="A171" s="102"/>
      <c r="B171" s="86"/>
      <c r="C171" s="86"/>
      <c r="D171" s="86"/>
      <c r="E171" s="86"/>
      <c r="F171" s="86"/>
      <c r="G171" s="86"/>
    </row>
    <row r="172" customFormat="false" ht="19.5" hidden="false" customHeight="true" outlineLevel="0" collapsed="false">
      <c r="A172" s="102"/>
      <c r="B172" s="86"/>
      <c r="C172" s="86"/>
      <c r="D172" s="86"/>
      <c r="E172" s="86"/>
      <c r="F172" s="86"/>
      <c r="G172" s="86"/>
    </row>
    <row r="173" customFormat="false" ht="19.5" hidden="false" customHeight="true" outlineLevel="0" collapsed="false">
      <c r="A173" s="102"/>
      <c r="B173" s="86"/>
      <c r="C173" s="86"/>
      <c r="D173" s="86"/>
      <c r="E173" s="86"/>
      <c r="F173" s="86"/>
      <c r="G173" s="86"/>
    </row>
    <row r="174" customFormat="false" ht="19.5" hidden="false" customHeight="true" outlineLevel="0" collapsed="false">
      <c r="A174" s="102"/>
      <c r="B174" s="86"/>
      <c r="C174" s="86"/>
      <c r="D174" s="86"/>
      <c r="E174" s="86"/>
      <c r="F174" s="86"/>
      <c r="G174" s="86"/>
    </row>
    <row r="175" customFormat="false" ht="19.5" hidden="false" customHeight="true" outlineLevel="0" collapsed="false">
      <c r="A175" s="102"/>
      <c r="B175" s="86"/>
      <c r="C175" s="86"/>
      <c r="D175" s="86"/>
      <c r="E175" s="86"/>
      <c r="F175" s="86"/>
      <c r="G175" s="86"/>
    </row>
    <row r="176" customFormat="false" ht="19.5" hidden="false" customHeight="true" outlineLevel="0" collapsed="false">
      <c r="A176" s="102"/>
      <c r="B176" s="86"/>
      <c r="C176" s="86"/>
      <c r="D176" s="86"/>
      <c r="E176" s="86"/>
      <c r="F176" s="86"/>
      <c r="G176" s="86"/>
    </row>
    <row r="177" customFormat="false" ht="19.5" hidden="false" customHeight="true" outlineLevel="0" collapsed="false">
      <c r="A177" s="102"/>
      <c r="B177" s="86"/>
      <c r="C177" s="86"/>
      <c r="D177" s="86"/>
      <c r="E177" s="86"/>
      <c r="F177" s="86"/>
      <c r="G177" s="86"/>
    </row>
    <row r="178" customFormat="false" ht="19.5" hidden="false" customHeight="true" outlineLevel="0" collapsed="false">
      <c r="A178" s="102"/>
      <c r="B178" s="86"/>
      <c r="C178" s="86"/>
      <c r="D178" s="86"/>
      <c r="E178" s="86"/>
      <c r="F178" s="86"/>
      <c r="G178" s="86"/>
    </row>
    <row r="179" customFormat="false" ht="19.5" hidden="false" customHeight="true" outlineLevel="0" collapsed="false">
      <c r="A179" s="102"/>
      <c r="B179" s="86"/>
      <c r="C179" s="86"/>
      <c r="D179" s="86"/>
      <c r="E179" s="86"/>
      <c r="F179" s="86"/>
      <c r="G179" s="86"/>
    </row>
    <row r="180" customFormat="false" ht="19.5" hidden="false" customHeight="true" outlineLevel="0" collapsed="false">
      <c r="A180" s="102"/>
      <c r="B180" s="86"/>
      <c r="C180" s="86"/>
      <c r="D180" s="86"/>
      <c r="E180" s="86"/>
      <c r="F180" s="86"/>
      <c r="G180" s="86"/>
    </row>
    <row r="181" customFormat="false" ht="19.5" hidden="false" customHeight="true" outlineLevel="0" collapsed="false">
      <c r="A181" s="102"/>
      <c r="B181" s="86"/>
      <c r="C181" s="86"/>
      <c r="D181" s="86"/>
      <c r="E181" s="86"/>
      <c r="F181" s="86"/>
      <c r="G181" s="86"/>
    </row>
    <row r="182" customFormat="false" ht="19.5" hidden="false" customHeight="true" outlineLevel="0" collapsed="false">
      <c r="A182" s="102"/>
      <c r="B182" s="86"/>
      <c r="C182" s="86"/>
      <c r="D182" s="86"/>
      <c r="E182" s="86"/>
      <c r="F182" s="86"/>
      <c r="G182" s="86"/>
    </row>
    <row r="183" customFormat="false" ht="19.5" hidden="false" customHeight="true" outlineLevel="0" collapsed="false">
      <c r="A183" s="102"/>
      <c r="B183" s="86"/>
      <c r="C183" s="86"/>
      <c r="D183" s="86"/>
      <c r="E183" s="86"/>
      <c r="F183" s="86"/>
      <c r="G183" s="86"/>
    </row>
    <row r="184" customFormat="false" ht="19.5" hidden="false" customHeight="true" outlineLevel="0" collapsed="false">
      <c r="A184" s="102"/>
      <c r="B184" s="86"/>
      <c r="C184" s="86"/>
      <c r="D184" s="86"/>
      <c r="E184" s="86"/>
      <c r="F184" s="86"/>
      <c r="G184" s="86"/>
    </row>
    <row r="185" customFormat="false" ht="19.5" hidden="false" customHeight="true" outlineLevel="0" collapsed="false">
      <c r="A185" s="102"/>
      <c r="B185" s="86"/>
      <c r="C185" s="86"/>
      <c r="D185" s="86"/>
      <c r="E185" s="86"/>
      <c r="F185" s="86"/>
      <c r="G185" s="86"/>
    </row>
    <row r="186" customFormat="false" ht="19.5" hidden="false" customHeight="true" outlineLevel="0" collapsed="false">
      <c r="A186" s="102"/>
      <c r="B186" s="86"/>
      <c r="C186" s="86"/>
      <c r="D186" s="86"/>
      <c r="E186" s="86"/>
      <c r="F186" s="86"/>
      <c r="G186" s="86"/>
    </row>
    <row r="187" customFormat="false" ht="19.5" hidden="false" customHeight="true" outlineLevel="0" collapsed="false">
      <c r="A187" s="102"/>
      <c r="B187" s="86"/>
      <c r="C187" s="86"/>
      <c r="D187" s="86"/>
      <c r="E187" s="86"/>
      <c r="F187" s="86"/>
      <c r="G187" s="86"/>
    </row>
    <row r="188" customFormat="false" ht="19.5" hidden="false" customHeight="true" outlineLevel="0" collapsed="false">
      <c r="A188" s="102"/>
      <c r="B188" s="86"/>
      <c r="C188" s="86"/>
      <c r="D188" s="86"/>
      <c r="E188" s="86"/>
      <c r="F188" s="86"/>
      <c r="G188" s="86"/>
    </row>
    <row r="189" customFormat="false" ht="19.5" hidden="false" customHeight="true" outlineLevel="0" collapsed="false">
      <c r="A189" s="102"/>
      <c r="B189" s="86"/>
      <c r="C189" s="86"/>
      <c r="D189" s="86"/>
      <c r="E189" s="86"/>
      <c r="F189" s="86"/>
      <c r="G189" s="86"/>
    </row>
    <row r="190" customFormat="false" ht="19.5" hidden="false" customHeight="true" outlineLevel="0" collapsed="false">
      <c r="A190" s="102"/>
      <c r="B190" s="86"/>
      <c r="C190" s="86"/>
      <c r="D190" s="86"/>
      <c r="E190" s="86"/>
      <c r="F190" s="86"/>
      <c r="G190" s="86"/>
    </row>
    <row r="191" customFormat="false" ht="19.5" hidden="false" customHeight="true" outlineLevel="0" collapsed="false">
      <c r="A191" s="102"/>
      <c r="B191" s="86"/>
      <c r="C191" s="86"/>
      <c r="D191" s="86"/>
      <c r="E191" s="86"/>
      <c r="F191" s="86"/>
      <c r="G191" s="86"/>
    </row>
    <row r="192" customFormat="false" ht="19.5" hidden="false" customHeight="true" outlineLevel="0" collapsed="false">
      <c r="A192" s="102"/>
      <c r="B192" s="86"/>
      <c r="C192" s="86"/>
      <c r="D192" s="86"/>
      <c r="E192" s="86"/>
      <c r="F192" s="86"/>
      <c r="G192" s="86"/>
    </row>
    <row r="193" customFormat="false" ht="19.5" hidden="false" customHeight="true" outlineLevel="0" collapsed="false">
      <c r="A193" s="102"/>
      <c r="B193" s="86"/>
      <c r="C193" s="86"/>
      <c r="D193" s="86"/>
      <c r="E193" s="86"/>
      <c r="F193" s="86"/>
      <c r="G193" s="86"/>
    </row>
    <row r="194" customFormat="false" ht="19.5" hidden="false" customHeight="true" outlineLevel="0" collapsed="false">
      <c r="A194" s="102"/>
      <c r="B194" s="86"/>
      <c r="C194" s="86"/>
      <c r="D194" s="86"/>
      <c r="E194" s="86"/>
      <c r="F194" s="86"/>
      <c r="G194" s="86"/>
    </row>
    <row r="195" customFormat="false" ht="19.5" hidden="false" customHeight="true" outlineLevel="0" collapsed="false">
      <c r="A195" s="102"/>
      <c r="B195" s="86"/>
      <c r="C195" s="86"/>
      <c r="D195" s="86"/>
      <c r="E195" s="86"/>
      <c r="F195" s="86"/>
      <c r="G195" s="86"/>
    </row>
    <row r="196" customFormat="false" ht="19.5" hidden="false" customHeight="true" outlineLevel="0" collapsed="false">
      <c r="A196" s="102"/>
      <c r="B196" s="86"/>
      <c r="C196" s="86"/>
      <c r="D196" s="86"/>
      <c r="E196" s="86"/>
      <c r="F196" s="86"/>
      <c r="G196" s="86"/>
    </row>
    <row r="197" customFormat="false" ht="19.5" hidden="false" customHeight="true" outlineLevel="0" collapsed="false">
      <c r="A197" s="102"/>
      <c r="B197" s="86"/>
      <c r="C197" s="86"/>
      <c r="D197" s="86"/>
      <c r="E197" s="86"/>
      <c r="F197" s="86"/>
      <c r="G197" s="86"/>
    </row>
    <row r="198" customFormat="false" ht="19.5" hidden="false" customHeight="true" outlineLevel="0" collapsed="false">
      <c r="A198" s="102"/>
      <c r="B198" s="86"/>
      <c r="C198" s="86"/>
      <c r="D198" s="86"/>
      <c r="E198" s="86"/>
      <c r="F198" s="86"/>
      <c r="G198" s="86"/>
    </row>
    <row r="199" customFormat="false" ht="19.5" hidden="false" customHeight="true" outlineLevel="0" collapsed="false">
      <c r="A199" s="102"/>
      <c r="B199" s="86"/>
      <c r="C199" s="86"/>
      <c r="D199" s="86"/>
      <c r="E199" s="86"/>
      <c r="F199" s="86"/>
      <c r="G199" s="86"/>
    </row>
    <row r="200" customFormat="false" ht="19.5" hidden="false" customHeight="true" outlineLevel="0" collapsed="false">
      <c r="A200" s="102"/>
      <c r="B200" s="86"/>
      <c r="C200" s="86"/>
      <c r="D200" s="86"/>
      <c r="E200" s="86"/>
      <c r="F200" s="86"/>
      <c r="G200" s="86"/>
    </row>
    <row r="201" customFormat="false" ht="19.5" hidden="false" customHeight="true" outlineLevel="0" collapsed="false">
      <c r="A201" s="102"/>
      <c r="B201" s="86"/>
      <c r="C201" s="86"/>
      <c r="D201" s="86"/>
      <c r="E201" s="86"/>
      <c r="F201" s="86"/>
      <c r="G201" s="86"/>
    </row>
    <row r="202" customFormat="false" ht="19.5" hidden="false" customHeight="true" outlineLevel="0" collapsed="false">
      <c r="A202" s="102"/>
      <c r="B202" s="86"/>
      <c r="C202" s="86"/>
      <c r="D202" s="86"/>
      <c r="E202" s="86"/>
      <c r="F202" s="86"/>
      <c r="G202" s="86"/>
    </row>
    <row r="203" customFormat="false" ht="19.5" hidden="false" customHeight="true" outlineLevel="0" collapsed="false">
      <c r="A203" s="102"/>
      <c r="B203" s="86"/>
      <c r="C203" s="86"/>
      <c r="D203" s="86"/>
      <c r="E203" s="86"/>
      <c r="F203" s="86"/>
      <c r="G203" s="86"/>
    </row>
    <row r="204" customFormat="false" ht="19.5" hidden="false" customHeight="true" outlineLevel="0" collapsed="false">
      <c r="A204" s="102"/>
      <c r="B204" s="86"/>
      <c r="C204" s="86"/>
      <c r="D204" s="86"/>
      <c r="E204" s="86"/>
      <c r="F204" s="86"/>
      <c r="G204" s="86"/>
    </row>
    <row r="205" customFormat="false" ht="19.5" hidden="false" customHeight="true" outlineLevel="0" collapsed="false">
      <c r="A205" s="102"/>
      <c r="B205" s="86"/>
      <c r="C205" s="86"/>
      <c r="D205" s="86"/>
      <c r="E205" s="86"/>
      <c r="F205" s="86"/>
      <c r="G205" s="86"/>
    </row>
    <row r="206" customFormat="false" ht="19.5" hidden="false" customHeight="true" outlineLevel="0" collapsed="false">
      <c r="A206" s="102"/>
      <c r="B206" s="86"/>
      <c r="C206" s="86"/>
      <c r="D206" s="86"/>
      <c r="E206" s="86"/>
      <c r="F206" s="86"/>
      <c r="G206" s="86"/>
    </row>
    <row r="207" customFormat="false" ht="19.5" hidden="false" customHeight="true" outlineLevel="0" collapsed="false">
      <c r="A207" s="102"/>
      <c r="B207" s="86"/>
      <c r="C207" s="86"/>
      <c r="D207" s="86"/>
      <c r="E207" s="86"/>
      <c r="F207" s="86"/>
      <c r="G207" s="86"/>
    </row>
    <row r="208" customFormat="false" ht="19.5" hidden="false" customHeight="true" outlineLevel="0" collapsed="false">
      <c r="A208" s="102"/>
      <c r="B208" s="86"/>
      <c r="C208" s="86"/>
      <c r="D208" s="86"/>
      <c r="E208" s="86"/>
      <c r="F208" s="86"/>
      <c r="G208" s="86"/>
    </row>
    <row r="209" customFormat="false" ht="19.5" hidden="false" customHeight="true" outlineLevel="0" collapsed="false">
      <c r="A209" s="102"/>
      <c r="B209" s="86"/>
      <c r="C209" s="86"/>
      <c r="D209" s="86"/>
      <c r="E209" s="86"/>
      <c r="F209" s="86"/>
      <c r="G209" s="86"/>
    </row>
    <row r="210" customFormat="false" ht="19.5" hidden="false" customHeight="true" outlineLevel="0" collapsed="false">
      <c r="A210" s="102"/>
      <c r="B210" s="86"/>
      <c r="C210" s="86"/>
      <c r="D210" s="86"/>
      <c r="E210" s="86"/>
      <c r="F210" s="86"/>
      <c r="G210" s="86"/>
    </row>
    <row r="211" customFormat="false" ht="19.5" hidden="false" customHeight="true" outlineLevel="0" collapsed="false">
      <c r="A211" s="102"/>
      <c r="B211" s="86"/>
      <c r="C211" s="86"/>
      <c r="D211" s="86"/>
      <c r="E211" s="86"/>
      <c r="F211" s="86"/>
      <c r="G211" s="86"/>
    </row>
    <row r="212" customFormat="false" ht="19.5" hidden="false" customHeight="true" outlineLevel="0" collapsed="false">
      <c r="A212" s="102"/>
      <c r="B212" s="86"/>
      <c r="C212" s="86"/>
      <c r="D212" s="86"/>
      <c r="E212" s="86"/>
      <c r="F212" s="86"/>
      <c r="G212" s="86"/>
    </row>
    <row r="213" customFormat="false" ht="19.5" hidden="false" customHeight="true" outlineLevel="0" collapsed="false">
      <c r="A213" s="102"/>
      <c r="B213" s="86"/>
      <c r="C213" s="86"/>
      <c r="D213" s="86"/>
      <c r="E213" s="86"/>
      <c r="F213" s="86"/>
      <c r="G213" s="86"/>
    </row>
    <row r="214" customFormat="false" ht="19.5" hidden="false" customHeight="true" outlineLevel="0" collapsed="false">
      <c r="A214" s="102"/>
      <c r="B214" s="86"/>
      <c r="C214" s="86"/>
      <c r="D214" s="86"/>
      <c r="E214" s="86"/>
      <c r="F214" s="86"/>
      <c r="G214" s="86"/>
    </row>
    <row r="215" customFormat="false" ht="19.5" hidden="false" customHeight="true" outlineLevel="0" collapsed="false">
      <c r="A215" s="102"/>
      <c r="B215" s="86"/>
      <c r="C215" s="86"/>
      <c r="D215" s="86"/>
      <c r="E215" s="86"/>
      <c r="F215" s="86"/>
      <c r="G215" s="86"/>
    </row>
    <row r="216" customFormat="false" ht="19.5" hidden="false" customHeight="true" outlineLevel="0" collapsed="false">
      <c r="A216" s="102"/>
      <c r="B216" s="86"/>
      <c r="C216" s="86"/>
      <c r="D216" s="86"/>
      <c r="E216" s="86"/>
      <c r="F216" s="86"/>
      <c r="G216" s="86"/>
    </row>
    <row r="217" customFormat="false" ht="19.5" hidden="false" customHeight="true" outlineLevel="0" collapsed="false">
      <c r="A217" s="102"/>
      <c r="B217" s="86"/>
      <c r="C217" s="86"/>
      <c r="D217" s="86"/>
      <c r="E217" s="86"/>
      <c r="F217" s="86"/>
      <c r="G217" s="86"/>
    </row>
    <row r="218" customFormat="false" ht="19.5" hidden="false" customHeight="true" outlineLevel="0" collapsed="false">
      <c r="A218" s="102"/>
      <c r="B218" s="86"/>
      <c r="C218" s="86"/>
      <c r="D218" s="86"/>
      <c r="E218" s="86"/>
      <c r="F218" s="86"/>
      <c r="G218" s="86"/>
    </row>
    <row r="219" customFormat="false" ht="19.5" hidden="false" customHeight="true" outlineLevel="0" collapsed="false">
      <c r="A219" s="102"/>
      <c r="B219" s="86"/>
      <c r="C219" s="86"/>
      <c r="D219" s="86"/>
      <c r="E219" s="86"/>
      <c r="F219" s="86"/>
      <c r="G219" s="86"/>
    </row>
    <row r="220" customFormat="false" ht="19.5" hidden="false" customHeight="true" outlineLevel="0" collapsed="false">
      <c r="A220" s="102"/>
      <c r="B220" s="86"/>
      <c r="C220" s="86"/>
      <c r="D220" s="86"/>
      <c r="E220" s="86"/>
      <c r="F220" s="86"/>
      <c r="G220" s="86"/>
    </row>
    <row r="221" customFormat="false" ht="19.5" hidden="false" customHeight="true" outlineLevel="0" collapsed="false">
      <c r="A221" s="102"/>
      <c r="B221" s="86"/>
      <c r="C221" s="86"/>
      <c r="D221" s="86"/>
      <c r="E221" s="86"/>
      <c r="F221" s="86"/>
      <c r="G221" s="86"/>
    </row>
    <row r="222" customFormat="false" ht="19.5" hidden="false" customHeight="true" outlineLevel="0" collapsed="false">
      <c r="A222" s="102"/>
      <c r="B222" s="86"/>
      <c r="C222" s="86"/>
      <c r="D222" s="86"/>
      <c r="E222" s="86"/>
      <c r="F222" s="86"/>
      <c r="G222" s="86"/>
    </row>
    <row r="223" customFormat="false" ht="19.5" hidden="false" customHeight="true" outlineLevel="0" collapsed="false">
      <c r="A223" s="102"/>
      <c r="B223" s="86"/>
      <c r="C223" s="86"/>
      <c r="D223" s="86"/>
      <c r="E223" s="86"/>
      <c r="F223" s="86"/>
      <c r="G223" s="86"/>
    </row>
    <row r="224" customFormat="false" ht="19.5" hidden="false" customHeight="true" outlineLevel="0" collapsed="false">
      <c r="A224" s="102"/>
      <c r="B224" s="86"/>
      <c r="C224" s="86"/>
      <c r="D224" s="86"/>
      <c r="E224" s="86"/>
      <c r="F224" s="86"/>
      <c r="G224" s="86"/>
    </row>
    <row r="225" customFormat="false" ht="19.5" hidden="false" customHeight="true" outlineLevel="0" collapsed="false">
      <c r="A225" s="102"/>
      <c r="B225" s="86"/>
      <c r="C225" s="86"/>
      <c r="D225" s="86"/>
      <c r="E225" s="86"/>
      <c r="F225" s="86"/>
      <c r="G225" s="86"/>
    </row>
    <row r="226" customFormat="false" ht="19.5" hidden="false" customHeight="true" outlineLevel="0" collapsed="false">
      <c r="A226" s="102"/>
      <c r="B226" s="86"/>
      <c r="C226" s="86"/>
      <c r="D226" s="86"/>
      <c r="E226" s="86"/>
      <c r="F226" s="86"/>
      <c r="G226" s="86"/>
    </row>
    <row r="227" customFormat="false" ht="19.5" hidden="false" customHeight="true" outlineLevel="0" collapsed="false">
      <c r="A227" s="102"/>
      <c r="B227" s="86"/>
      <c r="C227" s="86"/>
      <c r="D227" s="86"/>
      <c r="E227" s="86"/>
      <c r="F227" s="86"/>
      <c r="G227" s="86"/>
    </row>
    <row r="228" customFormat="false" ht="19.5" hidden="false" customHeight="true" outlineLevel="0" collapsed="false">
      <c r="A228" s="102"/>
      <c r="B228" s="86"/>
      <c r="C228" s="86"/>
      <c r="D228" s="86"/>
      <c r="E228" s="86"/>
      <c r="F228" s="86"/>
      <c r="G228" s="86"/>
    </row>
    <row r="229" customFormat="false" ht="19.5" hidden="false" customHeight="true" outlineLevel="0" collapsed="false">
      <c r="A229" s="102"/>
      <c r="B229" s="86"/>
      <c r="C229" s="86"/>
      <c r="D229" s="86"/>
      <c r="E229" s="86"/>
      <c r="F229" s="86"/>
      <c r="G229" s="86"/>
    </row>
    <row r="230" customFormat="false" ht="19.5" hidden="false" customHeight="true" outlineLevel="0" collapsed="false">
      <c r="A230" s="102"/>
      <c r="B230" s="86"/>
      <c r="C230" s="86"/>
      <c r="D230" s="86"/>
      <c r="E230" s="86"/>
      <c r="F230" s="86"/>
      <c r="G230" s="86"/>
    </row>
    <row r="231" customFormat="false" ht="19.5" hidden="false" customHeight="true" outlineLevel="0" collapsed="false">
      <c r="A231" s="102"/>
      <c r="B231" s="86"/>
      <c r="C231" s="86"/>
      <c r="D231" s="86"/>
      <c r="E231" s="86"/>
      <c r="F231" s="86"/>
      <c r="G231" s="86"/>
    </row>
    <row r="232" customFormat="false" ht="19.5" hidden="false" customHeight="true" outlineLevel="0" collapsed="false">
      <c r="A232" s="102"/>
      <c r="B232" s="86"/>
      <c r="C232" s="86"/>
      <c r="D232" s="86"/>
      <c r="E232" s="86"/>
      <c r="F232" s="86"/>
      <c r="G232" s="86"/>
    </row>
    <row r="233" customFormat="false" ht="19.5" hidden="false" customHeight="true" outlineLevel="0" collapsed="false">
      <c r="A233" s="102"/>
      <c r="B233" s="86"/>
      <c r="C233" s="86"/>
      <c r="D233" s="86"/>
      <c r="E233" s="86"/>
      <c r="F233" s="86"/>
      <c r="G233" s="86"/>
    </row>
    <row r="234" customFormat="false" ht="19.5" hidden="false" customHeight="true" outlineLevel="0" collapsed="false">
      <c r="A234" s="102"/>
      <c r="B234" s="86"/>
      <c r="C234" s="86"/>
      <c r="D234" s="86"/>
      <c r="E234" s="86"/>
      <c r="F234" s="86"/>
      <c r="G234" s="86"/>
    </row>
    <row r="235" customFormat="false" ht="19.5" hidden="false" customHeight="true" outlineLevel="0" collapsed="false">
      <c r="A235" s="102"/>
      <c r="B235" s="86"/>
      <c r="C235" s="86"/>
      <c r="D235" s="86"/>
      <c r="E235" s="86"/>
      <c r="F235" s="86"/>
      <c r="G235" s="86"/>
    </row>
    <row r="236" customFormat="false" ht="19.5" hidden="false" customHeight="true" outlineLevel="0" collapsed="false">
      <c r="A236" s="102"/>
      <c r="B236" s="86"/>
      <c r="C236" s="86"/>
      <c r="D236" s="86"/>
      <c r="E236" s="86"/>
      <c r="F236" s="86"/>
      <c r="G236" s="86"/>
    </row>
    <row r="237" customFormat="false" ht="19.5" hidden="false" customHeight="true" outlineLevel="0" collapsed="false">
      <c r="A237" s="102"/>
      <c r="B237" s="86"/>
      <c r="C237" s="86"/>
      <c r="D237" s="86"/>
      <c r="E237" s="86"/>
      <c r="F237" s="86"/>
      <c r="G237" s="86"/>
    </row>
    <row r="238" customFormat="false" ht="19.5" hidden="false" customHeight="true" outlineLevel="0" collapsed="false">
      <c r="A238" s="102"/>
      <c r="B238" s="86"/>
      <c r="C238" s="86"/>
      <c r="D238" s="86"/>
      <c r="E238" s="86"/>
      <c r="F238" s="86"/>
      <c r="G238" s="86"/>
    </row>
    <row r="239" customFormat="false" ht="19.5" hidden="false" customHeight="true" outlineLevel="0" collapsed="false">
      <c r="A239" s="102"/>
      <c r="B239" s="86"/>
      <c r="C239" s="86"/>
      <c r="D239" s="86"/>
      <c r="E239" s="86"/>
      <c r="F239" s="86"/>
      <c r="G239" s="86"/>
    </row>
    <row r="240" customFormat="false" ht="19.5" hidden="false" customHeight="true" outlineLevel="0" collapsed="false">
      <c r="A240" s="102"/>
      <c r="B240" s="86"/>
      <c r="C240" s="86"/>
      <c r="D240" s="86"/>
      <c r="E240" s="86"/>
      <c r="F240" s="86"/>
      <c r="G240" s="86"/>
    </row>
    <row r="241" customFormat="false" ht="19.5" hidden="false" customHeight="true" outlineLevel="0" collapsed="false">
      <c r="A241" s="102"/>
      <c r="B241" s="86"/>
      <c r="C241" s="86"/>
      <c r="D241" s="86"/>
      <c r="E241" s="86"/>
      <c r="F241" s="86"/>
      <c r="G241" s="86"/>
    </row>
    <row r="242" customFormat="false" ht="19.5" hidden="false" customHeight="true" outlineLevel="0" collapsed="false">
      <c r="A242" s="102"/>
      <c r="B242" s="86"/>
      <c r="C242" s="86"/>
      <c r="D242" s="86"/>
      <c r="E242" s="86"/>
      <c r="F242" s="86"/>
      <c r="G242" s="86"/>
    </row>
    <row r="243" customFormat="false" ht="19.5" hidden="false" customHeight="true" outlineLevel="0" collapsed="false">
      <c r="A243" s="102"/>
      <c r="B243" s="86"/>
      <c r="C243" s="86"/>
      <c r="D243" s="86"/>
      <c r="E243" s="86"/>
      <c r="F243" s="86"/>
      <c r="G243" s="86"/>
    </row>
    <row r="244" customFormat="false" ht="19.5" hidden="false" customHeight="true" outlineLevel="0" collapsed="false">
      <c r="A244" s="102"/>
      <c r="B244" s="86"/>
      <c r="C244" s="86"/>
      <c r="D244" s="86"/>
      <c r="E244" s="86"/>
      <c r="F244" s="86"/>
      <c r="G244" s="86"/>
    </row>
    <row r="245" customFormat="false" ht="19.5" hidden="false" customHeight="true" outlineLevel="0" collapsed="false">
      <c r="A245" s="102"/>
      <c r="B245" s="86"/>
      <c r="C245" s="86"/>
      <c r="D245" s="86"/>
      <c r="E245" s="86"/>
      <c r="F245" s="86"/>
      <c r="G245" s="86"/>
    </row>
    <row r="246" customFormat="false" ht="19.5" hidden="false" customHeight="true" outlineLevel="0" collapsed="false">
      <c r="A246" s="102"/>
      <c r="B246" s="86"/>
      <c r="C246" s="86"/>
      <c r="D246" s="86"/>
      <c r="E246" s="86"/>
      <c r="F246" s="86"/>
      <c r="G246" s="86"/>
    </row>
    <row r="247" customFormat="false" ht="19.5" hidden="false" customHeight="true" outlineLevel="0" collapsed="false">
      <c r="A247" s="102"/>
      <c r="B247" s="86"/>
      <c r="C247" s="86"/>
      <c r="D247" s="86"/>
      <c r="E247" s="86"/>
      <c r="F247" s="86"/>
      <c r="G247" s="86"/>
    </row>
    <row r="248" customFormat="false" ht="19.5" hidden="false" customHeight="true" outlineLevel="0" collapsed="false">
      <c r="A248" s="102"/>
      <c r="B248" s="86"/>
      <c r="C248" s="86"/>
      <c r="D248" s="86"/>
      <c r="E248" s="86"/>
      <c r="F248" s="86"/>
      <c r="G248" s="86"/>
    </row>
    <row r="249" customFormat="false" ht="19.5" hidden="false" customHeight="true" outlineLevel="0" collapsed="false">
      <c r="A249" s="102"/>
      <c r="B249" s="86"/>
      <c r="C249" s="86"/>
      <c r="D249" s="86"/>
      <c r="E249" s="86"/>
      <c r="F249" s="86"/>
      <c r="G249" s="86"/>
    </row>
    <row r="250" customFormat="false" ht="19.5" hidden="false" customHeight="true" outlineLevel="0" collapsed="false">
      <c r="A250" s="102"/>
      <c r="B250" s="86"/>
      <c r="C250" s="86"/>
      <c r="D250" s="86"/>
      <c r="E250" s="86"/>
      <c r="F250" s="86"/>
      <c r="G250" s="86"/>
    </row>
    <row r="251" customFormat="false" ht="19.5" hidden="false" customHeight="true" outlineLevel="0" collapsed="false">
      <c r="A251" s="102"/>
      <c r="B251" s="86"/>
      <c r="C251" s="86"/>
      <c r="D251" s="86"/>
      <c r="E251" s="86"/>
      <c r="F251" s="86"/>
      <c r="G251" s="86"/>
    </row>
    <row r="252" customFormat="false" ht="19.5" hidden="false" customHeight="true" outlineLevel="0" collapsed="false">
      <c r="A252" s="102"/>
      <c r="B252" s="86"/>
      <c r="C252" s="86"/>
      <c r="D252" s="86"/>
      <c r="E252" s="86"/>
      <c r="F252" s="86"/>
      <c r="G252" s="86"/>
    </row>
    <row r="253" customFormat="false" ht="19.5" hidden="false" customHeight="true" outlineLevel="0" collapsed="false">
      <c r="A253" s="102"/>
      <c r="B253" s="86"/>
      <c r="C253" s="86"/>
      <c r="D253" s="86"/>
      <c r="E253" s="86"/>
      <c r="F253" s="86"/>
      <c r="G253" s="86"/>
    </row>
    <row r="254" customFormat="false" ht="19.5" hidden="false" customHeight="true" outlineLevel="0" collapsed="false">
      <c r="A254" s="102"/>
      <c r="B254" s="86"/>
      <c r="C254" s="86"/>
      <c r="D254" s="86"/>
      <c r="E254" s="86"/>
      <c r="F254" s="86"/>
      <c r="G254" s="86"/>
    </row>
    <row r="255" customFormat="false" ht="19.5" hidden="false" customHeight="true" outlineLevel="0" collapsed="false">
      <c r="A255" s="102"/>
      <c r="B255" s="86"/>
      <c r="C255" s="86"/>
      <c r="D255" s="86"/>
      <c r="E255" s="86"/>
      <c r="F255" s="86"/>
      <c r="G255" s="86"/>
    </row>
    <row r="256" customFormat="false" ht="19.5" hidden="false" customHeight="true" outlineLevel="0" collapsed="false">
      <c r="A256" s="102"/>
      <c r="B256" s="86"/>
      <c r="C256" s="86"/>
      <c r="D256" s="86"/>
      <c r="E256" s="86"/>
      <c r="F256" s="86"/>
      <c r="G256" s="86"/>
    </row>
    <row r="257" customFormat="false" ht="19.5" hidden="false" customHeight="true" outlineLevel="0" collapsed="false">
      <c r="A257" s="102"/>
      <c r="B257" s="86"/>
      <c r="C257" s="86"/>
      <c r="D257" s="86"/>
      <c r="E257" s="86"/>
      <c r="F257" s="86"/>
      <c r="G257" s="86"/>
    </row>
    <row r="258" customFormat="false" ht="19.5" hidden="false" customHeight="true" outlineLevel="0" collapsed="false">
      <c r="A258" s="102"/>
      <c r="B258" s="86"/>
      <c r="C258" s="86"/>
      <c r="D258" s="86"/>
      <c r="E258" s="86"/>
      <c r="F258" s="86"/>
      <c r="G258" s="86"/>
    </row>
    <row r="259" customFormat="false" ht="19.5" hidden="false" customHeight="true" outlineLevel="0" collapsed="false">
      <c r="A259" s="102"/>
      <c r="B259" s="86"/>
      <c r="C259" s="86"/>
      <c r="D259" s="86"/>
      <c r="E259" s="86"/>
      <c r="F259" s="86"/>
      <c r="G259" s="86"/>
    </row>
    <row r="260" customFormat="false" ht="19.5" hidden="false" customHeight="true" outlineLevel="0" collapsed="false">
      <c r="A260" s="102"/>
      <c r="B260" s="86"/>
      <c r="C260" s="86"/>
      <c r="D260" s="86"/>
      <c r="E260" s="86"/>
      <c r="F260" s="86"/>
      <c r="G260" s="86"/>
    </row>
    <row r="261" customFormat="false" ht="19.5" hidden="false" customHeight="true" outlineLevel="0" collapsed="false">
      <c r="A261" s="102"/>
      <c r="B261" s="86"/>
      <c r="C261" s="86"/>
      <c r="D261" s="86"/>
      <c r="E261" s="86"/>
      <c r="F261" s="86"/>
      <c r="G261" s="86"/>
    </row>
    <row r="262" customFormat="false" ht="19.5" hidden="false" customHeight="true" outlineLevel="0" collapsed="false">
      <c r="A262" s="102"/>
      <c r="B262" s="86"/>
      <c r="C262" s="86"/>
      <c r="D262" s="86"/>
      <c r="E262" s="86"/>
      <c r="F262" s="86"/>
      <c r="G262" s="86"/>
    </row>
    <row r="263" customFormat="false" ht="19.5" hidden="false" customHeight="true" outlineLevel="0" collapsed="false">
      <c r="A263" s="102"/>
      <c r="B263" s="86"/>
      <c r="C263" s="86"/>
      <c r="D263" s="86"/>
      <c r="E263" s="86"/>
      <c r="F263" s="86"/>
      <c r="G263" s="86"/>
    </row>
    <row r="264" customFormat="false" ht="19.5" hidden="false" customHeight="true" outlineLevel="0" collapsed="false">
      <c r="A264" s="102"/>
      <c r="B264" s="86"/>
      <c r="C264" s="86"/>
      <c r="D264" s="86"/>
      <c r="E264" s="86"/>
      <c r="F264" s="86"/>
      <c r="G264" s="86"/>
    </row>
    <row r="265" customFormat="false" ht="19.5" hidden="false" customHeight="true" outlineLevel="0" collapsed="false">
      <c r="A265" s="102"/>
      <c r="B265" s="86"/>
      <c r="C265" s="86"/>
      <c r="D265" s="86"/>
      <c r="E265" s="86"/>
      <c r="F265" s="86"/>
      <c r="G265" s="86"/>
    </row>
    <row r="266" customFormat="false" ht="19.5" hidden="false" customHeight="true" outlineLevel="0" collapsed="false">
      <c r="A266" s="102"/>
      <c r="B266" s="86"/>
      <c r="C266" s="86"/>
      <c r="D266" s="86"/>
      <c r="E266" s="86"/>
      <c r="F266" s="86"/>
      <c r="G266" s="86"/>
    </row>
    <row r="267" customFormat="false" ht="19.5" hidden="false" customHeight="true" outlineLevel="0" collapsed="false">
      <c r="A267" s="102"/>
      <c r="B267" s="86"/>
      <c r="C267" s="86"/>
      <c r="D267" s="86"/>
      <c r="E267" s="86"/>
      <c r="F267" s="86"/>
      <c r="G267" s="86"/>
    </row>
    <row r="268" customFormat="false" ht="19.5" hidden="false" customHeight="true" outlineLevel="0" collapsed="false">
      <c r="A268" s="102"/>
      <c r="B268" s="86"/>
      <c r="C268" s="86"/>
      <c r="D268" s="86"/>
      <c r="E268" s="86"/>
      <c r="F268" s="86"/>
      <c r="G268" s="86"/>
    </row>
    <row r="269" customFormat="false" ht="19.5" hidden="false" customHeight="true" outlineLevel="0" collapsed="false">
      <c r="A269" s="102"/>
      <c r="B269" s="86"/>
      <c r="C269" s="86"/>
      <c r="D269" s="86"/>
      <c r="E269" s="86"/>
      <c r="F269" s="86"/>
      <c r="G269" s="86"/>
    </row>
    <row r="270" customFormat="false" ht="19.5" hidden="false" customHeight="true" outlineLevel="0" collapsed="false">
      <c r="A270" s="102"/>
      <c r="B270" s="86"/>
      <c r="C270" s="86"/>
      <c r="D270" s="86"/>
      <c r="E270" s="86"/>
      <c r="F270" s="86"/>
      <c r="G270" s="86"/>
    </row>
    <row r="271" customFormat="false" ht="19.5" hidden="false" customHeight="true" outlineLevel="0" collapsed="false">
      <c r="A271" s="102"/>
      <c r="B271" s="86"/>
      <c r="C271" s="86"/>
      <c r="D271" s="86"/>
      <c r="E271" s="86"/>
      <c r="F271" s="86"/>
      <c r="G271" s="86"/>
    </row>
    <row r="272" customFormat="false" ht="19.5" hidden="false" customHeight="true" outlineLevel="0" collapsed="false">
      <c r="A272" s="102"/>
      <c r="B272" s="86"/>
      <c r="C272" s="86"/>
      <c r="D272" s="86"/>
      <c r="E272" s="86"/>
      <c r="F272" s="86"/>
      <c r="G272" s="86"/>
    </row>
    <row r="273" customFormat="false" ht="19.5" hidden="false" customHeight="true" outlineLevel="0" collapsed="false">
      <c r="A273" s="102"/>
      <c r="B273" s="86"/>
      <c r="C273" s="86"/>
      <c r="D273" s="86"/>
      <c r="E273" s="86"/>
      <c r="F273" s="86"/>
      <c r="G273" s="86"/>
    </row>
    <row r="274" customFormat="false" ht="19.5" hidden="false" customHeight="true" outlineLevel="0" collapsed="false">
      <c r="A274" s="102"/>
      <c r="B274" s="86"/>
      <c r="C274" s="86"/>
      <c r="D274" s="86"/>
      <c r="E274" s="86"/>
      <c r="F274" s="86"/>
      <c r="G274" s="86"/>
    </row>
    <row r="275" customFormat="false" ht="19.5" hidden="false" customHeight="true" outlineLevel="0" collapsed="false">
      <c r="A275" s="102"/>
      <c r="B275" s="86"/>
      <c r="C275" s="86"/>
      <c r="D275" s="86"/>
      <c r="E275" s="86"/>
      <c r="F275" s="86"/>
      <c r="G275" s="86"/>
    </row>
    <row r="276" customFormat="false" ht="19.5" hidden="false" customHeight="true" outlineLevel="0" collapsed="false">
      <c r="A276" s="102"/>
      <c r="B276" s="86"/>
      <c r="C276" s="86"/>
      <c r="D276" s="86"/>
      <c r="E276" s="86"/>
      <c r="F276" s="86"/>
      <c r="G276" s="86"/>
    </row>
    <row r="277" customFormat="false" ht="19.5" hidden="false" customHeight="true" outlineLevel="0" collapsed="false">
      <c r="A277" s="102"/>
      <c r="B277" s="86"/>
      <c r="C277" s="86"/>
      <c r="D277" s="86"/>
      <c r="E277" s="86"/>
      <c r="F277" s="86"/>
      <c r="G277" s="86"/>
    </row>
    <row r="278" customFormat="false" ht="19.5" hidden="false" customHeight="true" outlineLevel="0" collapsed="false">
      <c r="A278" s="102"/>
      <c r="B278" s="86"/>
      <c r="C278" s="86"/>
      <c r="D278" s="86"/>
      <c r="E278" s="86"/>
      <c r="F278" s="86"/>
      <c r="G278" s="86"/>
    </row>
    <row r="279" customFormat="false" ht="19.5" hidden="false" customHeight="true" outlineLevel="0" collapsed="false">
      <c r="A279" s="102"/>
      <c r="B279" s="86"/>
      <c r="C279" s="86"/>
      <c r="D279" s="86"/>
      <c r="E279" s="86"/>
      <c r="F279" s="86"/>
      <c r="G279" s="86"/>
    </row>
    <row r="280" customFormat="false" ht="19.5" hidden="false" customHeight="true" outlineLevel="0" collapsed="false">
      <c r="A280" s="102"/>
      <c r="B280" s="86"/>
      <c r="C280" s="86"/>
      <c r="D280" s="86"/>
      <c r="E280" s="86"/>
      <c r="F280" s="86"/>
      <c r="G280" s="86"/>
    </row>
    <row r="281" customFormat="false" ht="19.5" hidden="false" customHeight="true" outlineLevel="0" collapsed="false">
      <c r="A281" s="102"/>
      <c r="B281" s="86"/>
      <c r="C281" s="86"/>
      <c r="D281" s="86"/>
      <c r="E281" s="86"/>
      <c r="F281" s="86"/>
      <c r="G281" s="86"/>
    </row>
    <row r="282" customFormat="false" ht="19.5" hidden="false" customHeight="true" outlineLevel="0" collapsed="false">
      <c r="A282" s="102"/>
      <c r="B282" s="86"/>
      <c r="C282" s="86"/>
      <c r="D282" s="86"/>
      <c r="E282" s="86"/>
      <c r="F282" s="86"/>
      <c r="G282" s="86"/>
    </row>
    <row r="283" customFormat="false" ht="19.5" hidden="false" customHeight="true" outlineLevel="0" collapsed="false">
      <c r="A283" s="102"/>
      <c r="B283" s="86"/>
      <c r="C283" s="86"/>
      <c r="D283" s="86"/>
      <c r="E283" s="86"/>
      <c r="F283" s="86"/>
      <c r="G283" s="86"/>
    </row>
    <row r="284" customFormat="false" ht="19.5" hidden="false" customHeight="true" outlineLevel="0" collapsed="false">
      <c r="A284" s="102"/>
      <c r="B284" s="86"/>
      <c r="C284" s="86"/>
      <c r="D284" s="86"/>
      <c r="E284" s="86"/>
      <c r="F284" s="86"/>
      <c r="G284" s="86"/>
    </row>
    <row r="285" customFormat="false" ht="19.5" hidden="false" customHeight="true" outlineLevel="0" collapsed="false">
      <c r="A285" s="102"/>
      <c r="B285" s="86"/>
      <c r="C285" s="86"/>
      <c r="D285" s="86"/>
      <c r="E285" s="86"/>
      <c r="F285" s="86"/>
      <c r="G285" s="86"/>
    </row>
    <row r="286" customFormat="false" ht="19.5" hidden="false" customHeight="true" outlineLevel="0" collapsed="false">
      <c r="A286" s="102"/>
      <c r="B286" s="86"/>
      <c r="C286" s="86"/>
      <c r="D286" s="86"/>
      <c r="E286" s="86"/>
      <c r="F286" s="86"/>
      <c r="G286" s="86"/>
    </row>
    <row r="287" customFormat="false" ht="19.5" hidden="false" customHeight="true" outlineLevel="0" collapsed="false">
      <c r="A287" s="102"/>
      <c r="B287" s="86"/>
      <c r="C287" s="86"/>
      <c r="D287" s="86"/>
      <c r="E287" s="86"/>
      <c r="F287" s="86"/>
      <c r="G287" s="86"/>
    </row>
    <row r="288" customFormat="false" ht="19.5" hidden="false" customHeight="true" outlineLevel="0" collapsed="false">
      <c r="A288" s="102"/>
      <c r="B288" s="86"/>
      <c r="C288" s="86"/>
      <c r="D288" s="86"/>
      <c r="E288" s="86"/>
      <c r="F288" s="86"/>
      <c r="G288" s="86"/>
    </row>
    <row r="289" customFormat="false" ht="19.5" hidden="false" customHeight="true" outlineLevel="0" collapsed="false">
      <c r="A289" s="102"/>
      <c r="B289" s="86"/>
      <c r="C289" s="86"/>
      <c r="D289" s="86"/>
      <c r="E289" s="86"/>
      <c r="F289" s="86"/>
      <c r="G289" s="86"/>
    </row>
    <row r="290" customFormat="false" ht="19.5" hidden="false" customHeight="true" outlineLevel="0" collapsed="false">
      <c r="A290" s="102"/>
      <c r="B290" s="86"/>
      <c r="C290" s="86"/>
      <c r="D290" s="86"/>
      <c r="E290" s="86"/>
      <c r="F290" s="86"/>
      <c r="G290" s="86"/>
    </row>
    <row r="291" customFormat="false" ht="19.5" hidden="false" customHeight="true" outlineLevel="0" collapsed="false">
      <c r="A291" s="102"/>
      <c r="B291" s="86"/>
      <c r="C291" s="86"/>
      <c r="D291" s="86"/>
      <c r="E291" s="86"/>
      <c r="F291" s="86"/>
      <c r="G291" s="86"/>
    </row>
    <row r="292" customFormat="false" ht="19.5" hidden="false" customHeight="true" outlineLevel="0" collapsed="false">
      <c r="A292" s="102"/>
      <c r="B292" s="86"/>
      <c r="C292" s="86"/>
      <c r="D292" s="86"/>
      <c r="E292" s="86"/>
      <c r="F292" s="86"/>
      <c r="G292" s="86"/>
    </row>
    <row r="293" customFormat="false" ht="19.5" hidden="false" customHeight="true" outlineLevel="0" collapsed="false">
      <c r="A293" s="102"/>
      <c r="B293" s="86"/>
      <c r="C293" s="86"/>
      <c r="D293" s="86"/>
      <c r="E293" s="86"/>
      <c r="F293" s="86"/>
      <c r="G293" s="86"/>
    </row>
    <row r="294" customFormat="false" ht="19.5" hidden="false" customHeight="true" outlineLevel="0" collapsed="false">
      <c r="A294" s="102"/>
      <c r="B294" s="86"/>
      <c r="C294" s="86"/>
      <c r="D294" s="86"/>
      <c r="E294" s="86"/>
      <c r="F294" s="86"/>
      <c r="G294" s="86"/>
    </row>
    <row r="295" customFormat="false" ht="19.5" hidden="false" customHeight="true" outlineLevel="0" collapsed="false">
      <c r="A295" s="102"/>
      <c r="B295" s="86"/>
      <c r="C295" s="86"/>
      <c r="D295" s="86"/>
      <c r="E295" s="86"/>
      <c r="F295" s="86"/>
      <c r="G295" s="86"/>
    </row>
    <row r="296" customFormat="false" ht="19.5" hidden="false" customHeight="true" outlineLevel="0" collapsed="false">
      <c r="A296" s="102"/>
      <c r="B296" s="86"/>
      <c r="C296" s="86"/>
      <c r="D296" s="86"/>
      <c r="E296" s="86"/>
      <c r="F296" s="86"/>
      <c r="G296" s="86"/>
    </row>
    <row r="297" customFormat="false" ht="19.5" hidden="false" customHeight="true" outlineLevel="0" collapsed="false">
      <c r="A297" s="102"/>
      <c r="B297" s="86"/>
      <c r="C297" s="86"/>
      <c r="D297" s="86"/>
      <c r="E297" s="86"/>
      <c r="F297" s="86"/>
      <c r="G297" s="86"/>
    </row>
    <row r="298" customFormat="false" ht="19.5" hidden="false" customHeight="true" outlineLevel="0" collapsed="false">
      <c r="A298" s="102"/>
      <c r="B298" s="86"/>
      <c r="C298" s="86"/>
      <c r="D298" s="86"/>
      <c r="E298" s="86"/>
      <c r="F298" s="86"/>
      <c r="G298" s="86"/>
    </row>
    <row r="299" customFormat="false" ht="19.5" hidden="false" customHeight="true" outlineLevel="0" collapsed="false">
      <c r="A299" s="102"/>
      <c r="B299" s="86"/>
      <c r="C299" s="86"/>
      <c r="D299" s="86"/>
      <c r="E299" s="86"/>
      <c r="F299" s="86"/>
      <c r="G299" s="86"/>
    </row>
    <row r="300" customFormat="false" ht="19.5" hidden="false" customHeight="true" outlineLevel="0" collapsed="false">
      <c r="A300" s="102"/>
      <c r="B300" s="86"/>
      <c r="C300" s="86"/>
      <c r="D300" s="86"/>
      <c r="E300" s="86"/>
      <c r="F300" s="86"/>
      <c r="G300" s="86"/>
    </row>
    <row r="301" customFormat="false" ht="19.5" hidden="false" customHeight="true" outlineLevel="0" collapsed="false">
      <c r="A301" s="102"/>
      <c r="B301" s="86"/>
      <c r="C301" s="86"/>
      <c r="D301" s="86"/>
      <c r="E301" s="86"/>
      <c r="F301" s="86"/>
      <c r="G301" s="86"/>
    </row>
    <row r="302" customFormat="false" ht="19.5" hidden="false" customHeight="true" outlineLevel="0" collapsed="false">
      <c r="A302" s="102"/>
      <c r="B302" s="86"/>
      <c r="C302" s="86"/>
      <c r="D302" s="86"/>
      <c r="E302" s="86"/>
      <c r="F302" s="86"/>
      <c r="G302" s="86"/>
    </row>
    <row r="303" customFormat="false" ht="19.5" hidden="false" customHeight="true" outlineLevel="0" collapsed="false">
      <c r="A303" s="102"/>
      <c r="B303" s="86"/>
      <c r="C303" s="86"/>
      <c r="D303" s="86"/>
      <c r="E303" s="86"/>
      <c r="F303" s="86"/>
      <c r="G303" s="86"/>
    </row>
    <row r="304" customFormat="false" ht="19.5" hidden="false" customHeight="true" outlineLevel="0" collapsed="false">
      <c r="A304" s="102"/>
      <c r="B304" s="86"/>
      <c r="C304" s="86"/>
      <c r="D304" s="86"/>
      <c r="E304" s="86"/>
      <c r="F304" s="86"/>
      <c r="G304" s="86"/>
    </row>
  </sheetData>
  <mergeCells count="3">
    <mergeCell ref="A1:G1"/>
    <mergeCell ref="A2:G2"/>
    <mergeCell ref="A3:G3"/>
  </mergeCells>
  <conditionalFormatting sqref="A5:G304">
    <cfRule type="expression" priority="2" aboveAverage="0" equalAverage="0" bottom="0" percent="0" rank="0" text="" dxfId="0">
      <formula>AND(MOD(ROW(),2)=0,$A5&lt;&gt;"")</formula>
    </cfRule>
  </conditionalFormatting>
  <conditionalFormatting sqref="G5:G304">
    <cfRule type="expression" priority="3" aboveAverage="0" equalAverage="0" bottom="0" percent="0" rank="0" text="" dxfId="6">
      <formula>LEFT($G5,4)="Sent"</formula>
    </cfRule>
    <cfRule type="expression" priority="4" aboveAverage="0" equalAverage="0" bottom="0" percent="0" rank="0" text="" dxfId="7">
      <formula>OR(LEFT($G5,6)="Failed",LEFT($G5,7)="Invalid")</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9A"/>
    <pageSetUpPr fitToPage="true"/>
  </sheetPr>
  <dimension ref="A1:K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2" style="1" width="12"/>
    <col collapsed="false" customWidth="true" hidden="false" outlineLevel="0" max="4" min="4" style="1" width="10"/>
    <col collapsed="false" customWidth="true" hidden="false" outlineLevel="0" max="5" min="5" style="1" width="12"/>
    <col collapsed="false" customWidth="true" hidden="false" outlineLevel="0" max="6" min="6" style="1" width="10"/>
    <col collapsed="false" customWidth="true" hidden="false" outlineLevel="0" max="7" min="7" style="1" width="13"/>
    <col collapsed="false" customWidth="true" hidden="false" outlineLevel="0" max="8" min="8" style="0" width="46"/>
    <col collapsed="false" customWidth="true" hidden="false" outlineLevel="0" max="9" min="9" style="0" width="44"/>
    <col collapsed="false" customWidth="true" hidden="false" outlineLevel="0" max="10" min="10" style="0" width="30"/>
    <col collapsed="false" customWidth="true" hidden="false" outlineLevel="0" max="11" min="11" style="0" width="22"/>
  </cols>
  <sheetData>
    <row r="1" customFormat="false" ht="42" hidden="false" customHeight="true" outlineLevel="0" collapsed="false">
      <c r="A1" s="2" t="s">
        <v>395</v>
      </c>
      <c r="B1" s="2"/>
      <c r="C1" s="2"/>
      <c r="D1" s="2"/>
      <c r="E1" s="2"/>
      <c r="F1" s="2"/>
      <c r="G1" s="2"/>
      <c r="H1" s="2"/>
      <c r="I1" s="2"/>
      <c r="J1" s="2"/>
      <c r="K1" s="2"/>
    </row>
    <row r="2" customFormat="false" ht="19.5" hidden="false" customHeight="true" outlineLevel="0" collapsed="false">
      <c r="A2" s="3" t="s">
        <v>396</v>
      </c>
      <c r="B2" s="3"/>
      <c r="C2" s="3"/>
      <c r="D2" s="3"/>
      <c r="E2" s="3"/>
      <c r="F2" s="3"/>
      <c r="G2" s="3"/>
      <c r="H2" s="3"/>
      <c r="I2" s="3"/>
      <c r="J2" s="3"/>
      <c r="K2" s="3"/>
    </row>
    <row r="3" customFormat="false" ht="3.75" hidden="false" customHeight="true" outlineLevel="0" collapsed="false">
      <c r="A3" s="4"/>
      <c r="B3" s="4"/>
      <c r="C3" s="4"/>
      <c r="D3" s="4"/>
      <c r="E3" s="4"/>
      <c r="F3" s="4"/>
      <c r="G3" s="4"/>
      <c r="H3" s="4"/>
      <c r="I3" s="4"/>
      <c r="J3" s="4"/>
      <c r="K3" s="4"/>
    </row>
    <row r="4" customFormat="false" ht="33.75" hidden="false" customHeight="true" outlineLevel="0" collapsed="false">
      <c r="A4" s="15" t="s">
        <v>192</v>
      </c>
      <c r="B4" s="15" t="s">
        <v>150</v>
      </c>
      <c r="C4" s="15" t="s">
        <v>151</v>
      </c>
      <c r="D4" s="15" t="s">
        <v>99</v>
      </c>
      <c r="E4" s="15" t="s">
        <v>340</v>
      </c>
      <c r="F4" s="15" t="s">
        <v>278</v>
      </c>
      <c r="G4" s="15" t="s">
        <v>397</v>
      </c>
      <c r="H4" s="15" t="s">
        <v>398</v>
      </c>
      <c r="I4" s="15" t="s">
        <v>399</v>
      </c>
      <c r="J4" s="15" t="s">
        <v>400</v>
      </c>
      <c r="K4" s="15" t="s">
        <v>331</v>
      </c>
    </row>
    <row r="5" customFormat="false" ht="19.5" hidden="false" customHeight="true" outlineLevel="0" collapsed="false">
      <c r="A5" s="103"/>
      <c r="B5" s="86"/>
      <c r="C5" s="86"/>
      <c r="D5" s="86"/>
      <c r="E5" s="86"/>
      <c r="F5" s="86"/>
      <c r="G5" s="86"/>
      <c r="H5" s="86"/>
      <c r="I5" s="86"/>
      <c r="J5" s="86"/>
      <c r="K5" s="86"/>
    </row>
    <row r="6" customFormat="false" ht="19.5" hidden="false" customHeight="true" outlineLevel="0" collapsed="false">
      <c r="A6" s="103"/>
      <c r="B6" s="86"/>
      <c r="C6" s="86"/>
      <c r="D6" s="86"/>
      <c r="E6" s="86"/>
      <c r="F6" s="86"/>
      <c r="G6" s="86"/>
      <c r="H6" s="86"/>
      <c r="I6" s="86"/>
      <c r="J6" s="86"/>
      <c r="K6" s="86"/>
    </row>
    <row r="7" customFormat="false" ht="19.5" hidden="false" customHeight="true" outlineLevel="0" collapsed="false">
      <c r="A7" s="103"/>
      <c r="B7" s="86"/>
      <c r="C7" s="86"/>
      <c r="D7" s="86"/>
      <c r="E7" s="86"/>
      <c r="F7" s="86"/>
      <c r="G7" s="86"/>
      <c r="H7" s="86"/>
      <c r="I7" s="86"/>
      <c r="J7" s="86"/>
      <c r="K7" s="86"/>
    </row>
    <row r="8" customFormat="false" ht="19.5" hidden="false" customHeight="true" outlineLevel="0" collapsed="false">
      <c r="A8" s="103"/>
      <c r="B8" s="86"/>
      <c r="C8" s="86"/>
      <c r="D8" s="86"/>
      <c r="E8" s="86"/>
      <c r="F8" s="86"/>
      <c r="G8" s="86"/>
      <c r="H8" s="86"/>
      <c r="I8" s="86"/>
      <c r="J8" s="86"/>
      <c r="K8" s="86"/>
    </row>
    <row r="9" customFormat="false" ht="19.5" hidden="false" customHeight="true" outlineLevel="0" collapsed="false">
      <c r="A9" s="103"/>
      <c r="B9" s="86"/>
      <c r="C9" s="86"/>
      <c r="D9" s="86"/>
      <c r="E9" s="86"/>
      <c r="F9" s="86"/>
      <c r="G9" s="86"/>
      <c r="H9" s="86"/>
      <c r="I9" s="86"/>
      <c r="J9" s="86"/>
      <c r="K9" s="86"/>
    </row>
    <row r="10" customFormat="false" ht="19.5" hidden="false" customHeight="true" outlineLevel="0" collapsed="false">
      <c r="A10" s="103"/>
      <c r="B10" s="86"/>
      <c r="C10" s="86"/>
      <c r="D10" s="86"/>
      <c r="E10" s="86"/>
      <c r="F10" s="86"/>
      <c r="G10" s="86"/>
      <c r="H10" s="86"/>
      <c r="I10" s="86"/>
      <c r="J10" s="86"/>
      <c r="K10" s="86"/>
    </row>
    <row r="11" customFormat="false" ht="19.5" hidden="false" customHeight="true" outlineLevel="0" collapsed="false">
      <c r="A11" s="103"/>
      <c r="B11" s="86"/>
      <c r="C11" s="86"/>
      <c r="D11" s="86"/>
      <c r="E11" s="86"/>
      <c r="F11" s="86"/>
      <c r="G11" s="86"/>
      <c r="H11" s="86"/>
      <c r="I11" s="86"/>
      <c r="J11" s="86"/>
      <c r="K11" s="86"/>
    </row>
    <row r="12" customFormat="false" ht="19.5" hidden="false" customHeight="true" outlineLevel="0" collapsed="false">
      <c r="A12" s="103"/>
      <c r="B12" s="86"/>
      <c r="C12" s="86"/>
      <c r="D12" s="86"/>
      <c r="E12" s="86"/>
      <c r="F12" s="86"/>
      <c r="G12" s="86"/>
      <c r="H12" s="86"/>
      <c r="I12" s="86"/>
      <c r="J12" s="86"/>
      <c r="K12" s="86"/>
    </row>
    <row r="13" customFormat="false" ht="19.5" hidden="false" customHeight="true" outlineLevel="0" collapsed="false">
      <c r="A13" s="103"/>
      <c r="B13" s="86"/>
      <c r="C13" s="86"/>
      <c r="D13" s="86"/>
      <c r="E13" s="86"/>
      <c r="F13" s="86"/>
      <c r="G13" s="86"/>
      <c r="H13" s="86"/>
      <c r="I13" s="86"/>
      <c r="J13" s="86"/>
      <c r="K13" s="86"/>
    </row>
    <row r="14" customFormat="false" ht="19.5" hidden="false" customHeight="true" outlineLevel="0" collapsed="false">
      <c r="A14" s="103"/>
      <c r="B14" s="86"/>
      <c r="C14" s="86"/>
      <c r="D14" s="86"/>
      <c r="E14" s="86"/>
      <c r="F14" s="86"/>
      <c r="G14" s="86"/>
      <c r="H14" s="86"/>
      <c r="I14" s="86"/>
      <c r="J14" s="86"/>
      <c r="K14" s="86"/>
    </row>
    <row r="15" customFormat="false" ht="19.5" hidden="false" customHeight="true" outlineLevel="0" collapsed="false">
      <c r="A15" s="103"/>
      <c r="B15" s="86"/>
      <c r="C15" s="86"/>
      <c r="D15" s="86"/>
      <c r="E15" s="86"/>
      <c r="F15" s="86"/>
      <c r="G15" s="86"/>
      <c r="H15" s="86"/>
      <c r="I15" s="86"/>
      <c r="J15" s="86"/>
      <c r="K15" s="86"/>
    </row>
    <row r="16" customFormat="false" ht="19.5" hidden="false" customHeight="true" outlineLevel="0" collapsed="false">
      <c r="A16" s="103"/>
      <c r="B16" s="86"/>
      <c r="C16" s="86"/>
      <c r="D16" s="86"/>
      <c r="E16" s="86"/>
      <c r="F16" s="86"/>
      <c r="G16" s="86"/>
      <c r="H16" s="86"/>
      <c r="I16" s="86"/>
      <c r="J16" s="86"/>
      <c r="K16" s="86"/>
    </row>
    <row r="17" customFormat="false" ht="19.5" hidden="false" customHeight="true" outlineLevel="0" collapsed="false">
      <c r="A17" s="103"/>
      <c r="B17" s="86"/>
      <c r="C17" s="86"/>
      <c r="D17" s="86"/>
      <c r="E17" s="86"/>
      <c r="F17" s="86"/>
      <c r="G17" s="86"/>
      <c r="H17" s="86"/>
      <c r="I17" s="86"/>
      <c r="J17" s="86"/>
      <c r="K17" s="86"/>
    </row>
    <row r="18" customFormat="false" ht="19.5" hidden="false" customHeight="true" outlineLevel="0" collapsed="false">
      <c r="A18" s="103"/>
      <c r="B18" s="86"/>
      <c r="C18" s="86"/>
      <c r="D18" s="86"/>
      <c r="E18" s="86"/>
      <c r="F18" s="86"/>
      <c r="G18" s="86"/>
      <c r="H18" s="86"/>
      <c r="I18" s="86"/>
      <c r="J18" s="86"/>
      <c r="K18" s="86"/>
    </row>
    <row r="19" customFormat="false" ht="19.5" hidden="false" customHeight="true" outlineLevel="0" collapsed="false">
      <c r="A19" s="103"/>
      <c r="B19" s="86"/>
      <c r="C19" s="86"/>
      <c r="D19" s="86"/>
      <c r="E19" s="86"/>
      <c r="F19" s="86"/>
      <c r="G19" s="86"/>
      <c r="H19" s="86"/>
      <c r="I19" s="86"/>
      <c r="J19" s="86"/>
      <c r="K19" s="86"/>
    </row>
    <row r="20" customFormat="false" ht="19.5" hidden="false" customHeight="true" outlineLevel="0" collapsed="false">
      <c r="A20" s="103"/>
      <c r="B20" s="86"/>
      <c r="C20" s="86"/>
      <c r="D20" s="86"/>
      <c r="E20" s="86"/>
      <c r="F20" s="86"/>
      <c r="G20" s="86"/>
      <c r="H20" s="86"/>
      <c r="I20" s="86"/>
      <c r="J20" s="86"/>
      <c r="K20" s="86"/>
    </row>
    <row r="21" customFormat="false" ht="19.5" hidden="false" customHeight="true" outlineLevel="0" collapsed="false">
      <c r="A21" s="103"/>
      <c r="B21" s="86"/>
      <c r="C21" s="86"/>
      <c r="D21" s="86"/>
      <c r="E21" s="86"/>
      <c r="F21" s="86"/>
      <c r="G21" s="86"/>
      <c r="H21" s="86"/>
      <c r="I21" s="86"/>
      <c r="J21" s="86"/>
      <c r="K21" s="86"/>
    </row>
    <row r="22" customFormat="false" ht="19.5" hidden="false" customHeight="true" outlineLevel="0" collapsed="false">
      <c r="A22" s="103"/>
      <c r="B22" s="86"/>
      <c r="C22" s="86"/>
      <c r="D22" s="86"/>
      <c r="E22" s="86"/>
      <c r="F22" s="86"/>
      <c r="G22" s="86"/>
      <c r="H22" s="86"/>
      <c r="I22" s="86"/>
      <c r="J22" s="86"/>
      <c r="K22" s="86"/>
    </row>
    <row r="23" customFormat="false" ht="19.5" hidden="false" customHeight="true" outlineLevel="0" collapsed="false">
      <c r="A23" s="103"/>
      <c r="B23" s="86"/>
      <c r="C23" s="86"/>
      <c r="D23" s="86"/>
      <c r="E23" s="86"/>
      <c r="F23" s="86"/>
      <c r="G23" s="86"/>
      <c r="H23" s="86"/>
      <c r="I23" s="86"/>
      <c r="J23" s="86"/>
      <c r="K23" s="86"/>
    </row>
    <row r="24" customFormat="false" ht="19.5" hidden="false" customHeight="true" outlineLevel="0" collapsed="false">
      <c r="A24" s="103"/>
      <c r="B24" s="86"/>
      <c r="C24" s="86"/>
      <c r="D24" s="86"/>
      <c r="E24" s="86"/>
      <c r="F24" s="86"/>
      <c r="G24" s="86"/>
      <c r="H24" s="86"/>
      <c r="I24" s="86"/>
      <c r="J24" s="86"/>
      <c r="K24" s="86"/>
    </row>
    <row r="25" customFormat="false" ht="19.5" hidden="false" customHeight="true" outlineLevel="0" collapsed="false">
      <c r="A25" s="103"/>
      <c r="B25" s="86"/>
      <c r="C25" s="86"/>
      <c r="D25" s="86"/>
      <c r="E25" s="86"/>
      <c r="F25" s="86"/>
      <c r="G25" s="86"/>
      <c r="H25" s="86"/>
      <c r="I25" s="86"/>
      <c r="J25" s="86"/>
      <c r="K25" s="86"/>
    </row>
    <row r="26" customFormat="false" ht="19.5" hidden="false" customHeight="true" outlineLevel="0" collapsed="false">
      <c r="A26" s="103"/>
      <c r="B26" s="86"/>
      <c r="C26" s="86"/>
      <c r="D26" s="86"/>
      <c r="E26" s="86"/>
      <c r="F26" s="86"/>
      <c r="G26" s="86"/>
      <c r="H26" s="86"/>
      <c r="I26" s="86"/>
      <c r="J26" s="86"/>
      <c r="K26" s="86"/>
    </row>
    <row r="27" customFormat="false" ht="19.5" hidden="false" customHeight="true" outlineLevel="0" collapsed="false">
      <c r="A27" s="103"/>
      <c r="B27" s="86"/>
      <c r="C27" s="86"/>
      <c r="D27" s="86"/>
      <c r="E27" s="86"/>
      <c r="F27" s="86"/>
      <c r="G27" s="86"/>
      <c r="H27" s="86"/>
      <c r="I27" s="86"/>
      <c r="J27" s="86"/>
      <c r="K27" s="86"/>
    </row>
    <row r="28" customFormat="false" ht="19.5" hidden="false" customHeight="true" outlineLevel="0" collapsed="false">
      <c r="A28" s="103"/>
      <c r="B28" s="86"/>
      <c r="C28" s="86"/>
      <c r="D28" s="86"/>
      <c r="E28" s="86"/>
      <c r="F28" s="86"/>
      <c r="G28" s="86"/>
      <c r="H28" s="86"/>
      <c r="I28" s="86"/>
      <c r="J28" s="86"/>
      <c r="K28" s="86"/>
    </row>
    <row r="29" customFormat="false" ht="19.5" hidden="false" customHeight="true" outlineLevel="0" collapsed="false">
      <c r="A29" s="103"/>
      <c r="B29" s="86"/>
      <c r="C29" s="86"/>
      <c r="D29" s="86"/>
      <c r="E29" s="86"/>
      <c r="F29" s="86"/>
      <c r="G29" s="86"/>
      <c r="H29" s="86"/>
      <c r="I29" s="86"/>
      <c r="J29" s="86"/>
      <c r="K29" s="86"/>
    </row>
    <row r="30" customFormat="false" ht="19.5" hidden="false" customHeight="true" outlineLevel="0" collapsed="false">
      <c r="A30" s="103"/>
      <c r="B30" s="86"/>
      <c r="C30" s="86"/>
      <c r="D30" s="86"/>
      <c r="E30" s="86"/>
      <c r="F30" s="86"/>
      <c r="G30" s="86"/>
      <c r="H30" s="86"/>
      <c r="I30" s="86"/>
      <c r="J30" s="86"/>
      <c r="K30" s="86"/>
    </row>
    <row r="31" customFormat="false" ht="19.5" hidden="false" customHeight="true" outlineLevel="0" collapsed="false">
      <c r="A31" s="103"/>
      <c r="B31" s="86"/>
      <c r="C31" s="86"/>
      <c r="D31" s="86"/>
      <c r="E31" s="86"/>
      <c r="F31" s="86"/>
      <c r="G31" s="86"/>
      <c r="H31" s="86"/>
      <c r="I31" s="86"/>
      <c r="J31" s="86"/>
      <c r="K31" s="86"/>
    </row>
    <row r="32" customFormat="false" ht="19.5" hidden="false" customHeight="true" outlineLevel="0" collapsed="false">
      <c r="A32" s="103"/>
      <c r="B32" s="86"/>
      <c r="C32" s="86"/>
      <c r="D32" s="86"/>
      <c r="E32" s="86"/>
      <c r="F32" s="86"/>
      <c r="G32" s="86"/>
      <c r="H32" s="86"/>
      <c r="I32" s="86"/>
      <c r="J32" s="86"/>
      <c r="K32" s="86"/>
    </row>
    <row r="33" customFormat="false" ht="19.5" hidden="false" customHeight="true" outlineLevel="0" collapsed="false">
      <c r="A33" s="103"/>
      <c r="B33" s="86"/>
      <c r="C33" s="86"/>
      <c r="D33" s="86"/>
      <c r="E33" s="86"/>
      <c r="F33" s="86"/>
      <c r="G33" s="86"/>
      <c r="H33" s="86"/>
      <c r="I33" s="86"/>
      <c r="J33" s="86"/>
      <c r="K33" s="86"/>
    </row>
    <row r="34" customFormat="false" ht="19.5" hidden="false" customHeight="true" outlineLevel="0" collapsed="false">
      <c r="A34" s="103"/>
      <c r="B34" s="86"/>
      <c r="C34" s="86"/>
      <c r="D34" s="86"/>
      <c r="E34" s="86"/>
      <c r="F34" s="86"/>
      <c r="G34" s="86"/>
      <c r="H34" s="86"/>
      <c r="I34" s="86"/>
      <c r="J34" s="86"/>
      <c r="K34" s="86"/>
    </row>
    <row r="35" customFormat="false" ht="19.5" hidden="false" customHeight="true" outlineLevel="0" collapsed="false">
      <c r="A35" s="103"/>
      <c r="B35" s="86"/>
      <c r="C35" s="86"/>
      <c r="D35" s="86"/>
      <c r="E35" s="86"/>
      <c r="F35" s="86"/>
      <c r="G35" s="86"/>
      <c r="H35" s="86"/>
      <c r="I35" s="86"/>
      <c r="J35" s="86"/>
      <c r="K35" s="86"/>
    </row>
    <row r="36" customFormat="false" ht="19.5" hidden="false" customHeight="true" outlineLevel="0" collapsed="false">
      <c r="A36" s="103"/>
      <c r="B36" s="86"/>
      <c r="C36" s="86"/>
      <c r="D36" s="86"/>
      <c r="E36" s="86"/>
      <c r="F36" s="86"/>
      <c r="G36" s="86"/>
      <c r="H36" s="86"/>
      <c r="I36" s="86"/>
      <c r="J36" s="86"/>
      <c r="K36" s="86"/>
    </row>
    <row r="37" customFormat="false" ht="19.5" hidden="false" customHeight="true" outlineLevel="0" collapsed="false">
      <c r="A37" s="103"/>
      <c r="B37" s="86"/>
      <c r="C37" s="86"/>
      <c r="D37" s="86"/>
      <c r="E37" s="86"/>
      <c r="F37" s="86"/>
      <c r="G37" s="86"/>
      <c r="H37" s="86"/>
      <c r="I37" s="86"/>
      <c r="J37" s="86"/>
      <c r="K37" s="86"/>
    </row>
    <row r="38" customFormat="false" ht="19.5" hidden="false" customHeight="true" outlineLevel="0" collapsed="false">
      <c r="A38" s="103"/>
      <c r="B38" s="86"/>
      <c r="C38" s="86"/>
      <c r="D38" s="86"/>
      <c r="E38" s="86"/>
      <c r="F38" s="86"/>
      <c r="G38" s="86"/>
      <c r="H38" s="86"/>
      <c r="I38" s="86"/>
      <c r="J38" s="86"/>
      <c r="K38" s="86"/>
    </row>
    <row r="39" customFormat="false" ht="19.5" hidden="false" customHeight="true" outlineLevel="0" collapsed="false">
      <c r="A39" s="103"/>
      <c r="B39" s="86"/>
      <c r="C39" s="86"/>
      <c r="D39" s="86"/>
      <c r="E39" s="86"/>
      <c r="F39" s="86"/>
      <c r="G39" s="86"/>
      <c r="H39" s="86"/>
      <c r="I39" s="86"/>
      <c r="J39" s="86"/>
      <c r="K39" s="86"/>
    </row>
    <row r="40" customFormat="false" ht="19.5" hidden="false" customHeight="true" outlineLevel="0" collapsed="false">
      <c r="A40" s="103"/>
      <c r="B40" s="86"/>
      <c r="C40" s="86"/>
      <c r="D40" s="86"/>
      <c r="E40" s="86"/>
      <c r="F40" s="86"/>
      <c r="G40" s="86"/>
      <c r="H40" s="86"/>
      <c r="I40" s="86"/>
      <c r="J40" s="86"/>
      <c r="K40" s="86"/>
    </row>
    <row r="41" customFormat="false" ht="19.5" hidden="false" customHeight="true" outlineLevel="0" collapsed="false">
      <c r="A41" s="103"/>
      <c r="B41" s="86"/>
      <c r="C41" s="86"/>
      <c r="D41" s="86"/>
      <c r="E41" s="86"/>
      <c r="F41" s="86"/>
      <c r="G41" s="86"/>
      <c r="H41" s="86"/>
      <c r="I41" s="86"/>
      <c r="J41" s="86"/>
      <c r="K41" s="86"/>
    </row>
    <row r="42" customFormat="false" ht="19.5" hidden="false" customHeight="true" outlineLevel="0" collapsed="false">
      <c r="A42" s="103"/>
      <c r="B42" s="86"/>
      <c r="C42" s="86"/>
      <c r="D42" s="86"/>
      <c r="E42" s="86"/>
      <c r="F42" s="86"/>
      <c r="G42" s="86"/>
      <c r="H42" s="86"/>
      <c r="I42" s="86"/>
      <c r="J42" s="86"/>
      <c r="K42" s="86"/>
    </row>
    <row r="43" customFormat="false" ht="19.5" hidden="false" customHeight="true" outlineLevel="0" collapsed="false">
      <c r="A43" s="103"/>
      <c r="B43" s="86"/>
      <c r="C43" s="86"/>
      <c r="D43" s="86"/>
      <c r="E43" s="86"/>
      <c r="F43" s="86"/>
      <c r="G43" s="86"/>
      <c r="H43" s="86"/>
      <c r="I43" s="86"/>
      <c r="J43" s="86"/>
      <c r="K43" s="86"/>
    </row>
    <row r="44" customFormat="false" ht="19.5" hidden="false" customHeight="true" outlineLevel="0" collapsed="false">
      <c r="A44" s="103"/>
      <c r="B44" s="86"/>
      <c r="C44" s="86"/>
      <c r="D44" s="86"/>
      <c r="E44" s="86"/>
      <c r="F44" s="86"/>
      <c r="G44" s="86"/>
      <c r="H44" s="86"/>
      <c r="I44" s="86"/>
      <c r="J44" s="86"/>
      <c r="K44" s="86"/>
    </row>
    <row r="45" customFormat="false" ht="19.5" hidden="false" customHeight="true" outlineLevel="0" collapsed="false">
      <c r="A45" s="103"/>
      <c r="B45" s="86"/>
      <c r="C45" s="86"/>
      <c r="D45" s="86"/>
      <c r="E45" s="86"/>
      <c r="F45" s="86"/>
      <c r="G45" s="86"/>
      <c r="H45" s="86"/>
      <c r="I45" s="86"/>
      <c r="J45" s="86"/>
      <c r="K45" s="86"/>
    </row>
    <row r="46" customFormat="false" ht="19.5" hidden="false" customHeight="true" outlineLevel="0" collapsed="false">
      <c r="A46" s="103"/>
      <c r="B46" s="86"/>
      <c r="C46" s="86"/>
      <c r="D46" s="86"/>
      <c r="E46" s="86"/>
      <c r="F46" s="86"/>
      <c r="G46" s="86"/>
      <c r="H46" s="86"/>
      <c r="I46" s="86"/>
      <c r="J46" s="86"/>
      <c r="K46" s="86"/>
    </row>
    <row r="47" customFormat="false" ht="19.5" hidden="false" customHeight="true" outlineLevel="0" collapsed="false">
      <c r="A47" s="103"/>
      <c r="B47" s="86"/>
      <c r="C47" s="86"/>
      <c r="D47" s="86"/>
      <c r="E47" s="86"/>
      <c r="F47" s="86"/>
      <c r="G47" s="86"/>
      <c r="H47" s="86"/>
      <c r="I47" s="86"/>
      <c r="J47" s="86"/>
      <c r="K47" s="86"/>
    </row>
    <row r="48" customFormat="false" ht="19.5" hidden="false" customHeight="true" outlineLevel="0" collapsed="false">
      <c r="A48" s="103"/>
      <c r="B48" s="86"/>
      <c r="C48" s="86"/>
      <c r="D48" s="86"/>
      <c r="E48" s="86"/>
      <c r="F48" s="86"/>
      <c r="G48" s="86"/>
      <c r="H48" s="86"/>
      <c r="I48" s="86"/>
      <c r="J48" s="86"/>
      <c r="K48" s="86"/>
    </row>
    <row r="49" customFormat="false" ht="19.5" hidden="false" customHeight="true" outlineLevel="0" collapsed="false">
      <c r="A49" s="103"/>
      <c r="B49" s="86"/>
      <c r="C49" s="86"/>
      <c r="D49" s="86"/>
      <c r="E49" s="86"/>
      <c r="F49" s="86"/>
      <c r="G49" s="86"/>
      <c r="H49" s="86"/>
      <c r="I49" s="86"/>
      <c r="J49" s="86"/>
      <c r="K49" s="86"/>
    </row>
    <row r="50" customFormat="false" ht="19.5" hidden="false" customHeight="true" outlineLevel="0" collapsed="false">
      <c r="A50" s="103"/>
      <c r="B50" s="86"/>
      <c r="C50" s="86"/>
      <c r="D50" s="86"/>
      <c r="E50" s="86"/>
      <c r="F50" s="86"/>
      <c r="G50" s="86"/>
      <c r="H50" s="86"/>
      <c r="I50" s="86"/>
      <c r="J50" s="86"/>
      <c r="K50" s="86"/>
    </row>
    <row r="51" customFormat="false" ht="19.5" hidden="false" customHeight="true" outlineLevel="0" collapsed="false">
      <c r="A51" s="103"/>
      <c r="B51" s="86"/>
      <c r="C51" s="86"/>
      <c r="D51" s="86"/>
      <c r="E51" s="86"/>
      <c r="F51" s="86"/>
      <c r="G51" s="86"/>
      <c r="H51" s="86"/>
      <c r="I51" s="86"/>
      <c r="J51" s="86"/>
      <c r="K51" s="86"/>
    </row>
    <row r="52" customFormat="false" ht="19.5" hidden="false" customHeight="true" outlineLevel="0" collapsed="false">
      <c r="A52" s="103"/>
      <c r="B52" s="86"/>
      <c r="C52" s="86"/>
      <c r="D52" s="86"/>
      <c r="E52" s="86"/>
      <c r="F52" s="86"/>
      <c r="G52" s="86"/>
      <c r="H52" s="86"/>
      <c r="I52" s="86"/>
      <c r="J52" s="86"/>
      <c r="K52" s="86"/>
    </row>
    <row r="53" customFormat="false" ht="19.5" hidden="false" customHeight="true" outlineLevel="0" collapsed="false">
      <c r="A53" s="103"/>
      <c r="B53" s="86"/>
      <c r="C53" s="86"/>
      <c r="D53" s="86"/>
      <c r="E53" s="86"/>
      <c r="F53" s="86"/>
      <c r="G53" s="86"/>
      <c r="H53" s="86"/>
      <c r="I53" s="86"/>
      <c r="J53" s="86"/>
      <c r="K53" s="86"/>
    </row>
    <row r="54" customFormat="false" ht="19.5" hidden="false" customHeight="true" outlineLevel="0" collapsed="false">
      <c r="A54" s="103"/>
      <c r="B54" s="86"/>
      <c r="C54" s="86"/>
      <c r="D54" s="86"/>
      <c r="E54" s="86"/>
      <c r="F54" s="86"/>
      <c r="G54" s="86"/>
      <c r="H54" s="86"/>
      <c r="I54" s="86"/>
      <c r="J54" s="86"/>
      <c r="K54" s="86"/>
    </row>
    <row r="55" customFormat="false" ht="19.5" hidden="false" customHeight="true" outlineLevel="0" collapsed="false">
      <c r="A55" s="103"/>
      <c r="B55" s="86"/>
      <c r="C55" s="86"/>
      <c r="D55" s="86"/>
      <c r="E55" s="86"/>
      <c r="F55" s="86"/>
      <c r="G55" s="86"/>
      <c r="H55" s="86"/>
      <c r="I55" s="86"/>
      <c r="J55" s="86"/>
      <c r="K55" s="86"/>
    </row>
    <row r="56" customFormat="false" ht="19.5" hidden="false" customHeight="true" outlineLevel="0" collapsed="false">
      <c r="A56" s="103"/>
      <c r="B56" s="86"/>
      <c r="C56" s="86"/>
      <c r="D56" s="86"/>
      <c r="E56" s="86"/>
      <c r="F56" s="86"/>
      <c r="G56" s="86"/>
      <c r="H56" s="86"/>
      <c r="I56" s="86"/>
      <c r="J56" s="86"/>
      <c r="K56" s="86"/>
    </row>
    <row r="57" customFormat="false" ht="19.5" hidden="false" customHeight="true" outlineLevel="0" collapsed="false">
      <c r="A57" s="103"/>
      <c r="B57" s="86"/>
      <c r="C57" s="86"/>
      <c r="D57" s="86"/>
      <c r="E57" s="86"/>
      <c r="F57" s="86"/>
      <c r="G57" s="86"/>
      <c r="H57" s="86"/>
      <c r="I57" s="86"/>
      <c r="J57" s="86"/>
      <c r="K57" s="86"/>
    </row>
    <row r="58" customFormat="false" ht="19.5" hidden="false" customHeight="true" outlineLevel="0" collapsed="false">
      <c r="A58" s="103"/>
      <c r="B58" s="86"/>
      <c r="C58" s="86"/>
      <c r="D58" s="86"/>
      <c r="E58" s="86"/>
      <c r="F58" s="86"/>
      <c r="G58" s="86"/>
      <c r="H58" s="86"/>
      <c r="I58" s="86"/>
      <c r="J58" s="86"/>
      <c r="K58" s="86"/>
    </row>
    <row r="59" customFormat="false" ht="19.5" hidden="false" customHeight="true" outlineLevel="0" collapsed="false">
      <c r="A59" s="103"/>
      <c r="B59" s="86"/>
      <c r="C59" s="86"/>
      <c r="D59" s="86"/>
      <c r="E59" s="86"/>
      <c r="F59" s="86"/>
      <c r="G59" s="86"/>
      <c r="H59" s="86"/>
      <c r="I59" s="86"/>
      <c r="J59" s="86"/>
      <c r="K59" s="86"/>
    </row>
    <row r="60" customFormat="false" ht="19.5" hidden="false" customHeight="true" outlineLevel="0" collapsed="false">
      <c r="A60" s="103"/>
      <c r="B60" s="86"/>
      <c r="C60" s="86"/>
      <c r="D60" s="86"/>
      <c r="E60" s="86"/>
      <c r="F60" s="86"/>
      <c r="G60" s="86"/>
      <c r="H60" s="86"/>
      <c r="I60" s="86"/>
      <c r="J60" s="86"/>
      <c r="K60" s="86"/>
    </row>
    <row r="61" customFormat="false" ht="19.5" hidden="false" customHeight="true" outlineLevel="0" collapsed="false">
      <c r="A61" s="103"/>
      <c r="B61" s="86"/>
      <c r="C61" s="86"/>
      <c r="D61" s="86"/>
      <c r="E61" s="86"/>
      <c r="F61" s="86"/>
      <c r="G61" s="86"/>
      <c r="H61" s="86"/>
      <c r="I61" s="86"/>
      <c r="J61" s="86"/>
      <c r="K61" s="86"/>
    </row>
    <row r="62" customFormat="false" ht="19.5" hidden="false" customHeight="true" outlineLevel="0" collapsed="false">
      <c r="A62" s="103"/>
      <c r="B62" s="86"/>
      <c r="C62" s="86"/>
      <c r="D62" s="86"/>
      <c r="E62" s="86"/>
      <c r="F62" s="86"/>
      <c r="G62" s="86"/>
      <c r="H62" s="86"/>
      <c r="I62" s="86"/>
      <c r="J62" s="86"/>
      <c r="K62" s="86"/>
    </row>
    <row r="63" customFormat="false" ht="19.5" hidden="false" customHeight="true" outlineLevel="0" collapsed="false">
      <c r="A63" s="103"/>
      <c r="B63" s="86"/>
      <c r="C63" s="86"/>
      <c r="D63" s="86"/>
      <c r="E63" s="86"/>
      <c r="F63" s="86"/>
      <c r="G63" s="86"/>
      <c r="H63" s="86"/>
      <c r="I63" s="86"/>
      <c r="J63" s="86"/>
      <c r="K63" s="86"/>
    </row>
    <row r="64" customFormat="false" ht="19.5" hidden="false" customHeight="true" outlineLevel="0" collapsed="false">
      <c r="A64" s="103"/>
      <c r="B64" s="86"/>
      <c r="C64" s="86"/>
      <c r="D64" s="86"/>
      <c r="E64" s="86"/>
      <c r="F64" s="86"/>
      <c r="G64" s="86"/>
      <c r="H64" s="86"/>
      <c r="I64" s="86"/>
      <c r="J64" s="86"/>
      <c r="K64" s="86"/>
    </row>
    <row r="65" customFormat="false" ht="19.5" hidden="false" customHeight="true" outlineLevel="0" collapsed="false">
      <c r="A65" s="103"/>
      <c r="B65" s="86"/>
      <c r="C65" s="86"/>
      <c r="D65" s="86"/>
      <c r="E65" s="86"/>
      <c r="F65" s="86"/>
      <c r="G65" s="86"/>
      <c r="H65" s="86"/>
      <c r="I65" s="86"/>
      <c r="J65" s="86"/>
      <c r="K65" s="86"/>
    </row>
    <row r="66" customFormat="false" ht="19.5" hidden="false" customHeight="true" outlineLevel="0" collapsed="false">
      <c r="A66" s="103"/>
      <c r="B66" s="86"/>
      <c r="C66" s="86"/>
      <c r="D66" s="86"/>
      <c r="E66" s="86"/>
      <c r="F66" s="86"/>
      <c r="G66" s="86"/>
      <c r="H66" s="86"/>
      <c r="I66" s="86"/>
      <c r="J66" s="86"/>
      <c r="K66" s="86"/>
    </row>
    <row r="67" customFormat="false" ht="19.5" hidden="false" customHeight="true" outlineLevel="0" collapsed="false">
      <c r="A67" s="103"/>
      <c r="B67" s="86"/>
      <c r="C67" s="86"/>
      <c r="D67" s="86"/>
      <c r="E67" s="86"/>
      <c r="F67" s="86"/>
      <c r="G67" s="86"/>
      <c r="H67" s="86"/>
      <c r="I67" s="86"/>
      <c r="J67" s="86"/>
      <c r="K67" s="86"/>
    </row>
    <row r="68" customFormat="false" ht="19.5" hidden="false" customHeight="true" outlineLevel="0" collapsed="false">
      <c r="A68" s="103"/>
      <c r="B68" s="86"/>
      <c r="C68" s="86"/>
      <c r="D68" s="86"/>
      <c r="E68" s="86"/>
      <c r="F68" s="86"/>
      <c r="G68" s="86"/>
      <c r="H68" s="86"/>
      <c r="I68" s="86"/>
      <c r="J68" s="86"/>
      <c r="K68" s="86"/>
    </row>
    <row r="69" customFormat="false" ht="19.5" hidden="false" customHeight="true" outlineLevel="0" collapsed="false">
      <c r="A69" s="103"/>
      <c r="B69" s="86"/>
      <c r="C69" s="86"/>
      <c r="D69" s="86"/>
      <c r="E69" s="86"/>
      <c r="F69" s="86"/>
      <c r="G69" s="86"/>
      <c r="H69" s="86"/>
      <c r="I69" s="86"/>
      <c r="J69" s="86"/>
      <c r="K69" s="86"/>
    </row>
    <row r="70" customFormat="false" ht="19.5" hidden="false" customHeight="true" outlineLevel="0" collapsed="false">
      <c r="A70" s="103"/>
      <c r="B70" s="86"/>
      <c r="C70" s="86"/>
      <c r="D70" s="86"/>
      <c r="E70" s="86"/>
      <c r="F70" s="86"/>
      <c r="G70" s="86"/>
      <c r="H70" s="86"/>
      <c r="I70" s="86"/>
      <c r="J70" s="86"/>
      <c r="K70" s="86"/>
    </row>
    <row r="71" customFormat="false" ht="19.5" hidden="false" customHeight="true" outlineLevel="0" collapsed="false">
      <c r="A71" s="103"/>
      <c r="B71" s="86"/>
      <c r="C71" s="86"/>
      <c r="D71" s="86"/>
      <c r="E71" s="86"/>
      <c r="F71" s="86"/>
      <c r="G71" s="86"/>
      <c r="H71" s="86"/>
      <c r="I71" s="86"/>
      <c r="J71" s="86"/>
      <c r="K71" s="86"/>
    </row>
    <row r="72" customFormat="false" ht="19.5" hidden="false" customHeight="true" outlineLevel="0" collapsed="false">
      <c r="A72" s="103"/>
      <c r="B72" s="86"/>
      <c r="C72" s="86"/>
      <c r="D72" s="86"/>
      <c r="E72" s="86"/>
      <c r="F72" s="86"/>
      <c r="G72" s="86"/>
      <c r="H72" s="86"/>
      <c r="I72" s="86"/>
      <c r="J72" s="86"/>
      <c r="K72" s="86"/>
    </row>
    <row r="73" customFormat="false" ht="19.5" hidden="false" customHeight="true" outlineLevel="0" collapsed="false">
      <c r="A73" s="103"/>
      <c r="B73" s="86"/>
      <c r="C73" s="86"/>
      <c r="D73" s="86"/>
      <c r="E73" s="86"/>
      <c r="F73" s="86"/>
      <c r="G73" s="86"/>
      <c r="H73" s="86"/>
      <c r="I73" s="86"/>
      <c r="J73" s="86"/>
      <c r="K73" s="86"/>
    </row>
    <row r="74" customFormat="false" ht="19.5" hidden="false" customHeight="true" outlineLevel="0" collapsed="false">
      <c r="A74" s="103"/>
      <c r="B74" s="86"/>
      <c r="C74" s="86"/>
      <c r="D74" s="86"/>
      <c r="E74" s="86"/>
      <c r="F74" s="86"/>
      <c r="G74" s="86"/>
      <c r="H74" s="86"/>
      <c r="I74" s="86"/>
      <c r="J74" s="86"/>
      <c r="K74" s="86"/>
    </row>
    <row r="75" customFormat="false" ht="19.5" hidden="false" customHeight="true" outlineLevel="0" collapsed="false">
      <c r="A75" s="103"/>
      <c r="B75" s="86"/>
      <c r="C75" s="86"/>
      <c r="D75" s="86"/>
      <c r="E75" s="86"/>
      <c r="F75" s="86"/>
      <c r="G75" s="86"/>
      <c r="H75" s="86"/>
      <c r="I75" s="86"/>
      <c r="J75" s="86"/>
      <c r="K75" s="86"/>
    </row>
    <row r="76" customFormat="false" ht="19.5" hidden="false" customHeight="true" outlineLevel="0" collapsed="false">
      <c r="A76" s="103"/>
      <c r="B76" s="86"/>
      <c r="C76" s="86"/>
      <c r="D76" s="86"/>
      <c r="E76" s="86"/>
      <c r="F76" s="86"/>
      <c r="G76" s="86"/>
      <c r="H76" s="86"/>
      <c r="I76" s="86"/>
      <c r="J76" s="86"/>
      <c r="K76" s="86"/>
    </row>
    <row r="77" customFormat="false" ht="19.5" hidden="false" customHeight="true" outlineLevel="0" collapsed="false">
      <c r="A77" s="103"/>
      <c r="B77" s="86"/>
      <c r="C77" s="86"/>
      <c r="D77" s="86"/>
      <c r="E77" s="86"/>
      <c r="F77" s="86"/>
      <c r="G77" s="86"/>
      <c r="H77" s="86"/>
      <c r="I77" s="86"/>
      <c r="J77" s="86"/>
      <c r="K77" s="86"/>
    </row>
    <row r="78" customFormat="false" ht="19.5" hidden="false" customHeight="true" outlineLevel="0" collapsed="false">
      <c r="A78" s="103"/>
      <c r="B78" s="86"/>
      <c r="C78" s="86"/>
      <c r="D78" s="86"/>
      <c r="E78" s="86"/>
      <c r="F78" s="86"/>
      <c r="G78" s="86"/>
      <c r="H78" s="86"/>
      <c r="I78" s="86"/>
      <c r="J78" s="86"/>
      <c r="K78" s="86"/>
    </row>
    <row r="79" customFormat="false" ht="19.5" hidden="false" customHeight="true" outlineLevel="0" collapsed="false">
      <c r="A79" s="103"/>
      <c r="B79" s="86"/>
      <c r="C79" s="86"/>
      <c r="D79" s="86"/>
      <c r="E79" s="86"/>
      <c r="F79" s="86"/>
      <c r="G79" s="86"/>
      <c r="H79" s="86"/>
      <c r="I79" s="86"/>
      <c r="J79" s="86"/>
      <c r="K79" s="86"/>
    </row>
    <row r="80" customFormat="false" ht="19.5" hidden="false" customHeight="true" outlineLevel="0" collapsed="false">
      <c r="A80" s="103"/>
      <c r="B80" s="86"/>
      <c r="C80" s="86"/>
      <c r="D80" s="86"/>
      <c r="E80" s="86"/>
      <c r="F80" s="86"/>
      <c r="G80" s="86"/>
      <c r="H80" s="86"/>
      <c r="I80" s="86"/>
      <c r="J80" s="86"/>
      <c r="K80" s="86"/>
    </row>
    <row r="81" customFormat="false" ht="19.5" hidden="false" customHeight="true" outlineLevel="0" collapsed="false">
      <c r="A81" s="103"/>
      <c r="B81" s="86"/>
      <c r="C81" s="86"/>
      <c r="D81" s="86"/>
      <c r="E81" s="86"/>
      <c r="F81" s="86"/>
      <c r="G81" s="86"/>
      <c r="H81" s="86"/>
      <c r="I81" s="86"/>
      <c r="J81" s="86"/>
      <c r="K81" s="86"/>
    </row>
    <row r="82" customFormat="false" ht="19.5" hidden="false" customHeight="true" outlineLevel="0" collapsed="false">
      <c r="A82" s="103"/>
      <c r="B82" s="86"/>
      <c r="C82" s="86"/>
      <c r="D82" s="86"/>
      <c r="E82" s="86"/>
      <c r="F82" s="86"/>
      <c r="G82" s="86"/>
      <c r="H82" s="86"/>
      <c r="I82" s="86"/>
      <c r="J82" s="86"/>
      <c r="K82" s="86"/>
    </row>
    <row r="83" customFormat="false" ht="19.5" hidden="false" customHeight="true" outlineLevel="0" collapsed="false">
      <c r="A83" s="103"/>
      <c r="B83" s="86"/>
      <c r="C83" s="86"/>
      <c r="D83" s="86"/>
      <c r="E83" s="86"/>
      <c r="F83" s="86"/>
      <c r="G83" s="86"/>
      <c r="H83" s="86"/>
      <c r="I83" s="86"/>
      <c r="J83" s="86"/>
      <c r="K83" s="86"/>
    </row>
    <row r="84" customFormat="false" ht="19.5" hidden="false" customHeight="true" outlineLevel="0" collapsed="false">
      <c r="A84" s="103"/>
      <c r="B84" s="86"/>
      <c r="C84" s="86"/>
      <c r="D84" s="86"/>
      <c r="E84" s="86"/>
      <c r="F84" s="86"/>
      <c r="G84" s="86"/>
      <c r="H84" s="86"/>
      <c r="I84" s="86"/>
      <c r="J84" s="86"/>
      <c r="K84" s="86"/>
    </row>
    <row r="85" customFormat="false" ht="19.5" hidden="false" customHeight="true" outlineLevel="0" collapsed="false">
      <c r="A85" s="103"/>
      <c r="B85" s="86"/>
      <c r="C85" s="86"/>
      <c r="D85" s="86"/>
      <c r="E85" s="86"/>
      <c r="F85" s="86"/>
      <c r="G85" s="86"/>
      <c r="H85" s="86"/>
      <c r="I85" s="86"/>
      <c r="J85" s="86"/>
      <c r="K85" s="86"/>
    </row>
    <row r="86" customFormat="false" ht="19.5" hidden="false" customHeight="true" outlineLevel="0" collapsed="false">
      <c r="A86" s="103"/>
      <c r="B86" s="86"/>
      <c r="C86" s="86"/>
      <c r="D86" s="86"/>
      <c r="E86" s="86"/>
      <c r="F86" s="86"/>
      <c r="G86" s="86"/>
      <c r="H86" s="86"/>
      <c r="I86" s="86"/>
      <c r="J86" s="86"/>
      <c r="K86" s="86"/>
    </row>
    <row r="87" customFormat="false" ht="19.5" hidden="false" customHeight="true" outlineLevel="0" collapsed="false">
      <c r="A87" s="103"/>
      <c r="B87" s="86"/>
      <c r="C87" s="86"/>
      <c r="D87" s="86"/>
      <c r="E87" s="86"/>
      <c r="F87" s="86"/>
      <c r="G87" s="86"/>
      <c r="H87" s="86"/>
      <c r="I87" s="86"/>
      <c r="J87" s="86"/>
      <c r="K87" s="86"/>
    </row>
    <row r="88" customFormat="false" ht="19.5" hidden="false" customHeight="true" outlineLevel="0" collapsed="false">
      <c r="A88" s="103"/>
      <c r="B88" s="86"/>
      <c r="C88" s="86"/>
      <c r="D88" s="86"/>
      <c r="E88" s="86"/>
      <c r="F88" s="86"/>
      <c r="G88" s="86"/>
      <c r="H88" s="86"/>
      <c r="I88" s="86"/>
      <c r="J88" s="86"/>
      <c r="K88" s="86"/>
    </row>
    <row r="89" customFormat="false" ht="19.5" hidden="false" customHeight="true" outlineLevel="0" collapsed="false">
      <c r="A89" s="103"/>
      <c r="B89" s="86"/>
      <c r="C89" s="86"/>
      <c r="D89" s="86"/>
      <c r="E89" s="86"/>
      <c r="F89" s="86"/>
      <c r="G89" s="86"/>
      <c r="H89" s="86"/>
      <c r="I89" s="86"/>
      <c r="J89" s="86"/>
      <c r="K89" s="86"/>
    </row>
    <row r="90" customFormat="false" ht="19.5" hidden="false" customHeight="true" outlineLevel="0" collapsed="false">
      <c r="A90" s="103"/>
      <c r="B90" s="86"/>
      <c r="C90" s="86"/>
      <c r="D90" s="86"/>
      <c r="E90" s="86"/>
      <c r="F90" s="86"/>
      <c r="G90" s="86"/>
      <c r="H90" s="86"/>
      <c r="I90" s="86"/>
      <c r="J90" s="86"/>
      <c r="K90" s="86"/>
    </row>
    <row r="91" customFormat="false" ht="19.5" hidden="false" customHeight="true" outlineLevel="0" collapsed="false">
      <c r="A91" s="103"/>
      <c r="B91" s="86"/>
      <c r="C91" s="86"/>
      <c r="D91" s="86"/>
      <c r="E91" s="86"/>
      <c r="F91" s="86"/>
      <c r="G91" s="86"/>
      <c r="H91" s="86"/>
      <c r="I91" s="86"/>
      <c r="J91" s="86"/>
      <c r="K91" s="86"/>
    </row>
    <row r="92" customFormat="false" ht="19.5" hidden="false" customHeight="true" outlineLevel="0" collapsed="false">
      <c r="A92" s="103"/>
      <c r="B92" s="86"/>
      <c r="C92" s="86"/>
      <c r="D92" s="86"/>
      <c r="E92" s="86"/>
      <c r="F92" s="86"/>
      <c r="G92" s="86"/>
      <c r="H92" s="86"/>
      <c r="I92" s="86"/>
      <c r="J92" s="86"/>
      <c r="K92" s="86"/>
    </row>
    <row r="93" customFormat="false" ht="19.5" hidden="false" customHeight="true" outlineLevel="0" collapsed="false">
      <c r="A93" s="103"/>
      <c r="B93" s="86"/>
      <c r="C93" s="86"/>
      <c r="D93" s="86"/>
      <c r="E93" s="86"/>
      <c r="F93" s="86"/>
      <c r="G93" s="86"/>
      <c r="H93" s="86"/>
      <c r="I93" s="86"/>
      <c r="J93" s="86"/>
      <c r="K93" s="86"/>
    </row>
    <row r="94" customFormat="false" ht="19.5" hidden="false" customHeight="true" outlineLevel="0" collapsed="false">
      <c r="A94" s="103"/>
      <c r="B94" s="86"/>
      <c r="C94" s="86"/>
      <c r="D94" s="86"/>
      <c r="E94" s="86"/>
      <c r="F94" s="86"/>
      <c r="G94" s="86"/>
      <c r="H94" s="86"/>
      <c r="I94" s="86"/>
      <c r="J94" s="86"/>
      <c r="K94" s="86"/>
    </row>
    <row r="95" customFormat="false" ht="19.5" hidden="false" customHeight="true" outlineLevel="0" collapsed="false">
      <c r="A95" s="103"/>
      <c r="B95" s="86"/>
      <c r="C95" s="86"/>
      <c r="D95" s="86"/>
      <c r="E95" s="86"/>
      <c r="F95" s="86"/>
      <c r="G95" s="86"/>
      <c r="H95" s="86"/>
      <c r="I95" s="86"/>
      <c r="J95" s="86"/>
      <c r="K95" s="86"/>
    </row>
    <row r="96" customFormat="false" ht="19.5" hidden="false" customHeight="true" outlineLevel="0" collapsed="false">
      <c r="A96" s="103"/>
      <c r="B96" s="86"/>
      <c r="C96" s="86"/>
      <c r="D96" s="86"/>
      <c r="E96" s="86"/>
      <c r="F96" s="86"/>
      <c r="G96" s="86"/>
      <c r="H96" s="86"/>
      <c r="I96" s="86"/>
      <c r="J96" s="86"/>
      <c r="K96" s="86"/>
    </row>
    <row r="97" customFormat="false" ht="19.5" hidden="false" customHeight="true" outlineLevel="0" collapsed="false">
      <c r="A97" s="103"/>
      <c r="B97" s="86"/>
      <c r="C97" s="86"/>
      <c r="D97" s="86"/>
      <c r="E97" s="86"/>
      <c r="F97" s="86"/>
      <c r="G97" s="86"/>
      <c r="H97" s="86"/>
      <c r="I97" s="86"/>
      <c r="J97" s="86"/>
      <c r="K97" s="86"/>
    </row>
    <row r="98" customFormat="false" ht="19.5" hidden="false" customHeight="true" outlineLevel="0" collapsed="false">
      <c r="A98" s="103"/>
      <c r="B98" s="86"/>
      <c r="C98" s="86"/>
      <c r="D98" s="86"/>
      <c r="E98" s="86"/>
      <c r="F98" s="86"/>
      <c r="G98" s="86"/>
      <c r="H98" s="86"/>
      <c r="I98" s="86"/>
      <c r="J98" s="86"/>
      <c r="K98" s="86"/>
    </row>
    <row r="99" customFormat="false" ht="19.5" hidden="false" customHeight="true" outlineLevel="0" collapsed="false">
      <c r="A99" s="103"/>
      <c r="B99" s="86"/>
      <c r="C99" s="86"/>
      <c r="D99" s="86"/>
      <c r="E99" s="86"/>
      <c r="F99" s="86"/>
      <c r="G99" s="86"/>
      <c r="H99" s="86"/>
      <c r="I99" s="86"/>
      <c r="J99" s="86"/>
      <c r="K99" s="86"/>
    </row>
    <row r="100" customFormat="false" ht="19.5" hidden="false" customHeight="true" outlineLevel="0" collapsed="false">
      <c r="A100" s="103"/>
      <c r="B100" s="86"/>
      <c r="C100" s="86"/>
      <c r="D100" s="86"/>
      <c r="E100" s="86"/>
      <c r="F100" s="86"/>
      <c r="G100" s="86"/>
      <c r="H100" s="86"/>
      <c r="I100" s="86"/>
      <c r="J100" s="86"/>
      <c r="K100" s="86"/>
    </row>
    <row r="101" customFormat="false" ht="19.5" hidden="false" customHeight="true" outlineLevel="0" collapsed="false">
      <c r="A101" s="103"/>
      <c r="B101" s="86"/>
      <c r="C101" s="86"/>
      <c r="D101" s="86"/>
      <c r="E101" s="86"/>
      <c r="F101" s="86"/>
      <c r="G101" s="86"/>
      <c r="H101" s="86"/>
      <c r="I101" s="86"/>
      <c r="J101" s="86"/>
      <c r="K101" s="86"/>
    </row>
    <row r="102" customFormat="false" ht="19.5" hidden="false" customHeight="true" outlineLevel="0" collapsed="false">
      <c r="A102" s="103"/>
      <c r="B102" s="86"/>
      <c r="C102" s="86"/>
      <c r="D102" s="86"/>
      <c r="E102" s="86"/>
      <c r="F102" s="86"/>
      <c r="G102" s="86"/>
      <c r="H102" s="86"/>
      <c r="I102" s="86"/>
      <c r="J102" s="86"/>
      <c r="K102" s="86"/>
    </row>
    <row r="103" customFormat="false" ht="19.5" hidden="false" customHeight="true" outlineLevel="0" collapsed="false">
      <c r="A103" s="103"/>
      <c r="B103" s="86"/>
      <c r="C103" s="86"/>
      <c r="D103" s="86"/>
      <c r="E103" s="86"/>
      <c r="F103" s="86"/>
      <c r="G103" s="86"/>
      <c r="H103" s="86"/>
      <c r="I103" s="86"/>
      <c r="J103" s="86"/>
      <c r="K103" s="86"/>
    </row>
    <row r="104" customFormat="false" ht="19.5" hidden="false" customHeight="true" outlineLevel="0" collapsed="false">
      <c r="A104" s="103"/>
      <c r="B104" s="86"/>
      <c r="C104" s="86"/>
      <c r="D104" s="86"/>
      <c r="E104" s="86"/>
      <c r="F104" s="86"/>
      <c r="G104" s="86"/>
      <c r="H104" s="86"/>
      <c r="I104" s="86"/>
      <c r="J104" s="86"/>
      <c r="K104" s="86"/>
    </row>
    <row r="105" customFormat="false" ht="19.5" hidden="false" customHeight="true" outlineLevel="0" collapsed="false">
      <c r="A105" s="103"/>
      <c r="B105" s="86"/>
      <c r="C105" s="86"/>
      <c r="D105" s="86"/>
      <c r="E105" s="86"/>
      <c r="F105" s="86"/>
      <c r="G105" s="86"/>
      <c r="H105" s="86"/>
      <c r="I105" s="86"/>
      <c r="J105" s="86"/>
      <c r="K105" s="86"/>
    </row>
    <row r="106" customFormat="false" ht="19.5" hidden="false" customHeight="true" outlineLevel="0" collapsed="false">
      <c r="A106" s="103"/>
      <c r="B106" s="86"/>
      <c r="C106" s="86"/>
      <c r="D106" s="86"/>
      <c r="E106" s="86"/>
      <c r="F106" s="86"/>
      <c r="G106" s="86"/>
      <c r="H106" s="86"/>
      <c r="I106" s="86"/>
      <c r="J106" s="86"/>
      <c r="K106" s="86"/>
    </row>
    <row r="107" customFormat="false" ht="19.5" hidden="false" customHeight="true" outlineLevel="0" collapsed="false">
      <c r="A107" s="103"/>
      <c r="B107" s="86"/>
      <c r="C107" s="86"/>
      <c r="D107" s="86"/>
      <c r="E107" s="86"/>
      <c r="F107" s="86"/>
      <c r="G107" s="86"/>
      <c r="H107" s="86"/>
      <c r="I107" s="86"/>
      <c r="J107" s="86"/>
      <c r="K107" s="86"/>
    </row>
    <row r="108" customFormat="false" ht="19.5" hidden="false" customHeight="true" outlineLevel="0" collapsed="false">
      <c r="A108" s="103"/>
      <c r="B108" s="86"/>
      <c r="C108" s="86"/>
      <c r="D108" s="86"/>
      <c r="E108" s="86"/>
      <c r="F108" s="86"/>
      <c r="G108" s="86"/>
      <c r="H108" s="86"/>
      <c r="I108" s="86"/>
      <c r="J108" s="86"/>
      <c r="K108" s="86"/>
    </row>
    <row r="109" customFormat="false" ht="19.5" hidden="false" customHeight="true" outlineLevel="0" collapsed="false">
      <c r="A109" s="103"/>
      <c r="B109" s="86"/>
      <c r="C109" s="86"/>
      <c r="D109" s="86"/>
      <c r="E109" s="86"/>
      <c r="F109" s="86"/>
      <c r="G109" s="86"/>
      <c r="H109" s="86"/>
      <c r="I109" s="86"/>
      <c r="J109" s="86"/>
      <c r="K109" s="86"/>
    </row>
    <row r="110" customFormat="false" ht="19.5" hidden="false" customHeight="true" outlineLevel="0" collapsed="false">
      <c r="A110" s="103"/>
      <c r="B110" s="86"/>
      <c r="C110" s="86"/>
      <c r="D110" s="86"/>
      <c r="E110" s="86"/>
      <c r="F110" s="86"/>
      <c r="G110" s="86"/>
      <c r="H110" s="86"/>
      <c r="I110" s="86"/>
      <c r="J110" s="86"/>
      <c r="K110" s="86"/>
    </row>
    <row r="111" customFormat="false" ht="19.5" hidden="false" customHeight="true" outlineLevel="0" collapsed="false">
      <c r="A111" s="103"/>
      <c r="B111" s="86"/>
      <c r="C111" s="86"/>
      <c r="D111" s="86"/>
      <c r="E111" s="86"/>
      <c r="F111" s="86"/>
      <c r="G111" s="86"/>
      <c r="H111" s="86"/>
      <c r="I111" s="86"/>
      <c r="J111" s="86"/>
      <c r="K111" s="86"/>
    </row>
    <row r="112" customFormat="false" ht="19.5" hidden="false" customHeight="true" outlineLevel="0" collapsed="false">
      <c r="A112" s="103"/>
      <c r="B112" s="86"/>
      <c r="C112" s="86"/>
      <c r="D112" s="86"/>
      <c r="E112" s="86"/>
      <c r="F112" s="86"/>
      <c r="G112" s="86"/>
      <c r="H112" s="86"/>
      <c r="I112" s="86"/>
      <c r="J112" s="86"/>
      <c r="K112" s="86"/>
    </row>
    <row r="113" customFormat="false" ht="19.5" hidden="false" customHeight="true" outlineLevel="0" collapsed="false">
      <c r="A113" s="103"/>
      <c r="B113" s="86"/>
      <c r="C113" s="86"/>
      <c r="D113" s="86"/>
      <c r="E113" s="86"/>
      <c r="F113" s="86"/>
      <c r="G113" s="86"/>
      <c r="H113" s="86"/>
      <c r="I113" s="86"/>
      <c r="J113" s="86"/>
      <c r="K113" s="86"/>
    </row>
    <row r="114" customFormat="false" ht="19.5" hidden="false" customHeight="true" outlineLevel="0" collapsed="false">
      <c r="A114" s="103"/>
      <c r="B114" s="86"/>
      <c r="C114" s="86"/>
      <c r="D114" s="86"/>
      <c r="E114" s="86"/>
      <c r="F114" s="86"/>
      <c r="G114" s="86"/>
      <c r="H114" s="86"/>
      <c r="I114" s="86"/>
      <c r="J114" s="86"/>
      <c r="K114" s="86"/>
    </row>
    <row r="115" customFormat="false" ht="19.5" hidden="false" customHeight="true" outlineLevel="0" collapsed="false">
      <c r="A115" s="103"/>
      <c r="B115" s="86"/>
      <c r="C115" s="86"/>
      <c r="D115" s="86"/>
      <c r="E115" s="86"/>
      <c r="F115" s="86"/>
      <c r="G115" s="86"/>
      <c r="H115" s="86"/>
      <c r="I115" s="86"/>
      <c r="J115" s="86"/>
      <c r="K115" s="86"/>
    </row>
    <row r="116" customFormat="false" ht="19.5" hidden="false" customHeight="true" outlineLevel="0" collapsed="false">
      <c r="A116" s="103"/>
      <c r="B116" s="86"/>
      <c r="C116" s="86"/>
      <c r="D116" s="86"/>
      <c r="E116" s="86"/>
      <c r="F116" s="86"/>
      <c r="G116" s="86"/>
      <c r="H116" s="86"/>
      <c r="I116" s="86"/>
      <c r="J116" s="86"/>
      <c r="K116" s="86"/>
    </row>
    <row r="117" customFormat="false" ht="19.5" hidden="false" customHeight="true" outlineLevel="0" collapsed="false">
      <c r="A117" s="103"/>
      <c r="B117" s="86"/>
      <c r="C117" s="86"/>
      <c r="D117" s="86"/>
      <c r="E117" s="86"/>
      <c r="F117" s="86"/>
      <c r="G117" s="86"/>
      <c r="H117" s="86"/>
      <c r="I117" s="86"/>
      <c r="J117" s="86"/>
      <c r="K117" s="86"/>
    </row>
    <row r="118" customFormat="false" ht="19.5" hidden="false" customHeight="true" outlineLevel="0" collapsed="false">
      <c r="A118" s="103"/>
      <c r="B118" s="86"/>
      <c r="C118" s="86"/>
      <c r="D118" s="86"/>
      <c r="E118" s="86"/>
      <c r="F118" s="86"/>
      <c r="G118" s="86"/>
      <c r="H118" s="86"/>
      <c r="I118" s="86"/>
      <c r="J118" s="86"/>
      <c r="K118" s="86"/>
    </row>
    <row r="119" customFormat="false" ht="19.5" hidden="false" customHeight="true" outlineLevel="0" collapsed="false">
      <c r="A119" s="103"/>
      <c r="B119" s="86"/>
      <c r="C119" s="86"/>
      <c r="D119" s="86"/>
      <c r="E119" s="86"/>
      <c r="F119" s="86"/>
      <c r="G119" s="86"/>
      <c r="H119" s="86"/>
      <c r="I119" s="86"/>
      <c r="J119" s="86"/>
      <c r="K119" s="86"/>
    </row>
    <row r="120" customFormat="false" ht="19.5" hidden="false" customHeight="true" outlineLevel="0" collapsed="false">
      <c r="A120" s="103"/>
      <c r="B120" s="86"/>
      <c r="C120" s="86"/>
      <c r="D120" s="86"/>
      <c r="E120" s="86"/>
      <c r="F120" s="86"/>
      <c r="G120" s="86"/>
      <c r="H120" s="86"/>
      <c r="I120" s="86"/>
      <c r="J120" s="86"/>
      <c r="K120" s="86"/>
    </row>
    <row r="121" customFormat="false" ht="19.5" hidden="false" customHeight="true" outlineLevel="0" collapsed="false">
      <c r="A121" s="103"/>
      <c r="B121" s="86"/>
      <c r="C121" s="86"/>
      <c r="D121" s="86"/>
      <c r="E121" s="86"/>
      <c r="F121" s="86"/>
      <c r="G121" s="86"/>
      <c r="H121" s="86"/>
      <c r="I121" s="86"/>
      <c r="J121" s="86"/>
      <c r="K121" s="86"/>
    </row>
    <row r="122" customFormat="false" ht="19.5" hidden="false" customHeight="true" outlineLevel="0" collapsed="false">
      <c r="A122" s="103"/>
      <c r="B122" s="86"/>
      <c r="C122" s="86"/>
      <c r="D122" s="86"/>
      <c r="E122" s="86"/>
      <c r="F122" s="86"/>
      <c r="G122" s="86"/>
      <c r="H122" s="86"/>
      <c r="I122" s="86"/>
      <c r="J122" s="86"/>
      <c r="K122" s="86"/>
    </row>
    <row r="123" customFormat="false" ht="19.5" hidden="false" customHeight="true" outlineLevel="0" collapsed="false">
      <c r="A123" s="103"/>
      <c r="B123" s="86"/>
      <c r="C123" s="86"/>
      <c r="D123" s="86"/>
      <c r="E123" s="86"/>
      <c r="F123" s="86"/>
      <c r="G123" s="86"/>
      <c r="H123" s="86"/>
      <c r="I123" s="86"/>
      <c r="J123" s="86"/>
      <c r="K123" s="86"/>
    </row>
    <row r="124" customFormat="false" ht="19.5" hidden="false" customHeight="true" outlineLevel="0" collapsed="false">
      <c r="A124" s="103"/>
      <c r="B124" s="86"/>
      <c r="C124" s="86"/>
      <c r="D124" s="86"/>
      <c r="E124" s="86"/>
      <c r="F124" s="86"/>
      <c r="G124" s="86"/>
      <c r="H124" s="86"/>
      <c r="I124" s="86"/>
      <c r="J124" s="86"/>
      <c r="K124" s="86"/>
    </row>
    <row r="125" customFormat="false" ht="19.5" hidden="false" customHeight="true" outlineLevel="0" collapsed="false">
      <c r="A125" s="103"/>
      <c r="B125" s="86"/>
      <c r="C125" s="86"/>
      <c r="D125" s="86"/>
      <c r="E125" s="86"/>
      <c r="F125" s="86"/>
      <c r="G125" s="86"/>
      <c r="H125" s="86"/>
      <c r="I125" s="86"/>
      <c r="J125" s="86"/>
      <c r="K125" s="86"/>
    </row>
    <row r="126" customFormat="false" ht="19.5" hidden="false" customHeight="true" outlineLevel="0" collapsed="false">
      <c r="A126" s="103"/>
      <c r="B126" s="86"/>
      <c r="C126" s="86"/>
      <c r="D126" s="86"/>
      <c r="E126" s="86"/>
      <c r="F126" s="86"/>
      <c r="G126" s="86"/>
      <c r="H126" s="86"/>
      <c r="I126" s="86"/>
      <c r="J126" s="86"/>
      <c r="K126" s="86"/>
    </row>
    <row r="127" customFormat="false" ht="19.5" hidden="false" customHeight="true" outlineLevel="0" collapsed="false">
      <c r="A127" s="103"/>
      <c r="B127" s="86"/>
      <c r="C127" s="86"/>
      <c r="D127" s="86"/>
      <c r="E127" s="86"/>
      <c r="F127" s="86"/>
      <c r="G127" s="86"/>
      <c r="H127" s="86"/>
      <c r="I127" s="86"/>
      <c r="J127" s="86"/>
      <c r="K127" s="86"/>
    </row>
    <row r="128" customFormat="false" ht="19.5" hidden="false" customHeight="true" outlineLevel="0" collapsed="false">
      <c r="A128" s="103"/>
      <c r="B128" s="86"/>
      <c r="C128" s="86"/>
      <c r="D128" s="86"/>
      <c r="E128" s="86"/>
      <c r="F128" s="86"/>
      <c r="G128" s="86"/>
      <c r="H128" s="86"/>
      <c r="I128" s="86"/>
      <c r="J128" s="86"/>
      <c r="K128" s="86"/>
    </row>
    <row r="129" customFormat="false" ht="19.5" hidden="false" customHeight="true" outlineLevel="0" collapsed="false">
      <c r="A129" s="103"/>
      <c r="B129" s="86"/>
      <c r="C129" s="86"/>
      <c r="D129" s="86"/>
      <c r="E129" s="86"/>
      <c r="F129" s="86"/>
      <c r="G129" s="86"/>
      <c r="H129" s="86"/>
      <c r="I129" s="86"/>
      <c r="J129" s="86"/>
      <c r="K129" s="86"/>
    </row>
    <row r="130" customFormat="false" ht="19.5" hidden="false" customHeight="true" outlineLevel="0" collapsed="false">
      <c r="A130" s="103"/>
      <c r="B130" s="86"/>
      <c r="C130" s="86"/>
      <c r="D130" s="86"/>
      <c r="E130" s="86"/>
      <c r="F130" s="86"/>
      <c r="G130" s="86"/>
      <c r="H130" s="86"/>
      <c r="I130" s="86"/>
      <c r="J130" s="86"/>
      <c r="K130" s="86"/>
    </row>
    <row r="131" customFormat="false" ht="19.5" hidden="false" customHeight="true" outlineLevel="0" collapsed="false">
      <c r="A131" s="103"/>
      <c r="B131" s="86"/>
      <c r="C131" s="86"/>
      <c r="D131" s="86"/>
      <c r="E131" s="86"/>
      <c r="F131" s="86"/>
      <c r="G131" s="86"/>
      <c r="H131" s="86"/>
      <c r="I131" s="86"/>
      <c r="J131" s="86"/>
      <c r="K131" s="86"/>
    </row>
    <row r="132" customFormat="false" ht="19.5" hidden="false" customHeight="true" outlineLevel="0" collapsed="false">
      <c r="A132" s="103"/>
      <c r="B132" s="86"/>
      <c r="C132" s="86"/>
      <c r="D132" s="86"/>
      <c r="E132" s="86"/>
      <c r="F132" s="86"/>
      <c r="G132" s="86"/>
      <c r="H132" s="86"/>
      <c r="I132" s="86"/>
      <c r="J132" s="86"/>
      <c r="K132" s="86"/>
    </row>
    <row r="133" customFormat="false" ht="19.5" hidden="false" customHeight="true" outlineLevel="0" collapsed="false">
      <c r="A133" s="103"/>
      <c r="B133" s="86"/>
      <c r="C133" s="86"/>
      <c r="D133" s="86"/>
      <c r="E133" s="86"/>
      <c r="F133" s="86"/>
      <c r="G133" s="86"/>
      <c r="H133" s="86"/>
      <c r="I133" s="86"/>
      <c r="J133" s="86"/>
      <c r="K133" s="86"/>
    </row>
    <row r="134" customFormat="false" ht="19.5" hidden="false" customHeight="true" outlineLevel="0" collapsed="false">
      <c r="A134" s="103"/>
      <c r="B134" s="86"/>
      <c r="C134" s="86"/>
      <c r="D134" s="86"/>
      <c r="E134" s="86"/>
      <c r="F134" s="86"/>
      <c r="G134" s="86"/>
      <c r="H134" s="86"/>
      <c r="I134" s="86"/>
      <c r="J134" s="86"/>
      <c r="K134" s="86"/>
    </row>
    <row r="135" customFormat="false" ht="19.5" hidden="false" customHeight="true" outlineLevel="0" collapsed="false">
      <c r="A135" s="103"/>
      <c r="B135" s="86"/>
      <c r="C135" s="86"/>
      <c r="D135" s="86"/>
      <c r="E135" s="86"/>
      <c r="F135" s="86"/>
      <c r="G135" s="86"/>
      <c r="H135" s="86"/>
      <c r="I135" s="86"/>
      <c r="J135" s="86"/>
      <c r="K135" s="86"/>
    </row>
    <row r="136" customFormat="false" ht="19.5" hidden="false" customHeight="true" outlineLevel="0" collapsed="false">
      <c r="A136" s="103"/>
      <c r="B136" s="86"/>
      <c r="C136" s="86"/>
      <c r="D136" s="86"/>
      <c r="E136" s="86"/>
      <c r="F136" s="86"/>
      <c r="G136" s="86"/>
      <c r="H136" s="86"/>
      <c r="I136" s="86"/>
      <c r="J136" s="86"/>
      <c r="K136" s="86"/>
    </row>
    <row r="137" customFormat="false" ht="19.5" hidden="false" customHeight="true" outlineLevel="0" collapsed="false">
      <c r="A137" s="103"/>
      <c r="B137" s="86"/>
      <c r="C137" s="86"/>
      <c r="D137" s="86"/>
      <c r="E137" s="86"/>
      <c r="F137" s="86"/>
      <c r="G137" s="86"/>
      <c r="H137" s="86"/>
      <c r="I137" s="86"/>
      <c r="J137" s="86"/>
      <c r="K137" s="86"/>
    </row>
    <row r="138" customFormat="false" ht="19.5" hidden="false" customHeight="true" outlineLevel="0" collapsed="false">
      <c r="A138" s="103"/>
      <c r="B138" s="86"/>
      <c r="C138" s="86"/>
      <c r="D138" s="86"/>
      <c r="E138" s="86"/>
      <c r="F138" s="86"/>
      <c r="G138" s="86"/>
      <c r="H138" s="86"/>
      <c r="I138" s="86"/>
      <c r="J138" s="86"/>
      <c r="K138" s="86"/>
    </row>
    <row r="139" customFormat="false" ht="19.5" hidden="false" customHeight="true" outlineLevel="0" collapsed="false">
      <c r="A139" s="103"/>
      <c r="B139" s="86"/>
      <c r="C139" s="86"/>
      <c r="D139" s="86"/>
      <c r="E139" s="86"/>
      <c r="F139" s="86"/>
      <c r="G139" s="86"/>
      <c r="H139" s="86"/>
      <c r="I139" s="86"/>
      <c r="J139" s="86"/>
      <c r="K139" s="86"/>
    </row>
    <row r="140" customFormat="false" ht="19.5" hidden="false" customHeight="true" outlineLevel="0" collapsed="false">
      <c r="A140" s="103"/>
      <c r="B140" s="86"/>
      <c r="C140" s="86"/>
      <c r="D140" s="86"/>
      <c r="E140" s="86"/>
      <c r="F140" s="86"/>
      <c r="G140" s="86"/>
      <c r="H140" s="86"/>
      <c r="I140" s="86"/>
      <c r="J140" s="86"/>
      <c r="K140" s="86"/>
    </row>
    <row r="141" customFormat="false" ht="19.5" hidden="false" customHeight="true" outlineLevel="0" collapsed="false">
      <c r="A141" s="103"/>
      <c r="B141" s="86"/>
      <c r="C141" s="86"/>
      <c r="D141" s="86"/>
      <c r="E141" s="86"/>
      <c r="F141" s="86"/>
      <c r="G141" s="86"/>
      <c r="H141" s="86"/>
      <c r="I141" s="86"/>
      <c r="J141" s="86"/>
      <c r="K141" s="86"/>
    </row>
    <row r="142" customFormat="false" ht="19.5" hidden="false" customHeight="true" outlineLevel="0" collapsed="false">
      <c r="A142" s="103"/>
      <c r="B142" s="86"/>
      <c r="C142" s="86"/>
      <c r="D142" s="86"/>
      <c r="E142" s="86"/>
      <c r="F142" s="86"/>
      <c r="G142" s="86"/>
      <c r="H142" s="86"/>
      <c r="I142" s="86"/>
      <c r="J142" s="86"/>
      <c r="K142" s="86"/>
    </row>
    <row r="143" customFormat="false" ht="19.5" hidden="false" customHeight="true" outlineLevel="0" collapsed="false">
      <c r="A143" s="103"/>
      <c r="B143" s="86"/>
      <c r="C143" s="86"/>
      <c r="D143" s="86"/>
      <c r="E143" s="86"/>
      <c r="F143" s="86"/>
      <c r="G143" s="86"/>
      <c r="H143" s="86"/>
      <c r="I143" s="86"/>
      <c r="J143" s="86"/>
      <c r="K143" s="86"/>
    </row>
    <row r="144" customFormat="false" ht="19.5" hidden="false" customHeight="true" outlineLevel="0" collapsed="false">
      <c r="A144" s="103"/>
      <c r="B144" s="86"/>
      <c r="C144" s="86"/>
      <c r="D144" s="86"/>
      <c r="E144" s="86"/>
      <c r="F144" s="86"/>
      <c r="G144" s="86"/>
      <c r="H144" s="86"/>
      <c r="I144" s="86"/>
      <c r="J144" s="86"/>
      <c r="K144" s="86"/>
    </row>
    <row r="145" customFormat="false" ht="19.5" hidden="false" customHeight="true" outlineLevel="0" collapsed="false">
      <c r="A145" s="103"/>
      <c r="B145" s="86"/>
      <c r="C145" s="86"/>
      <c r="D145" s="86"/>
      <c r="E145" s="86"/>
      <c r="F145" s="86"/>
      <c r="G145" s="86"/>
      <c r="H145" s="86"/>
      <c r="I145" s="86"/>
      <c r="J145" s="86"/>
      <c r="K145" s="86"/>
    </row>
    <row r="146" customFormat="false" ht="19.5" hidden="false" customHeight="true" outlineLevel="0" collapsed="false">
      <c r="A146" s="103"/>
      <c r="B146" s="86"/>
      <c r="C146" s="86"/>
      <c r="D146" s="86"/>
      <c r="E146" s="86"/>
      <c r="F146" s="86"/>
      <c r="G146" s="86"/>
      <c r="H146" s="86"/>
      <c r="I146" s="86"/>
      <c r="J146" s="86"/>
      <c r="K146" s="86"/>
    </row>
    <row r="147" customFormat="false" ht="19.5" hidden="false" customHeight="true" outlineLevel="0" collapsed="false">
      <c r="A147" s="103"/>
      <c r="B147" s="86"/>
      <c r="C147" s="86"/>
      <c r="D147" s="86"/>
      <c r="E147" s="86"/>
      <c r="F147" s="86"/>
      <c r="G147" s="86"/>
      <c r="H147" s="86"/>
      <c r="I147" s="86"/>
      <c r="J147" s="86"/>
      <c r="K147" s="86"/>
    </row>
    <row r="148" customFormat="false" ht="19.5" hidden="false" customHeight="true" outlineLevel="0" collapsed="false">
      <c r="A148" s="103"/>
      <c r="B148" s="86"/>
      <c r="C148" s="86"/>
      <c r="D148" s="86"/>
      <c r="E148" s="86"/>
      <c r="F148" s="86"/>
      <c r="G148" s="86"/>
      <c r="H148" s="86"/>
      <c r="I148" s="86"/>
      <c r="J148" s="86"/>
      <c r="K148" s="86"/>
    </row>
    <row r="149" customFormat="false" ht="19.5" hidden="false" customHeight="true" outlineLevel="0" collapsed="false">
      <c r="A149" s="103"/>
      <c r="B149" s="86"/>
      <c r="C149" s="86"/>
      <c r="D149" s="86"/>
      <c r="E149" s="86"/>
      <c r="F149" s="86"/>
      <c r="G149" s="86"/>
      <c r="H149" s="86"/>
      <c r="I149" s="86"/>
      <c r="J149" s="86"/>
      <c r="K149" s="86"/>
    </row>
    <row r="150" customFormat="false" ht="19.5" hidden="false" customHeight="true" outlineLevel="0" collapsed="false">
      <c r="A150" s="103"/>
      <c r="B150" s="86"/>
      <c r="C150" s="86"/>
      <c r="D150" s="86"/>
      <c r="E150" s="86"/>
      <c r="F150" s="86"/>
      <c r="G150" s="86"/>
      <c r="H150" s="86"/>
      <c r="I150" s="86"/>
      <c r="J150" s="86"/>
      <c r="K150" s="86"/>
    </row>
    <row r="151" customFormat="false" ht="19.5" hidden="false" customHeight="true" outlineLevel="0" collapsed="false">
      <c r="A151" s="103"/>
      <c r="B151" s="86"/>
      <c r="C151" s="86"/>
      <c r="D151" s="86"/>
      <c r="E151" s="86"/>
      <c r="F151" s="86"/>
      <c r="G151" s="86"/>
      <c r="H151" s="86"/>
      <c r="I151" s="86"/>
      <c r="J151" s="86"/>
      <c r="K151" s="86"/>
    </row>
    <row r="152" customFormat="false" ht="19.5" hidden="false" customHeight="true" outlineLevel="0" collapsed="false">
      <c r="A152" s="103"/>
      <c r="B152" s="86"/>
      <c r="C152" s="86"/>
      <c r="D152" s="86"/>
      <c r="E152" s="86"/>
      <c r="F152" s="86"/>
      <c r="G152" s="86"/>
      <c r="H152" s="86"/>
      <c r="I152" s="86"/>
      <c r="J152" s="86"/>
      <c r="K152" s="86"/>
    </row>
    <row r="153" customFormat="false" ht="19.5" hidden="false" customHeight="true" outlineLevel="0" collapsed="false">
      <c r="A153" s="103"/>
      <c r="B153" s="86"/>
      <c r="C153" s="86"/>
      <c r="D153" s="86"/>
      <c r="E153" s="86"/>
      <c r="F153" s="86"/>
      <c r="G153" s="86"/>
      <c r="H153" s="86"/>
      <c r="I153" s="86"/>
      <c r="J153" s="86"/>
      <c r="K153" s="86"/>
    </row>
    <row r="154" customFormat="false" ht="19.5" hidden="false" customHeight="true" outlineLevel="0" collapsed="false">
      <c r="A154" s="103"/>
      <c r="B154" s="86"/>
      <c r="C154" s="86"/>
      <c r="D154" s="86"/>
      <c r="E154" s="86"/>
      <c r="F154" s="86"/>
      <c r="G154" s="86"/>
      <c r="H154" s="86"/>
      <c r="I154" s="86"/>
      <c r="J154" s="86"/>
      <c r="K154" s="86"/>
    </row>
    <row r="155" customFormat="false" ht="19.5" hidden="false" customHeight="true" outlineLevel="0" collapsed="false">
      <c r="A155" s="103"/>
      <c r="B155" s="86"/>
      <c r="C155" s="86"/>
      <c r="D155" s="86"/>
      <c r="E155" s="86"/>
      <c r="F155" s="86"/>
      <c r="G155" s="86"/>
      <c r="H155" s="86"/>
      <c r="I155" s="86"/>
      <c r="J155" s="86"/>
      <c r="K155" s="86"/>
    </row>
    <row r="156" customFormat="false" ht="19.5" hidden="false" customHeight="true" outlineLevel="0" collapsed="false">
      <c r="A156" s="103"/>
      <c r="B156" s="86"/>
      <c r="C156" s="86"/>
      <c r="D156" s="86"/>
      <c r="E156" s="86"/>
      <c r="F156" s="86"/>
      <c r="G156" s="86"/>
      <c r="H156" s="86"/>
      <c r="I156" s="86"/>
      <c r="J156" s="86"/>
      <c r="K156" s="86"/>
    </row>
    <row r="157" customFormat="false" ht="19.5" hidden="false" customHeight="true" outlineLevel="0" collapsed="false">
      <c r="A157" s="103"/>
      <c r="B157" s="86"/>
      <c r="C157" s="86"/>
      <c r="D157" s="86"/>
      <c r="E157" s="86"/>
      <c r="F157" s="86"/>
      <c r="G157" s="86"/>
      <c r="H157" s="86"/>
      <c r="I157" s="86"/>
      <c r="J157" s="86"/>
      <c r="K157" s="86"/>
    </row>
    <row r="158" customFormat="false" ht="19.5" hidden="false" customHeight="true" outlineLevel="0" collapsed="false">
      <c r="A158" s="103"/>
      <c r="B158" s="86"/>
      <c r="C158" s="86"/>
      <c r="D158" s="86"/>
      <c r="E158" s="86"/>
      <c r="F158" s="86"/>
      <c r="G158" s="86"/>
      <c r="H158" s="86"/>
      <c r="I158" s="86"/>
      <c r="J158" s="86"/>
      <c r="K158" s="86"/>
    </row>
    <row r="159" customFormat="false" ht="19.5" hidden="false" customHeight="true" outlineLevel="0" collapsed="false">
      <c r="A159" s="103"/>
      <c r="B159" s="86"/>
      <c r="C159" s="86"/>
      <c r="D159" s="86"/>
      <c r="E159" s="86"/>
      <c r="F159" s="86"/>
      <c r="G159" s="86"/>
      <c r="H159" s="86"/>
      <c r="I159" s="86"/>
      <c r="J159" s="86"/>
      <c r="K159" s="86"/>
    </row>
    <row r="160" customFormat="false" ht="19.5" hidden="false" customHeight="true" outlineLevel="0" collapsed="false">
      <c r="A160" s="103"/>
      <c r="B160" s="86"/>
      <c r="C160" s="86"/>
      <c r="D160" s="86"/>
      <c r="E160" s="86"/>
      <c r="F160" s="86"/>
      <c r="G160" s="86"/>
      <c r="H160" s="86"/>
      <c r="I160" s="86"/>
      <c r="J160" s="86"/>
      <c r="K160" s="86"/>
    </row>
    <row r="161" customFormat="false" ht="19.5" hidden="false" customHeight="true" outlineLevel="0" collapsed="false">
      <c r="A161" s="103"/>
      <c r="B161" s="86"/>
      <c r="C161" s="86"/>
      <c r="D161" s="86"/>
      <c r="E161" s="86"/>
      <c r="F161" s="86"/>
      <c r="G161" s="86"/>
      <c r="H161" s="86"/>
      <c r="I161" s="86"/>
      <c r="J161" s="86"/>
      <c r="K161" s="86"/>
    </row>
    <row r="162" customFormat="false" ht="19.5" hidden="false" customHeight="true" outlineLevel="0" collapsed="false">
      <c r="A162" s="103"/>
      <c r="B162" s="86"/>
      <c r="C162" s="86"/>
      <c r="D162" s="86"/>
      <c r="E162" s="86"/>
      <c r="F162" s="86"/>
      <c r="G162" s="86"/>
      <c r="H162" s="86"/>
      <c r="I162" s="86"/>
      <c r="J162" s="86"/>
      <c r="K162" s="86"/>
    </row>
    <row r="163" customFormat="false" ht="19.5" hidden="false" customHeight="true" outlineLevel="0" collapsed="false">
      <c r="A163" s="103"/>
      <c r="B163" s="86"/>
      <c r="C163" s="86"/>
      <c r="D163" s="86"/>
      <c r="E163" s="86"/>
      <c r="F163" s="86"/>
      <c r="G163" s="86"/>
      <c r="H163" s="86"/>
      <c r="I163" s="86"/>
      <c r="J163" s="86"/>
      <c r="K163" s="86"/>
    </row>
    <row r="164" customFormat="false" ht="19.5" hidden="false" customHeight="true" outlineLevel="0" collapsed="false">
      <c r="A164" s="103"/>
      <c r="B164" s="86"/>
      <c r="C164" s="86"/>
      <c r="D164" s="86"/>
      <c r="E164" s="86"/>
      <c r="F164" s="86"/>
      <c r="G164" s="86"/>
      <c r="H164" s="86"/>
      <c r="I164" s="86"/>
      <c r="J164" s="86"/>
      <c r="K164" s="86"/>
    </row>
    <row r="165" customFormat="false" ht="19.5" hidden="false" customHeight="true" outlineLevel="0" collapsed="false">
      <c r="A165" s="103"/>
      <c r="B165" s="86"/>
      <c r="C165" s="86"/>
      <c r="D165" s="86"/>
      <c r="E165" s="86"/>
      <c r="F165" s="86"/>
      <c r="G165" s="86"/>
      <c r="H165" s="86"/>
      <c r="I165" s="86"/>
      <c r="J165" s="86"/>
      <c r="K165" s="86"/>
    </row>
    <row r="166" customFormat="false" ht="19.5" hidden="false" customHeight="true" outlineLevel="0" collapsed="false">
      <c r="A166" s="103"/>
      <c r="B166" s="86"/>
      <c r="C166" s="86"/>
      <c r="D166" s="86"/>
      <c r="E166" s="86"/>
      <c r="F166" s="86"/>
      <c r="G166" s="86"/>
      <c r="H166" s="86"/>
      <c r="I166" s="86"/>
      <c r="J166" s="86"/>
      <c r="K166" s="86"/>
    </row>
    <row r="167" customFormat="false" ht="19.5" hidden="false" customHeight="true" outlineLevel="0" collapsed="false">
      <c r="A167" s="103"/>
      <c r="B167" s="86"/>
      <c r="C167" s="86"/>
      <c r="D167" s="86"/>
      <c r="E167" s="86"/>
      <c r="F167" s="86"/>
      <c r="G167" s="86"/>
      <c r="H167" s="86"/>
      <c r="I167" s="86"/>
      <c r="J167" s="86"/>
      <c r="K167" s="86"/>
    </row>
    <row r="168" customFormat="false" ht="19.5" hidden="false" customHeight="true" outlineLevel="0" collapsed="false">
      <c r="A168" s="103"/>
      <c r="B168" s="86"/>
      <c r="C168" s="86"/>
      <c r="D168" s="86"/>
      <c r="E168" s="86"/>
      <c r="F168" s="86"/>
      <c r="G168" s="86"/>
      <c r="H168" s="86"/>
      <c r="I168" s="86"/>
      <c r="J168" s="86"/>
      <c r="K168" s="86"/>
    </row>
    <row r="169" customFormat="false" ht="19.5" hidden="false" customHeight="true" outlineLevel="0" collapsed="false">
      <c r="A169" s="103"/>
      <c r="B169" s="86"/>
      <c r="C169" s="86"/>
      <c r="D169" s="86"/>
      <c r="E169" s="86"/>
      <c r="F169" s="86"/>
      <c r="G169" s="86"/>
      <c r="H169" s="86"/>
      <c r="I169" s="86"/>
      <c r="J169" s="86"/>
      <c r="K169" s="86"/>
    </row>
    <row r="170" customFormat="false" ht="19.5" hidden="false" customHeight="true" outlineLevel="0" collapsed="false">
      <c r="A170" s="103"/>
      <c r="B170" s="86"/>
      <c r="C170" s="86"/>
      <c r="D170" s="86"/>
      <c r="E170" s="86"/>
      <c r="F170" s="86"/>
      <c r="G170" s="86"/>
      <c r="H170" s="86"/>
      <c r="I170" s="86"/>
      <c r="J170" s="86"/>
      <c r="K170" s="86"/>
    </row>
    <row r="171" customFormat="false" ht="19.5" hidden="false" customHeight="true" outlineLevel="0" collapsed="false">
      <c r="A171" s="103"/>
      <c r="B171" s="86"/>
      <c r="C171" s="86"/>
      <c r="D171" s="86"/>
      <c r="E171" s="86"/>
      <c r="F171" s="86"/>
      <c r="G171" s="86"/>
      <c r="H171" s="86"/>
      <c r="I171" s="86"/>
      <c r="J171" s="86"/>
      <c r="K171" s="86"/>
    </row>
    <row r="172" customFormat="false" ht="19.5" hidden="false" customHeight="true" outlineLevel="0" collapsed="false">
      <c r="A172" s="103"/>
      <c r="B172" s="86"/>
      <c r="C172" s="86"/>
      <c r="D172" s="86"/>
      <c r="E172" s="86"/>
      <c r="F172" s="86"/>
      <c r="G172" s="86"/>
      <c r="H172" s="86"/>
      <c r="I172" s="86"/>
      <c r="J172" s="86"/>
      <c r="K172" s="86"/>
    </row>
    <row r="173" customFormat="false" ht="19.5" hidden="false" customHeight="true" outlineLevel="0" collapsed="false">
      <c r="A173" s="103"/>
      <c r="B173" s="86"/>
      <c r="C173" s="86"/>
      <c r="D173" s="86"/>
      <c r="E173" s="86"/>
      <c r="F173" s="86"/>
      <c r="G173" s="86"/>
      <c r="H173" s="86"/>
      <c r="I173" s="86"/>
      <c r="J173" s="86"/>
      <c r="K173" s="86"/>
    </row>
    <row r="174" customFormat="false" ht="19.5" hidden="false" customHeight="true" outlineLevel="0" collapsed="false">
      <c r="A174" s="103"/>
      <c r="B174" s="86"/>
      <c r="C174" s="86"/>
      <c r="D174" s="86"/>
      <c r="E174" s="86"/>
      <c r="F174" s="86"/>
      <c r="G174" s="86"/>
      <c r="H174" s="86"/>
      <c r="I174" s="86"/>
      <c r="J174" s="86"/>
      <c r="K174" s="86"/>
    </row>
    <row r="175" customFormat="false" ht="19.5" hidden="false" customHeight="true" outlineLevel="0" collapsed="false">
      <c r="A175" s="103"/>
      <c r="B175" s="86"/>
      <c r="C175" s="86"/>
      <c r="D175" s="86"/>
      <c r="E175" s="86"/>
      <c r="F175" s="86"/>
      <c r="G175" s="86"/>
      <c r="H175" s="86"/>
      <c r="I175" s="86"/>
      <c r="J175" s="86"/>
      <c r="K175" s="86"/>
    </row>
    <row r="176" customFormat="false" ht="19.5" hidden="false" customHeight="true" outlineLevel="0" collapsed="false">
      <c r="A176" s="103"/>
      <c r="B176" s="86"/>
      <c r="C176" s="86"/>
      <c r="D176" s="86"/>
      <c r="E176" s="86"/>
      <c r="F176" s="86"/>
      <c r="G176" s="86"/>
      <c r="H176" s="86"/>
      <c r="I176" s="86"/>
      <c r="J176" s="86"/>
      <c r="K176" s="86"/>
    </row>
    <row r="177" customFormat="false" ht="19.5" hidden="false" customHeight="true" outlineLevel="0" collapsed="false">
      <c r="A177" s="103"/>
      <c r="B177" s="86"/>
      <c r="C177" s="86"/>
      <c r="D177" s="86"/>
      <c r="E177" s="86"/>
      <c r="F177" s="86"/>
      <c r="G177" s="86"/>
      <c r="H177" s="86"/>
      <c r="I177" s="86"/>
      <c r="J177" s="86"/>
      <c r="K177" s="86"/>
    </row>
    <row r="178" customFormat="false" ht="19.5" hidden="false" customHeight="true" outlineLevel="0" collapsed="false">
      <c r="A178" s="103"/>
      <c r="B178" s="86"/>
      <c r="C178" s="86"/>
      <c r="D178" s="86"/>
      <c r="E178" s="86"/>
      <c r="F178" s="86"/>
      <c r="G178" s="86"/>
      <c r="H178" s="86"/>
      <c r="I178" s="86"/>
      <c r="J178" s="86"/>
      <c r="K178" s="86"/>
    </row>
    <row r="179" customFormat="false" ht="19.5" hidden="false" customHeight="true" outlineLevel="0" collapsed="false">
      <c r="A179" s="103"/>
      <c r="B179" s="86"/>
      <c r="C179" s="86"/>
      <c r="D179" s="86"/>
      <c r="E179" s="86"/>
      <c r="F179" s="86"/>
      <c r="G179" s="86"/>
      <c r="H179" s="86"/>
      <c r="I179" s="86"/>
      <c r="J179" s="86"/>
      <c r="K179" s="86"/>
    </row>
    <row r="180" customFormat="false" ht="19.5" hidden="false" customHeight="true" outlineLevel="0" collapsed="false">
      <c r="A180" s="103"/>
      <c r="B180" s="86"/>
      <c r="C180" s="86"/>
      <c r="D180" s="86"/>
      <c r="E180" s="86"/>
      <c r="F180" s="86"/>
      <c r="G180" s="86"/>
      <c r="H180" s="86"/>
      <c r="I180" s="86"/>
      <c r="J180" s="86"/>
      <c r="K180" s="86"/>
    </row>
    <row r="181" customFormat="false" ht="19.5" hidden="false" customHeight="true" outlineLevel="0" collapsed="false">
      <c r="A181" s="103"/>
      <c r="B181" s="86"/>
      <c r="C181" s="86"/>
      <c r="D181" s="86"/>
      <c r="E181" s="86"/>
      <c r="F181" s="86"/>
      <c r="G181" s="86"/>
      <c r="H181" s="86"/>
      <c r="I181" s="86"/>
      <c r="J181" s="86"/>
      <c r="K181" s="86"/>
    </row>
    <row r="182" customFormat="false" ht="19.5" hidden="false" customHeight="true" outlineLevel="0" collapsed="false">
      <c r="A182" s="103"/>
      <c r="B182" s="86"/>
      <c r="C182" s="86"/>
      <c r="D182" s="86"/>
      <c r="E182" s="86"/>
      <c r="F182" s="86"/>
      <c r="G182" s="86"/>
      <c r="H182" s="86"/>
      <c r="I182" s="86"/>
      <c r="J182" s="86"/>
      <c r="K182" s="86"/>
    </row>
    <row r="183" customFormat="false" ht="19.5" hidden="false" customHeight="true" outlineLevel="0" collapsed="false">
      <c r="A183" s="103"/>
      <c r="B183" s="86"/>
      <c r="C183" s="86"/>
      <c r="D183" s="86"/>
      <c r="E183" s="86"/>
      <c r="F183" s="86"/>
      <c r="G183" s="86"/>
      <c r="H183" s="86"/>
      <c r="I183" s="86"/>
      <c r="J183" s="86"/>
      <c r="K183" s="86"/>
    </row>
    <row r="184" customFormat="false" ht="19.5" hidden="false" customHeight="true" outlineLevel="0" collapsed="false">
      <c r="A184" s="103"/>
      <c r="B184" s="86"/>
      <c r="C184" s="86"/>
      <c r="D184" s="86"/>
      <c r="E184" s="86"/>
      <c r="F184" s="86"/>
      <c r="G184" s="86"/>
      <c r="H184" s="86"/>
      <c r="I184" s="86"/>
      <c r="J184" s="86"/>
      <c r="K184" s="86"/>
    </row>
    <row r="185" customFormat="false" ht="19.5" hidden="false" customHeight="true" outlineLevel="0" collapsed="false">
      <c r="A185" s="103"/>
      <c r="B185" s="86"/>
      <c r="C185" s="86"/>
      <c r="D185" s="86"/>
      <c r="E185" s="86"/>
      <c r="F185" s="86"/>
      <c r="G185" s="86"/>
      <c r="H185" s="86"/>
      <c r="I185" s="86"/>
      <c r="J185" s="86"/>
      <c r="K185" s="86"/>
    </row>
    <row r="186" customFormat="false" ht="19.5" hidden="false" customHeight="true" outlineLevel="0" collapsed="false">
      <c r="A186" s="103"/>
      <c r="B186" s="86"/>
      <c r="C186" s="86"/>
      <c r="D186" s="86"/>
      <c r="E186" s="86"/>
      <c r="F186" s="86"/>
      <c r="G186" s="86"/>
      <c r="H186" s="86"/>
      <c r="I186" s="86"/>
      <c r="J186" s="86"/>
      <c r="K186" s="86"/>
    </row>
    <row r="187" customFormat="false" ht="19.5" hidden="false" customHeight="true" outlineLevel="0" collapsed="false">
      <c r="A187" s="103"/>
      <c r="B187" s="86"/>
      <c r="C187" s="86"/>
      <c r="D187" s="86"/>
      <c r="E187" s="86"/>
      <c r="F187" s="86"/>
      <c r="G187" s="86"/>
      <c r="H187" s="86"/>
      <c r="I187" s="86"/>
      <c r="J187" s="86"/>
      <c r="K187" s="86"/>
    </row>
    <row r="188" customFormat="false" ht="19.5" hidden="false" customHeight="true" outlineLevel="0" collapsed="false">
      <c r="A188" s="103"/>
      <c r="B188" s="86"/>
      <c r="C188" s="86"/>
      <c r="D188" s="86"/>
      <c r="E188" s="86"/>
      <c r="F188" s="86"/>
      <c r="G188" s="86"/>
      <c r="H188" s="86"/>
      <c r="I188" s="86"/>
      <c r="J188" s="86"/>
      <c r="K188" s="86"/>
    </row>
    <row r="189" customFormat="false" ht="19.5" hidden="false" customHeight="true" outlineLevel="0" collapsed="false">
      <c r="A189" s="103"/>
      <c r="B189" s="86"/>
      <c r="C189" s="86"/>
      <c r="D189" s="86"/>
      <c r="E189" s="86"/>
      <c r="F189" s="86"/>
      <c r="G189" s="86"/>
      <c r="H189" s="86"/>
      <c r="I189" s="86"/>
      <c r="J189" s="86"/>
      <c r="K189" s="86"/>
    </row>
    <row r="190" customFormat="false" ht="19.5" hidden="false" customHeight="true" outlineLevel="0" collapsed="false">
      <c r="A190" s="103"/>
      <c r="B190" s="86"/>
      <c r="C190" s="86"/>
      <c r="D190" s="86"/>
      <c r="E190" s="86"/>
      <c r="F190" s="86"/>
      <c r="G190" s="86"/>
      <c r="H190" s="86"/>
      <c r="I190" s="86"/>
      <c r="J190" s="86"/>
      <c r="K190" s="86"/>
    </row>
    <row r="191" customFormat="false" ht="19.5" hidden="false" customHeight="true" outlineLevel="0" collapsed="false">
      <c r="A191" s="103"/>
      <c r="B191" s="86"/>
      <c r="C191" s="86"/>
      <c r="D191" s="86"/>
      <c r="E191" s="86"/>
      <c r="F191" s="86"/>
      <c r="G191" s="86"/>
      <c r="H191" s="86"/>
      <c r="I191" s="86"/>
      <c r="J191" s="86"/>
      <c r="K191" s="86"/>
    </row>
    <row r="192" customFormat="false" ht="19.5" hidden="false" customHeight="true" outlineLevel="0" collapsed="false">
      <c r="A192" s="103"/>
      <c r="B192" s="86"/>
      <c r="C192" s="86"/>
      <c r="D192" s="86"/>
      <c r="E192" s="86"/>
      <c r="F192" s="86"/>
      <c r="G192" s="86"/>
      <c r="H192" s="86"/>
      <c r="I192" s="86"/>
      <c r="J192" s="86"/>
      <c r="K192" s="86"/>
    </row>
    <row r="193" customFormat="false" ht="19.5" hidden="false" customHeight="true" outlineLevel="0" collapsed="false">
      <c r="A193" s="103"/>
      <c r="B193" s="86"/>
      <c r="C193" s="86"/>
      <c r="D193" s="86"/>
      <c r="E193" s="86"/>
      <c r="F193" s="86"/>
      <c r="G193" s="86"/>
      <c r="H193" s="86"/>
      <c r="I193" s="86"/>
      <c r="J193" s="86"/>
      <c r="K193" s="86"/>
    </row>
    <row r="194" customFormat="false" ht="19.5" hidden="false" customHeight="true" outlineLevel="0" collapsed="false">
      <c r="A194" s="103"/>
      <c r="B194" s="86"/>
      <c r="C194" s="86"/>
      <c r="D194" s="86"/>
      <c r="E194" s="86"/>
      <c r="F194" s="86"/>
      <c r="G194" s="86"/>
      <c r="H194" s="86"/>
      <c r="I194" s="86"/>
      <c r="J194" s="86"/>
      <c r="K194" s="86"/>
    </row>
    <row r="195" customFormat="false" ht="19.5" hidden="false" customHeight="true" outlineLevel="0" collapsed="false">
      <c r="A195" s="103"/>
      <c r="B195" s="86"/>
      <c r="C195" s="86"/>
      <c r="D195" s="86"/>
      <c r="E195" s="86"/>
      <c r="F195" s="86"/>
      <c r="G195" s="86"/>
      <c r="H195" s="86"/>
      <c r="I195" s="86"/>
      <c r="J195" s="86"/>
      <c r="K195" s="86"/>
    </row>
    <row r="196" customFormat="false" ht="19.5" hidden="false" customHeight="true" outlineLevel="0" collapsed="false">
      <c r="A196" s="103"/>
      <c r="B196" s="86"/>
      <c r="C196" s="86"/>
      <c r="D196" s="86"/>
      <c r="E196" s="86"/>
      <c r="F196" s="86"/>
      <c r="G196" s="86"/>
      <c r="H196" s="86"/>
      <c r="I196" s="86"/>
      <c r="J196" s="86"/>
      <c r="K196" s="86"/>
    </row>
    <row r="197" customFormat="false" ht="19.5" hidden="false" customHeight="true" outlineLevel="0" collapsed="false">
      <c r="A197" s="103"/>
      <c r="B197" s="86"/>
      <c r="C197" s="86"/>
      <c r="D197" s="86"/>
      <c r="E197" s="86"/>
      <c r="F197" s="86"/>
      <c r="G197" s="86"/>
      <c r="H197" s="86"/>
      <c r="I197" s="86"/>
      <c r="J197" s="86"/>
      <c r="K197" s="86"/>
    </row>
    <row r="198" customFormat="false" ht="19.5" hidden="false" customHeight="true" outlineLevel="0" collapsed="false">
      <c r="A198" s="103"/>
      <c r="B198" s="86"/>
      <c r="C198" s="86"/>
      <c r="D198" s="86"/>
      <c r="E198" s="86"/>
      <c r="F198" s="86"/>
      <c r="G198" s="86"/>
      <c r="H198" s="86"/>
      <c r="I198" s="86"/>
      <c r="J198" s="86"/>
      <c r="K198" s="86"/>
    </row>
    <row r="199" customFormat="false" ht="19.5" hidden="false" customHeight="true" outlineLevel="0" collapsed="false">
      <c r="A199" s="103"/>
      <c r="B199" s="86"/>
      <c r="C199" s="86"/>
      <c r="D199" s="86"/>
      <c r="E199" s="86"/>
      <c r="F199" s="86"/>
      <c r="G199" s="86"/>
      <c r="H199" s="86"/>
      <c r="I199" s="86"/>
      <c r="J199" s="86"/>
      <c r="K199" s="86"/>
    </row>
    <row r="200" customFormat="false" ht="19.5" hidden="false" customHeight="true" outlineLevel="0" collapsed="false">
      <c r="A200" s="103"/>
      <c r="B200" s="86"/>
      <c r="C200" s="86"/>
      <c r="D200" s="86"/>
      <c r="E200" s="86"/>
      <c r="F200" s="86"/>
      <c r="G200" s="86"/>
      <c r="H200" s="86"/>
      <c r="I200" s="86"/>
      <c r="J200" s="86"/>
      <c r="K200" s="86"/>
    </row>
    <row r="201" customFormat="false" ht="19.5" hidden="false" customHeight="true" outlineLevel="0" collapsed="false">
      <c r="A201" s="103"/>
      <c r="B201" s="86"/>
      <c r="C201" s="86"/>
      <c r="D201" s="86"/>
      <c r="E201" s="86"/>
      <c r="F201" s="86"/>
      <c r="G201" s="86"/>
      <c r="H201" s="86"/>
      <c r="I201" s="86"/>
      <c r="J201" s="86"/>
      <c r="K201" s="86"/>
    </row>
    <row r="202" customFormat="false" ht="19.5" hidden="false" customHeight="true" outlineLevel="0" collapsed="false">
      <c r="A202" s="103"/>
      <c r="B202" s="86"/>
      <c r="C202" s="86"/>
      <c r="D202" s="86"/>
      <c r="E202" s="86"/>
      <c r="F202" s="86"/>
      <c r="G202" s="86"/>
      <c r="H202" s="86"/>
      <c r="I202" s="86"/>
      <c r="J202" s="86"/>
      <c r="K202" s="86"/>
    </row>
    <row r="203" customFormat="false" ht="19.5" hidden="false" customHeight="true" outlineLevel="0" collapsed="false">
      <c r="A203" s="103"/>
      <c r="B203" s="86"/>
      <c r="C203" s="86"/>
      <c r="D203" s="86"/>
      <c r="E203" s="86"/>
      <c r="F203" s="86"/>
      <c r="G203" s="86"/>
      <c r="H203" s="86"/>
      <c r="I203" s="86"/>
      <c r="J203" s="86"/>
      <c r="K203" s="86"/>
    </row>
    <row r="204" customFormat="false" ht="19.5" hidden="false" customHeight="true" outlineLevel="0" collapsed="false">
      <c r="A204" s="103"/>
      <c r="B204" s="86"/>
      <c r="C204" s="86"/>
      <c r="D204" s="86"/>
      <c r="E204" s="86"/>
      <c r="F204" s="86"/>
      <c r="G204" s="86"/>
      <c r="H204" s="86"/>
      <c r="I204" s="86"/>
      <c r="J204" s="86"/>
      <c r="K204" s="86"/>
    </row>
    <row r="205" customFormat="false" ht="19.5" hidden="false" customHeight="true" outlineLevel="0" collapsed="false">
      <c r="A205" s="103"/>
      <c r="B205" s="86"/>
      <c r="C205" s="86"/>
      <c r="D205" s="86"/>
      <c r="E205" s="86"/>
      <c r="F205" s="86"/>
      <c r="G205" s="86"/>
      <c r="H205" s="86"/>
      <c r="I205" s="86"/>
      <c r="J205" s="86"/>
      <c r="K205" s="86"/>
    </row>
    <row r="206" customFormat="false" ht="19.5" hidden="false" customHeight="true" outlineLevel="0" collapsed="false">
      <c r="A206" s="103"/>
      <c r="B206" s="86"/>
      <c r="C206" s="86"/>
      <c r="D206" s="86"/>
      <c r="E206" s="86"/>
      <c r="F206" s="86"/>
      <c r="G206" s="86"/>
      <c r="H206" s="86"/>
      <c r="I206" s="86"/>
      <c r="J206" s="86"/>
      <c r="K206" s="86"/>
    </row>
    <row r="207" customFormat="false" ht="19.5" hidden="false" customHeight="true" outlineLevel="0" collapsed="false">
      <c r="A207" s="103"/>
      <c r="B207" s="86"/>
      <c r="C207" s="86"/>
      <c r="D207" s="86"/>
      <c r="E207" s="86"/>
      <c r="F207" s="86"/>
      <c r="G207" s="86"/>
      <c r="H207" s="86"/>
      <c r="I207" s="86"/>
      <c r="J207" s="86"/>
      <c r="K207" s="86"/>
    </row>
    <row r="208" customFormat="false" ht="19.5" hidden="false" customHeight="true" outlineLevel="0" collapsed="false">
      <c r="A208" s="103"/>
      <c r="B208" s="86"/>
      <c r="C208" s="86"/>
      <c r="D208" s="86"/>
      <c r="E208" s="86"/>
      <c r="F208" s="86"/>
      <c r="G208" s="86"/>
      <c r="H208" s="86"/>
      <c r="I208" s="86"/>
      <c r="J208" s="86"/>
      <c r="K208" s="86"/>
    </row>
    <row r="209" customFormat="false" ht="19.5" hidden="false" customHeight="true" outlineLevel="0" collapsed="false">
      <c r="A209" s="103"/>
      <c r="B209" s="86"/>
      <c r="C209" s="86"/>
      <c r="D209" s="86"/>
      <c r="E209" s="86"/>
      <c r="F209" s="86"/>
      <c r="G209" s="86"/>
      <c r="H209" s="86"/>
      <c r="I209" s="86"/>
      <c r="J209" s="86"/>
      <c r="K209" s="86"/>
    </row>
    <row r="210" customFormat="false" ht="19.5" hidden="false" customHeight="true" outlineLevel="0" collapsed="false">
      <c r="A210" s="103"/>
      <c r="B210" s="86"/>
      <c r="C210" s="86"/>
      <c r="D210" s="86"/>
      <c r="E210" s="86"/>
      <c r="F210" s="86"/>
      <c r="G210" s="86"/>
      <c r="H210" s="86"/>
      <c r="I210" s="86"/>
      <c r="J210" s="86"/>
      <c r="K210" s="86"/>
    </row>
    <row r="211" customFormat="false" ht="19.5" hidden="false" customHeight="true" outlineLevel="0" collapsed="false">
      <c r="A211" s="103"/>
      <c r="B211" s="86"/>
      <c r="C211" s="86"/>
      <c r="D211" s="86"/>
      <c r="E211" s="86"/>
      <c r="F211" s="86"/>
      <c r="G211" s="86"/>
      <c r="H211" s="86"/>
      <c r="I211" s="86"/>
      <c r="J211" s="86"/>
      <c r="K211" s="86"/>
    </row>
    <row r="212" customFormat="false" ht="19.5" hidden="false" customHeight="true" outlineLevel="0" collapsed="false">
      <c r="A212" s="103"/>
      <c r="B212" s="86"/>
      <c r="C212" s="86"/>
      <c r="D212" s="86"/>
      <c r="E212" s="86"/>
      <c r="F212" s="86"/>
      <c r="G212" s="86"/>
      <c r="H212" s="86"/>
      <c r="I212" s="86"/>
      <c r="J212" s="86"/>
      <c r="K212" s="86"/>
    </row>
    <row r="213" customFormat="false" ht="19.5" hidden="false" customHeight="true" outlineLevel="0" collapsed="false">
      <c r="A213" s="103"/>
      <c r="B213" s="86"/>
      <c r="C213" s="86"/>
      <c r="D213" s="86"/>
      <c r="E213" s="86"/>
      <c r="F213" s="86"/>
      <c r="G213" s="86"/>
      <c r="H213" s="86"/>
      <c r="I213" s="86"/>
      <c r="J213" s="86"/>
      <c r="K213" s="86"/>
    </row>
    <row r="214" customFormat="false" ht="19.5" hidden="false" customHeight="true" outlineLevel="0" collapsed="false">
      <c r="A214" s="103"/>
      <c r="B214" s="86"/>
      <c r="C214" s="86"/>
      <c r="D214" s="86"/>
      <c r="E214" s="86"/>
      <c r="F214" s="86"/>
      <c r="G214" s="86"/>
      <c r="H214" s="86"/>
      <c r="I214" s="86"/>
      <c r="J214" s="86"/>
      <c r="K214" s="86"/>
    </row>
    <row r="215" customFormat="false" ht="19.5" hidden="false" customHeight="true" outlineLevel="0" collapsed="false">
      <c r="A215" s="103"/>
      <c r="B215" s="86"/>
      <c r="C215" s="86"/>
      <c r="D215" s="86"/>
      <c r="E215" s="86"/>
      <c r="F215" s="86"/>
      <c r="G215" s="86"/>
      <c r="H215" s="86"/>
      <c r="I215" s="86"/>
      <c r="J215" s="86"/>
      <c r="K215" s="86"/>
    </row>
    <row r="216" customFormat="false" ht="19.5" hidden="false" customHeight="true" outlineLevel="0" collapsed="false">
      <c r="A216" s="103"/>
      <c r="B216" s="86"/>
      <c r="C216" s="86"/>
      <c r="D216" s="86"/>
      <c r="E216" s="86"/>
      <c r="F216" s="86"/>
      <c r="G216" s="86"/>
      <c r="H216" s="86"/>
      <c r="I216" s="86"/>
      <c r="J216" s="86"/>
      <c r="K216" s="86"/>
    </row>
    <row r="217" customFormat="false" ht="19.5" hidden="false" customHeight="true" outlineLevel="0" collapsed="false">
      <c r="A217" s="103"/>
      <c r="B217" s="86"/>
      <c r="C217" s="86"/>
      <c r="D217" s="86"/>
      <c r="E217" s="86"/>
      <c r="F217" s="86"/>
      <c r="G217" s="86"/>
      <c r="H217" s="86"/>
      <c r="I217" s="86"/>
      <c r="J217" s="86"/>
      <c r="K217" s="86"/>
    </row>
    <row r="218" customFormat="false" ht="19.5" hidden="false" customHeight="true" outlineLevel="0" collapsed="false">
      <c r="A218" s="103"/>
      <c r="B218" s="86"/>
      <c r="C218" s="86"/>
      <c r="D218" s="86"/>
      <c r="E218" s="86"/>
      <c r="F218" s="86"/>
      <c r="G218" s="86"/>
      <c r="H218" s="86"/>
      <c r="I218" s="86"/>
      <c r="J218" s="86"/>
      <c r="K218" s="86"/>
    </row>
    <row r="219" customFormat="false" ht="19.5" hidden="false" customHeight="true" outlineLevel="0" collapsed="false">
      <c r="A219" s="103"/>
      <c r="B219" s="86"/>
      <c r="C219" s="86"/>
      <c r="D219" s="86"/>
      <c r="E219" s="86"/>
      <c r="F219" s="86"/>
      <c r="G219" s="86"/>
      <c r="H219" s="86"/>
      <c r="I219" s="86"/>
      <c r="J219" s="86"/>
      <c r="K219" s="86"/>
    </row>
    <row r="220" customFormat="false" ht="19.5" hidden="false" customHeight="true" outlineLevel="0" collapsed="false">
      <c r="A220" s="103"/>
      <c r="B220" s="86"/>
      <c r="C220" s="86"/>
      <c r="D220" s="86"/>
      <c r="E220" s="86"/>
      <c r="F220" s="86"/>
      <c r="G220" s="86"/>
      <c r="H220" s="86"/>
      <c r="I220" s="86"/>
      <c r="J220" s="86"/>
      <c r="K220" s="86"/>
    </row>
    <row r="221" customFormat="false" ht="19.5" hidden="false" customHeight="true" outlineLevel="0" collapsed="false">
      <c r="A221" s="103"/>
      <c r="B221" s="86"/>
      <c r="C221" s="86"/>
      <c r="D221" s="86"/>
      <c r="E221" s="86"/>
      <c r="F221" s="86"/>
      <c r="G221" s="86"/>
      <c r="H221" s="86"/>
      <c r="I221" s="86"/>
      <c r="J221" s="86"/>
      <c r="K221" s="86"/>
    </row>
    <row r="222" customFormat="false" ht="19.5" hidden="false" customHeight="true" outlineLevel="0" collapsed="false">
      <c r="A222" s="103"/>
      <c r="B222" s="86"/>
      <c r="C222" s="86"/>
      <c r="D222" s="86"/>
      <c r="E222" s="86"/>
      <c r="F222" s="86"/>
      <c r="G222" s="86"/>
      <c r="H222" s="86"/>
      <c r="I222" s="86"/>
      <c r="J222" s="86"/>
      <c r="K222" s="86"/>
    </row>
    <row r="223" customFormat="false" ht="19.5" hidden="false" customHeight="true" outlineLevel="0" collapsed="false">
      <c r="A223" s="103"/>
      <c r="B223" s="86"/>
      <c r="C223" s="86"/>
      <c r="D223" s="86"/>
      <c r="E223" s="86"/>
      <c r="F223" s="86"/>
      <c r="G223" s="86"/>
      <c r="H223" s="86"/>
      <c r="I223" s="86"/>
      <c r="J223" s="86"/>
      <c r="K223" s="86"/>
    </row>
    <row r="224" customFormat="false" ht="19.5" hidden="false" customHeight="true" outlineLevel="0" collapsed="false">
      <c r="A224" s="103"/>
      <c r="B224" s="86"/>
      <c r="C224" s="86"/>
      <c r="D224" s="86"/>
      <c r="E224" s="86"/>
      <c r="F224" s="86"/>
      <c r="G224" s="86"/>
      <c r="H224" s="86"/>
      <c r="I224" s="86"/>
      <c r="J224" s="86"/>
      <c r="K224" s="86"/>
    </row>
    <row r="225" customFormat="false" ht="19.5" hidden="false" customHeight="true" outlineLevel="0" collapsed="false">
      <c r="A225" s="103"/>
      <c r="B225" s="86"/>
      <c r="C225" s="86"/>
      <c r="D225" s="86"/>
      <c r="E225" s="86"/>
      <c r="F225" s="86"/>
      <c r="G225" s="86"/>
      <c r="H225" s="86"/>
      <c r="I225" s="86"/>
      <c r="J225" s="86"/>
      <c r="K225" s="86"/>
    </row>
    <row r="226" customFormat="false" ht="19.5" hidden="false" customHeight="true" outlineLevel="0" collapsed="false">
      <c r="A226" s="103"/>
      <c r="B226" s="86"/>
      <c r="C226" s="86"/>
      <c r="D226" s="86"/>
      <c r="E226" s="86"/>
      <c r="F226" s="86"/>
      <c r="G226" s="86"/>
      <c r="H226" s="86"/>
      <c r="I226" s="86"/>
      <c r="J226" s="86"/>
      <c r="K226" s="86"/>
    </row>
    <row r="227" customFormat="false" ht="19.5" hidden="false" customHeight="true" outlineLevel="0" collapsed="false">
      <c r="A227" s="103"/>
      <c r="B227" s="86"/>
      <c r="C227" s="86"/>
      <c r="D227" s="86"/>
      <c r="E227" s="86"/>
      <c r="F227" s="86"/>
      <c r="G227" s="86"/>
      <c r="H227" s="86"/>
      <c r="I227" s="86"/>
      <c r="J227" s="86"/>
      <c r="K227" s="86"/>
    </row>
    <row r="228" customFormat="false" ht="19.5" hidden="false" customHeight="true" outlineLevel="0" collapsed="false">
      <c r="A228" s="103"/>
      <c r="B228" s="86"/>
      <c r="C228" s="86"/>
      <c r="D228" s="86"/>
      <c r="E228" s="86"/>
      <c r="F228" s="86"/>
      <c r="G228" s="86"/>
      <c r="H228" s="86"/>
      <c r="I228" s="86"/>
      <c r="J228" s="86"/>
      <c r="K228" s="86"/>
    </row>
    <row r="229" customFormat="false" ht="19.5" hidden="false" customHeight="true" outlineLevel="0" collapsed="false">
      <c r="A229" s="103"/>
      <c r="B229" s="86"/>
      <c r="C229" s="86"/>
      <c r="D229" s="86"/>
      <c r="E229" s="86"/>
      <c r="F229" s="86"/>
      <c r="G229" s="86"/>
      <c r="H229" s="86"/>
      <c r="I229" s="86"/>
      <c r="J229" s="86"/>
      <c r="K229" s="86"/>
    </row>
    <row r="230" customFormat="false" ht="19.5" hidden="false" customHeight="true" outlineLevel="0" collapsed="false">
      <c r="A230" s="103"/>
      <c r="B230" s="86"/>
      <c r="C230" s="86"/>
      <c r="D230" s="86"/>
      <c r="E230" s="86"/>
      <c r="F230" s="86"/>
      <c r="G230" s="86"/>
      <c r="H230" s="86"/>
      <c r="I230" s="86"/>
      <c r="J230" s="86"/>
      <c r="K230" s="86"/>
    </row>
    <row r="231" customFormat="false" ht="19.5" hidden="false" customHeight="true" outlineLevel="0" collapsed="false">
      <c r="A231" s="103"/>
      <c r="B231" s="86"/>
      <c r="C231" s="86"/>
      <c r="D231" s="86"/>
      <c r="E231" s="86"/>
      <c r="F231" s="86"/>
      <c r="G231" s="86"/>
      <c r="H231" s="86"/>
      <c r="I231" s="86"/>
      <c r="J231" s="86"/>
      <c r="K231" s="86"/>
    </row>
    <row r="232" customFormat="false" ht="19.5" hidden="false" customHeight="true" outlineLevel="0" collapsed="false">
      <c r="A232" s="103"/>
      <c r="B232" s="86"/>
      <c r="C232" s="86"/>
      <c r="D232" s="86"/>
      <c r="E232" s="86"/>
      <c r="F232" s="86"/>
      <c r="G232" s="86"/>
      <c r="H232" s="86"/>
      <c r="I232" s="86"/>
      <c r="J232" s="86"/>
      <c r="K232" s="86"/>
    </row>
    <row r="233" customFormat="false" ht="19.5" hidden="false" customHeight="true" outlineLevel="0" collapsed="false">
      <c r="A233" s="103"/>
      <c r="B233" s="86"/>
      <c r="C233" s="86"/>
      <c r="D233" s="86"/>
      <c r="E233" s="86"/>
      <c r="F233" s="86"/>
      <c r="G233" s="86"/>
      <c r="H233" s="86"/>
      <c r="I233" s="86"/>
      <c r="J233" s="86"/>
      <c r="K233" s="86"/>
    </row>
    <row r="234" customFormat="false" ht="19.5" hidden="false" customHeight="true" outlineLevel="0" collapsed="false">
      <c r="A234" s="103"/>
      <c r="B234" s="86"/>
      <c r="C234" s="86"/>
      <c r="D234" s="86"/>
      <c r="E234" s="86"/>
      <c r="F234" s="86"/>
      <c r="G234" s="86"/>
      <c r="H234" s="86"/>
      <c r="I234" s="86"/>
      <c r="J234" s="86"/>
      <c r="K234" s="86"/>
    </row>
    <row r="235" customFormat="false" ht="19.5" hidden="false" customHeight="true" outlineLevel="0" collapsed="false">
      <c r="A235" s="103"/>
      <c r="B235" s="86"/>
      <c r="C235" s="86"/>
      <c r="D235" s="86"/>
      <c r="E235" s="86"/>
      <c r="F235" s="86"/>
      <c r="G235" s="86"/>
      <c r="H235" s="86"/>
      <c r="I235" s="86"/>
      <c r="J235" s="86"/>
      <c r="K235" s="86"/>
    </row>
    <row r="236" customFormat="false" ht="19.5" hidden="false" customHeight="true" outlineLevel="0" collapsed="false">
      <c r="A236" s="103"/>
      <c r="B236" s="86"/>
      <c r="C236" s="86"/>
      <c r="D236" s="86"/>
      <c r="E236" s="86"/>
      <c r="F236" s="86"/>
      <c r="G236" s="86"/>
      <c r="H236" s="86"/>
      <c r="I236" s="86"/>
      <c r="J236" s="86"/>
      <c r="K236" s="86"/>
    </row>
    <row r="237" customFormat="false" ht="19.5" hidden="false" customHeight="true" outlineLevel="0" collapsed="false">
      <c r="A237" s="103"/>
      <c r="B237" s="86"/>
      <c r="C237" s="86"/>
      <c r="D237" s="86"/>
      <c r="E237" s="86"/>
      <c r="F237" s="86"/>
      <c r="G237" s="86"/>
      <c r="H237" s="86"/>
      <c r="I237" s="86"/>
      <c r="J237" s="86"/>
      <c r="K237" s="86"/>
    </row>
    <row r="238" customFormat="false" ht="19.5" hidden="false" customHeight="true" outlineLevel="0" collapsed="false">
      <c r="A238" s="103"/>
      <c r="B238" s="86"/>
      <c r="C238" s="86"/>
      <c r="D238" s="86"/>
      <c r="E238" s="86"/>
      <c r="F238" s="86"/>
      <c r="G238" s="86"/>
      <c r="H238" s="86"/>
      <c r="I238" s="86"/>
      <c r="J238" s="86"/>
      <c r="K238" s="86"/>
    </row>
    <row r="239" customFormat="false" ht="19.5" hidden="false" customHeight="true" outlineLevel="0" collapsed="false">
      <c r="A239" s="103"/>
      <c r="B239" s="86"/>
      <c r="C239" s="86"/>
      <c r="D239" s="86"/>
      <c r="E239" s="86"/>
      <c r="F239" s="86"/>
      <c r="G239" s="86"/>
      <c r="H239" s="86"/>
      <c r="I239" s="86"/>
      <c r="J239" s="86"/>
      <c r="K239" s="86"/>
    </row>
    <row r="240" customFormat="false" ht="19.5" hidden="false" customHeight="true" outlineLevel="0" collapsed="false">
      <c r="A240" s="103"/>
      <c r="B240" s="86"/>
      <c r="C240" s="86"/>
      <c r="D240" s="86"/>
      <c r="E240" s="86"/>
      <c r="F240" s="86"/>
      <c r="G240" s="86"/>
      <c r="H240" s="86"/>
      <c r="I240" s="86"/>
      <c r="J240" s="86"/>
      <c r="K240" s="86"/>
    </row>
    <row r="241" customFormat="false" ht="19.5" hidden="false" customHeight="true" outlineLevel="0" collapsed="false">
      <c r="A241" s="103"/>
      <c r="B241" s="86"/>
      <c r="C241" s="86"/>
      <c r="D241" s="86"/>
      <c r="E241" s="86"/>
      <c r="F241" s="86"/>
      <c r="G241" s="86"/>
      <c r="H241" s="86"/>
      <c r="I241" s="86"/>
      <c r="J241" s="86"/>
      <c r="K241" s="86"/>
    </row>
    <row r="242" customFormat="false" ht="19.5" hidden="false" customHeight="true" outlineLevel="0" collapsed="false">
      <c r="A242" s="103"/>
      <c r="B242" s="86"/>
      <c r="C242" s="86"/>
      <c r="D242" s="86"/>
      <c r="E242" s="86"/>
      <c r="F242" s="86"/>
      <c r="G242" s="86"/>
      <c r="H242" s="86"/>
      <c r="I242" s="86"/>
      <c r="J242" s="86"/>
      <c r="K242" s="86"/>
    </row>
    <row r="243" customFormat="false" ht="19.5" hidden="false" customHeight="true" outlineLevel="0" collapsed="false">
      <c r="A243" s="103"/>
      <c r="B243" s="86"/>
      <c r="C243" s="86"/>
      <c r="D243" s="86"/>
      <c r="E243" s="86"/>
      <c r="F243" s="86"/>
      <c r="G243" s="86"/>
      <c r="H243" s="86"/>
      <c r="I243" s="86"/>
      <c r="J243" s="86"/>
      <c r="K243" s="86"/>
    </row>
    <row r="244" customFormat="false" ht="19.5" hidden="false" customHeight="true" outlineLevel="0" collapsed="false">
      <c r="A244" s="103"/>
      <c r="B244" s="86"/>
      <c r="C244" s="86"/>
      <c r="D244" s="86"/>
      <c r="E244" s="86"/>
      <c r="F244" s="86"/>
      <c r="G244" s="86"/>
      <c r="H244" s="86"/>
      <c r="I244" s="86"/>
      <c r="J244" s="86"/>
      <c r="K244" s="86"/>
    </row>
    <row r="245" customFormat="false" ht="19.5" hidden="false" customHeight="true" outlineLevel="0" collapsed="false">
      <c r="A245" s="103"/>
      <c r="B245" s="86"/>
      <c r="C245" s="86"/>
      <c r="D245" s="86"/>
      <c r="E245" s="86"/>
      <c r="F245" s="86"/>
      <c r="G245" s="86"/>
      <c r="H245" s="86"/>
      <c r="I245" s="86"/>
      <c r="J245" s="86"/>
      <c r="K245" s="86"/>
    </row>
    <row r="246" customFormat="false" ht="19.5" hidden="false" customHeight="true" outlineLevel="0" collapsed="false">
      <c r="A246" s="103"/>
      <c r="B246" s="86"/>
      <c r="C246" s="86"/>
      <c r="D246" s="86"/>
      <c r="E246" s="86"/>
      <c r="F246" s="86"/>
      <c r="G246" s="86"/>
      <c r="H246" s="86"/>
      <c r="I246" s="86"/>
      <c r="J246" s="86"/>
      <c r="K246" s="86"/>
    </row>
    <row r="247" customFormat="false" ht="19.5" hidden="false" customHeight="true" outlineLevel="0" collapsed="false">
      <c r="A247" s="103"/>
      <c r="B247" s="86"/>
      <c r="C247" s="86"/>
      <c r="D247" s="86"/>
      <c r="E247" s="86"/>
      <c r="F247" s="86"/>
      <c r="G247" s="86"/>
      <c r="H247" s="86"/>
      <c r="I247" s="86"/>
      <c r="J247" s="86"/>
      <c r="K247" s="86"/>
    </row>
    <row r="248" customFormat="false" ht="19.5" hidden="false" customHeight="true" outlineLevel="0" collapsed="false">
      <c r="A248" s="103"/>
      <c r="B248" s="86"/>
      <c r="C248" s="86"/>
      <c r="D248" s="86"/>
      <c r="E248" s="86"/>
      <c r="F248" s="86"/>
      <c r="G248" s="86"/>
      <c r="H248" s="86"/>
      <c r="I248" s="86"/>
      <c r="J248" s="86"/>
      <c r="K248" s="86"/>
    </row>
    <row r="249" customFormat="false" ht="19.5" hidden="false" customHeight="true" outlineLevel="0" collapsed="false">
      <c r="A249" s="103"/>
      <c r="B249" s="86"/>
      <c r="C249" s="86"/>
      <c r="D249" s="86"/>
      <c r="E249" s="86"/>
      <c r="F249" s="86"/>
      <c r="G249" s="86"/>
      <c r="H249" s="86"/>
      <c r="I249" s="86"/>
      <c r="J249" s="86"/>
      <c r="K249" s="86"/>
    </row>
    <row r="250" customFormat="false" ht="19.5" hidden="false" customHeight="true" outlineLevel="0" collapsed="false">
      <c r="A250" s="103"/>
      <c r="B250" s="86"/>
      <c r="C250" s="86"/>
      <c r="D250" s="86"/>
      <c r="E250" s="86"/>
      <c r="F250" s="86"/>
      <c r="G250" s="86"/>
      <c r="H250" s="86"/>
      <c r="I250" s="86"/>
      <c r="J250" s="86"/>
      <c r="K250" s="86"/>
    </row>
    <row r="251" customFormat="false" ht="19.5" hidden="false" customHeight="true" outlineLevel="0" collapsed="false">
      <c r="A251" s="103"/>
      <c r="B251" s="86"/>
      <c r="C251" s="86"/>
      <c r="D251" s="86"/>
      <c r="E251" s="86"/>
      <c r="F251" s="86"/>
      <c r="G251" s="86"/>
      <c r="H251" s="86"/>
      <c r="I251" s="86"/>
      <c r="J251" s="86"/>
      <c r="K251" s="86"/>
    </row>
    <row r="252" customFormat="false" ht="19.5" hidden="false" customHeight="true" outlineLevel="0" collapsed="false">
      <c r="A252" s="103"/>
      <c r="B252" s="86"/>
      <c r="C252" s="86"/>
      <c r="D252" s="86"/>
      <c r="E252" s="86"/>
      <c r="F252" s="86"/>
      <c r="G252" s="86"/>
      <c r="H252" s="86"/>
      <c r="I252" s="86"/>
      <c r="J252" s="86"/>
      <c r="K252" s="86"/>
    </row>
    <row r="253" customFormat="false" ht="19.5" hidden="false" customHeight="true" outlineLevel="0" collapsed="false">
      <c r="A253" s="103"/>
      <c r="B253" s="86"/>
      <c r="C253" s="86"/>
      <c r="D253" s="86"/>
      <c r="E253" s="86"/>
      <c r="F253" s="86"/>
      <c r="G253" s="86"/>
      <c r="H253" s="86"/>
      <c r="I253" s="86"/>
      <c r="J253" s="86"/>
      <c r="K253" s="86"/>
    </row>
    <row r="254" customFormat="false" ht="19.5" hidden="false" customHeight="true" outlineLevel="0" collapsed="false">
      <c r="A254" s="103"/>
      <c r="B254" s="86"/>
      <c r="C254" s="86"/>
      <c r="D254" s="86"/>
      <c r="E254" s="86"/>
      <c r="F254" s="86"/>
      <c r="G254" s="86"/>
      <c r="H254" s="86"/>
      <c r="I254" s="86"/>
      <c r="J254" s="86"/>
      <c r="K254" s="86"/>
    </row>
    <row r="255" customFormat="false" ht="19.5" hidden="false" customHeight="true" outlineLevel="0" collapsed="false">
      <c r="A255" s="103"/>
      <c r="B255" s="86"/>
      <c r="C255" s="86"/>
      <c r="D255" s="86"/>
      <c r="E255" s="86"/>
      <c r="F255" s="86"/>
      <c r="G255" s="86"/>
      <c r="H255" s="86"/>
      <c r="I255" s="86"/>
      <c r="J255" s="86"/>
      <c r="K255" s="86"/>
    </row>
    <row r="256" customFormat="false" ht="19.5" hidden="false" customHeight="true" outlineLevel="0" collapsed="false">
      <c r="A256" s="103"/>
      <c r="B256" s="86"/>
      <c r="C256" s="86"/>
      <c r="D256" s="86"/>
      <c r="E256" s="86"/>
      <c r="F256" s="86"/>
      <c r="G256" s="86"/>
      <c r="H256" s="86"/>
      <c r="I256" s="86"/>
      <c r="J256" s="86"/>
      <c r="K256" s="86"/>
    </row>
    <row r="257" customFormat="false" ht="19.5" hidden="false" customHeight="true" outlineLevel="0" collapsed="false">
      <c r="A257" s="103"/>
      <c r="B257" s="86"/>
      <c r="C257" s="86"/>
      <c r="D257" s="86"/>
      <c r="E257" s="86"/>
      <c r="F257" s="86"/>
      <c r="G257" s="86"/>
      <c r="H257" s="86"/>
      <c r="I257" s="86"/>
      <c r="J257" s="86"/>
      <c r="K257" s="86"/>
    </row>
    <row r="258" customFormat="false" ht="19.5" hidden="false" customHeight="true" outlineLevel="0" collapsed="false">
      <c r="A258" s="103"/>
      <c r="B258" s="86"/>
      <c r="C258" s="86"/>
      <c r="D258" s="86"/>
      <c r="E258" s="86"/>
      <c r="F258" s="86"/>
      <c r="G258" s="86"/>
      <c r="H258" s="86"/>
      <c r="I258" s="86"/>
      <c r="J258" s="86"/>
      <c r="K258" s="86"/>
    </row>
    <row r="259" customFormat="false" ht="19.5" hidden="false" customHeight="true" outlineLevel="0" collapsed="false">
      <c r="A259" s="103"/>
      <c r="B259" s="86"/>
      <c r="C259" s="86"/>
      <c r="D259" s="86"/>
      <c r="E259" s="86"/>
      <c r="F259" s="86"/>
      <c r="G259" s="86"/>
      <c r="H259" s="86"/>
      <c r="I259" s="86"/>
      <c r="J259" s="86"/>
      <c r="K259" s="86"/>
    </row>
    <row r="260" customFormat="false" ht="19.5" hidden="false" customHeight="true" outlineLevel="0" collapsed="false">
      <c r="A260" s="103"/>
      <c r="B260" s="86"/>
      <c r="C260" s="86"/>
      <c r="D260" s="86"/>
      <c r="E260" s="86"/>
      <c r="F260" s="86"/>
      <c r="G260" s="86"/>
      <c r="H260" s="86"/>
      <c r="I260" s="86"/>
      <c r="J260" s="86"/>
      <c r="K260" s="86"/>
    </row>
    <row r="261" customFormat="false" ht="19.5" hidden="false" customHeight="true" outlineLevel="0" collapsed="false">
      <c r="A261" s="103"/>
      <c r="B261" s="86"/>
      <c r="C261" s="86"/>
      <c r="D261" s="86"/>
      <c r="E261" s="86"/>
      <c r="F261" s="86"/>
      <c r="G261" s="86"/>
      <c r="H261" s="86"/>
      <c r="I261" s="86"/>
      <c r="J261" s="86"/>
      <c r="K261" s="86"/>
    </row>
    <row r="262" customFormat="false" ht="19.5" hidden="false" customHeight="true" outlineLevel="0" collapsed="false">
      <c r="A262" s="103"/>
      <c r="B262" s="86"/>
      <c r="C262" s="86"/>
      <c r="D262" s="86"/>
      <c r="E262" s="86"/>
      <c r="F262" s="86"/>
      <c r="G262" s="86"/>
      <c r="H262" s="86"/>
      <c r="I262" s="86"/>
      <c r="J262" s="86"/>
      <c r="K262" s="86"/>
    </row>
    <row r="263" customFormat="false" ht="19.5" hidden="false" customHeight="true" outlineLevel="0" collapsed="false">
      <c r="A263" s="103"/>
      <c r="B263" s="86"/>
      <c r="C263" s="86"/>
      <c r="D263" s="86"/>
      <c r="E263" s="86"/>
      <c r="F263" s="86"/>
      <c r="G263" s="86"/>
      <c r="H263" s="86"/>
      <c r="I263" s="86"/>
      <c r="J263" s="86"/>
      <c r="K263" s="86"/>
    </row>
    <row r="264" customFormat="false" ht="19.5" hidden="false" customHeight="true" outlineLevel="0" collapsed="false">
      <c r="A264" s="103"/>
      <c r="B264" s="86"/>
      <c r="C264" s="86"/>
      <c r="D264" s="86"/>
      <c r="E264" s="86"/>
      <c r="F264" s="86"/>
      <c r="G264" s="86"/>
      <c r="H264" s="86"/>
      <c r="I264" s="86"/>
      <c r="J264" s="86"/>
      <c r="K264" s="86"/>
    </row>
    <row r="265" customFormat="false" ht="19.5" hidden="false" customHeight="true" outlineLevel="0" collapsed="false">
      <c r="A265" s="103"/>
      <c r="B265" s="86"/>
      <c r="C265" s="86"/>
      <c r="D265" s="86"/>
      <c r="E265" s="86"/>
      <c r="F265" s="86"/>
      <c r="G265" s="86"/>
      <c r="H265" s="86"/>
      <c r="I265" s="86"/>
      <c r="J265" s="86"/>
      <c r="K265" s="86"/>
    </row>
    <row r="266" customFormat="false" ht="19.5" hidden="false" customHeight="true" outlineLevel="0" collapsed="false">
      <c r="A266" s="103"/>
      <c r="B266" s="86"/>
      <c r="C266" s="86"/>
      <c r="D266" s="86"/>
      <c r="E266" s="86"/>
      <c r="F266" s="86"/>
      <c r="G266" s="86"/>
      <c r="H266" s="86"/>
      <c r="I266" s="86"/>
      <c r="J266" s="86"/>
      <c r="K266" s="86"/>
    </row>
    <row r="267" customFormat="false" ht="19.5" hidden="false" customHeight="true" outlineLevel="0" collapsed="false">
      <c r="A267" s="103"/>
      <c r="B267" s="86"/>
      <c r="C267" s="86"/>
      <c r="D267" s="86"/>
      <c r="E267" s="86"/>
      <c r="F267" s="86"/>
      <c r="G267" s="86"/>
      <c r="H267" s="86"/>
      <c r="I267" s="86"/>
      <c r="J267" s="86"/>
      <c r="K267" s="86"/>
    </row>
    <row r="268" customFormat="false" ht="19.5" hidden="false" customHeight="true" outlineLevel="0" collapsed="false">
      <c r="A268" s="103"/>
      <c r="B268" s="86"/>
      <c r="C268" s="86"/>
      <c r="D268" s="86"/>
      <c r="E268" s="86"/>
      <c r="F268" s="86"/>
      <c r="G268" s="86"/>
      <c r="H268" s="86"/>
      <c r="I268" s="86"/>
      <c r="J268" s="86"/>
      <c r="K268" s="86"/>
    </row>
    <row r="269" customFormat="false" ht="19.5" hidden="false" customHeight="true" outlineLevel="0" collapsed="false">
      <c r="A269" s="103"/>
      <c r="B269" s="86"/>
      <c r="C269" s="86"/>
      <c r="D269" s="86"/>
      <c r="E269" s="86"/>
      <c r="F269" s="86"/>
      <c r="G269" s="86"/>
      <c r="H269" s="86"/>
      <c r="I269" s="86"/>
      <c r="J269" s="86"/>
      <c r="K269" s="86"/>
    </row>
    <row r="270" customFormat="false" ht="19.5" hidden="false" customHeight="true" outlineLevel="0" collapsed="false">
      <c r="A270" s="103"/>
      <c r="B270" s="86"/>
      <c r="C270" s="86"/>
      <c r="D270" s="86"/>
      <c r="E270" s="86"/>
      <c r="F270" s="86"/>
      <c r="G270" s="86"/>
      <c r="H270" s="86"/>
      <c r="I270" s="86"/>
      <c r="J270" s="86"/>
      <c r="K270" s="86"/>
    </row>
    <row r="271" customFormat="false" ht="19.5" hidden="false" customHeight="true" outlineLevel="0" collapsed="false">
      <c r="A271" s="103"/>
      <c r="B271" s="86"/>
      <c r="C271" s="86"/>
      <c r="D271" s="86"/>
      <c r="E271" s="86"/>
      <c r="F271" s="86"/>
      <c r="G271" s="86"/>
      <c r="H271" s="86"/>
      <c r="I271" s="86"/>
      <c r="J271" s="86"/>
      <c r="K271" s="86"/>
    </row>
    <row r="272" customFormat="false" ht="19.5" hidden="false" customHeight="true" outlineLevel="0" collapsed="false">
      <c r="A272" s="103"/>
      <c r="B272" s="86"/>
      <c r="C272" s="86"/>
      <c r="D272" s="86"/>
      <c r="E272" s="86"/>
      <c r="F272" s="86"/>
      <c r="G272" s="86"/>
      <c r="H272" s="86"/>
      <c r="I272" s="86"/>
      <c r="J272" s="86"/>
      <c r="K272" s="86"/>
    </row>
    <row r="273" customFormat="false" ht="19.5" hidden="false" customHeight="true" outlineLevel="0" collapsed="false">
      <c r="A273" s="103"/>
      <c r="B273" s="86"/>
      <c r="C273" s="86"/>
      <c r="D273" s="86"/>
      <c r="E273" s="86"/>
      <c r="F273" s="86"/>
      <c r="G273" s="86"/>
      <c r="H273" s="86"/>
      <c r="I273" s="86"/>
      <c r="J273" s="86"/>
      <c r="K273" s="86"/>
    </row>
    <row r="274" customFormat="false" ht="19.5" hidden="false" customHeight="true" outlineLevel="0" collapsed="false">
      <c r="A274" s="103"/>
      <c r="B274" s="86"/>
      <c r="C274" s="86"/>
      <c r="D274" s="86"/>
      <c r="E274" s="86"/>
      <c r="F274" s="86"/>
      <c r="G274" s="86"/>
      <c r="H274" s="86"/>
      <c r="I274" s="86"/>
      <c r="J274" s="86"/>
      <c r="K274" s="86"/>
    </row>
    <row r="275" customFormat="false" ht="19.5" hidden="false" customHeight="true" outlineLevel="0" collapsed="false">
      <c r="A275" s="103"/>
      <c r="B275" s="86"/>
      <c r="C275" s="86"/>
      <c r="D275" s="86"/>
      <c r="E275" s="86"/>
      <c r="F275" s="86"/>
      <c r="G275" s="86"/>
      <c r="H275" s="86"/>
      <c r="I275" s="86"/>
      <c r="J275" s="86"/>
      <c r="K275" s="86"/>
    </row>
    <row r="276" customFormat="false" ht="19.5" hidden="false" customHeight="true" outlineLevel="0" collapsed="false">
      <c r="A276" s="103"/>
      <c r="B276" s="86"/>
      <c r="C276" s="86"/>
      <c r="D276" s="86"/>
      <c r="E276" s="86"/>
      <c r="F276" s="86"/>
      <c r="G276" s="86"/>
      <c r="H276" s="86"/>
      <c r="I276" s="86"/>
      <c r="J276" s="86"/>
      <c r="K276" s="86"/>
    </row>
    <row r="277" customFormat="false" ht="19.5" hidden="false" customHeight="true" outlineLevel="0" collapsed="false">
      <c r="A277" s="103"/>
      <c r="B277" s="86"/>
      <c r="C277" s="86"/>
      <c r="D277" s="86"/>
      <c r="E277" s="86"/>
      <c r="F277" s="86"/>
      <c r="G277" s="86"/>
      <c r="H277" s="86"/>
      <c r="I277" s="86"/>
      <c r="J277" s="86"/>
      <c r="K277" s="86"/>
    </row>
    <row r="278" customFormat="false" ht="19.5" hidden="false" customHeight="true" outlineLevel="0" collapsed="false">
      <c r="A278" s="103"/>
      <c r="B278" s="86"/>
      <c r="C278" s="86"/>
      <c r="D278" s="86"/>
      <c r="E278" s="86"/>
      <c r="F278" s="86"/>
      <c r="G278" s="86"/>
      <c r="H278" s="86"/>
      <c r="I278" s="86"/>
      <c r="J278" s="86"/>
      <c r="K278" s="86"/>
    </row>
    <row r="279" customFormat="false" ht="19.5" hidden="false" customHeight="true" outlineLevel="0" collapsed="false">
      <c r="A279" s="103"/>
      <c r="B279" s="86"/>
      <c r="C279" s="86"/>
      <c r="D279" s="86"/>
      <c r="E279" s="86"/>
      <c r="F279" s="86"/>
      <c r="G279" s="86"/>
      <c r="H279" s="86"/>
      <c r="I279" s="86"/>
      <c r="J279" s="86"/>
      <c r="K279" s="86"/>
    </row>
    <row r="280" customFormat="false" ht="19.5" hidden="false" customHeight="true" outlineLevel="0" collapsed="false">
      <c r="A280" s="103"/>
      <c r="B280" s="86"/>
      <c r="C280" s="86"/>
      <c r="D280" s="86"/>
      <c r="E280" s="86"/>
      <c r="F280" s="86"/>
      <c r="G280" s="86"/>
      <c r="H280" s="86"/>
      <c r="I280" s="86"/>
      <c r="J280" s="86"/>
      <c r="K280" s="86"/>
    </row>
    <row r="281" customFormat="false" ht="19.5" hidden="false" customHeight="true" outlineLevel="0" collapsed="false">
      <c r="A281" s="103"/>
      <c r="B281" s="86"/>
      <c r="C281" s="86"/>
      <c r="D281" s="86"/>
      <c r="E281" s="86"/>
      <c r="F281" s="86"/>
      <c r="G281" s="86"/>
      <c r="H281" s="86"/>
      <c r="I281" s="86"/>
      <c r="J281" s="86"/>
      <c r="K281" s="86"/>
    </row>
    <row r="282" customFormat="false" ht="19.5" hidden="false" customHeight="true" outlineLevel="0" collapsed="false">
      <c r="A282" s="103"/>
      <c r="B282" s="86"/>
      <c r="C282" s="86"/>
      <c r="D282" s="86"/>
      <c r="E282" s="86"/>
      <c r="F282" s="86"/>
      <c r="G282" s="86"/>
      <c r="H282" s="86"/>
      <c r="I282" s="86"/>
      <c r="J282" s="86"/>
      <c r="K282" s="86"/>
    </row>
    <row r="283" customFormat="false" ht="19.5" hidden="false" customHeight="true" outlineLevel="0" collapsed="false">
      <c r="A283" s="103"/>
      <c r="B283" s="86"/>
      <c r="C283" s="86"/>
      <c r="D283" s="86"/>
      <c r="E283" s="86"/>
      <c r="F283" s="86"/>
      <c r="G283" s="86"/>
      <c r="H283" s="86"/>
      <c r="I283" s="86"/>
      <c r="J283" s="86"/>
      <c r="K283" s="86"/>
    </row>
    <row r="284" customFormat="false" ht="19.5" hidden="false" customHeight="true" outlineLevel="0" collapsed="false">
      <c r="A284" s="103"/>
      <c r="B284" s="86"/>
      <c r="C284" s="86"/>
      <c r="D284" s="86"/>
      <c r="E284" s="86"/>
      <c r="F284" s="86"/>
      <c r="G284" s="86"/>
      <c r="H284" s="86"/>
      <c r="I284" s="86"/>
      <c r="J284" s="86"/>
      <c r="K284" s="86"/>
    </row>
    <row r="285" customFormat="false" ht="19.5" hidden="false" customHeight="true" outlineLevel="0" collapsed="false">
      <c r="A285" s="103"/>
      <c r="B285" s="86"/>
      <c r="C285" s="86"/>
      <c r="D285" s="86"/>
      <c r="E285" s="86"/>
      <c r="F285" s="86"/>
      <c r="G285" s="86"/>
      <c r="H285" s="86"/>
      <c r="I285" s="86"/>
      <c r="J285" s="86"/>
      <c r="K285" s="86"/>
    </row>
    <row r="286" customFormat="false" ht="19.5" hidden="false" customHeight="true" outlineLevel="0" collapsed="false">
      <c r="A286" s="103"/>
      <c r="B286" s="86"/>
      <c r="C286" s="86"/>
      <c r="D286" s="86"/>
      <c r="E286" s="86"/>
      <c r="F286" s="86"/>
      <c r="G286" s="86"/>
      <c r="H286" s="86"/>
      <c r="I286" s="86"/>
      <c r="J286" s="86"/>
      <c r="K286" s="86"/>
    </row>
    <row r="287" customFormat="false" ht="19.5" hidden="false" customHeight="true" outlineLevel="0" collapsed="false">
      <c r="A287" s="103"/>
      <c r="B287" s="86"/>
      <c r="C287" s="86"/>
      <c r="D287" s="86"/>
      <c r="E287" s="86"/>
      <c r="F287" s="86"/>
      <c r="G287" s="86"/>
      <c r="H287" s="86"/>
      <c r="I287" s="86"/>
      <c r="J287" s="86"/>
      <c r="K287" s="86"/>
    </row>
    <row r="288" customFormat="false" ht="19.5" hidden="false" customHeight="true" outlineLevel="0" collapsed="false">
      <c r="A288" s="103"/>
      <c r="B288" s="86"/>
      <c r="C288" s="86"/>
      <c r="D288" s="86"/>
      <c r="E288" s="86"/>
      <c r="F288" s="86"/>
      <c r="G288" s="86"/>
      <c r="H288" s="86"/>
      <c r="I288" s="86"/>
      <c r="J288" s="86"/>
      <c r="K288" s="86"/>
    </row>
    <row r="289" customFormat="false" ht="19.5" hidden="false" customHeight="true" outlineLevel="0" collapsed="false">
      <c r="A289" s="103"/>
      <c r="B289" s="86"/>
      <c r="C289" s="86"/>
      <c r="D289" s="86"/>
      <c r="E289" s="86"/>
      <c r="F289" s="86"/>
      <c r="G289" s="86"/>
      <c r="H289" s="86"/>
      <c r="I289" s="86"/>
      <c r="J289" s="86"/>
      <c r="K289" s="86"/>
    </row>
    <row r="290" customFormat="false" ht="19.5" hidden="false" customHeight="true" outlineLevel="0" collapsed="false">
      <c r="A290" s="103"/>
      <c r="B290" s="86"/>
      <c r="C290" s="86"/>
      <c r="D290" s="86"/>
      <c r="E290" s="86"/>
      <c r="F290" s="86"/>
      <c r="G290" s="86"/>
      <c r="H290" s="86"/>
      <c r="I290" s="86"/>
      <c r="J290" s="86"/>
      <c r="K290" s="86"/>
    </row>
    <row r="291" customFormat="false" ht="19.5" hidden="false" customHeight="true" outlineLevel="0" collapsed="false">
      <c r="A291" s="103"/>
      <c r="B291" s="86"/>
      <c r="C291" s="86"/>
      <c r="D291" s="86"/>
      <c r="E291" s="86"/>
      <c r="F291" s="86"/>
      <c r="G291" s="86"/>
      <c r="H291" s="86"/>
      <c r="I291" s="86"/>
      <c r="J291" s="86"/>
      <c r="K291" s="86"/>
    </row>
    <row r="292" customFormat="false" ht="19.5" hidden="false" customHeight="true" outlineLevel="0" collapsed="false">
      <c r="A292" s="103"/>
      <c r="B292" s="86"/>
      <c r="C292" s="86"/>
      <c r="D292" s="86"/>
      <c r="E292" s="86"/>
      <c r="F292" s="86"/>
      <c r="G292" s="86"/>
      <c r="H292" s="86"/>
      <c r="I292" s="86"/>
      <c r="J292" s="86"/>
      <c r="K292" s="86"/>
    </row>
    <row r="293" customFormat="false" ht="19.5" hidden="false" customHeight="true" outlineLevel="0" collapsed="false">
      <c r="A293" s="103"/>
      <c r="B293" s="86"/>
      <c r="C293" s="86"/>
      <c r="D293" s="86"/>
      <c r="E293" s="86"/>
      <c r="F293" s="86"/>
      <c r="G293" s="86"/>
      <c r="H293" s="86"/>
      <c r="I293" s="86"/>
      <c r="J293" s="86"/>
      <c r="K293" s="86"/>
    </row>
    <row r="294" customFormat="false" ht="19.5" hidden="false" customHeight="true" outlineLevel="0" collapsed="false">
      <c r="A294" s="103"/>
      <c r="B294" s="86"/>
      <c r="C294" s="86"/>
      <c r="D294" s="86"/>
      <c r="E294" s="86"/>
      <c r="F294" s="86"/>
      <c r="G294" s="86"/>
      <c r="H294" s="86"/>
      <c r="I294" s="86"/>
      <c r="J294" s="86"/>
      <c r="K294" s="86"/>
    </row>
    <row r="295" customFormat="false" ht="19.5" hidden="false" customHeight="true" outlineLevel="0" collapsed="false">
      <c r="A295" s="103"/>
      <c r="B295" s="86"/>
      <c r="C295" s="86"/>
      <c r="D295" s="86"/>
      <c r="E295" s="86"/>
      <c r="F295" s="86"/>
      <c r="G295" s="86"/>
      <c r="H295" s="86"/>
      <c r="I295" s="86"/>
      <c r="J295" s="86"/>
      <c r="K295" s="86"/>
    </row>
    <row r="296" customFormat="false" ht="19.5" hidden="false" customHeight="true" outlineLevel="0" collapsed="false">
      <c r="A296" s="103"/>
      <c r="B296" s="86"/>
      <c r="C296" s="86"/>
      <c r="D296" s="86"/>
      <c r="E296" s="86"/>
      <c r="F296" s="86"/>
      <c r="G296" s="86"/>
      <c r="H296" s="86"/>
      <c r="I296" s="86"/>
      <c r="J296" s="86"/>
      <c r="K296" s="86"/>
    </row>
    <row r="297" customFormat="false" ht="19.5" hidden="false" customHeight="true" outlineLevel="0" collapsed="false">
      <c r="A297" s="103"/>
      <c r="B297" s="86"/>
      <c r="C297" s="86"/>
      <c r="D297" s="86"/>
      <c r="E297" s="86"/>
      <c r="F297" s="86"/>
      <c r="G297" s="86"/>
      <c r="H297" s="86"/>
      <c r="I297" s="86"/>
      <c r="J297" s="86"/>
      <c r="K297" s="86"/>
    </row>
    <row r="298" customFormat="false" ht="19.5" hidden="false" customHeight="true" outlineLevel="0" collapsed="false">
      <c r="A298" s="103"/>
      <c r="B298" s="86"/>
      <c r="C298" s="86"/>
      <c r="D298" s="86"/>
      <c r="E298" s="86"/>
      <c r="F298" s="86"/>
      <c r="G298" s="86"/>
      <c r="H298" s="86"/>
      <c r="I298" s="86"/>
      <c r="J298" s="86"/>
      <c r="K298" s="86"/>
    </row>
    <row r="299" customFormat="false" ht="19.5" hidden="false" customHeight="true" outlineLevel="0" collapsed="false">
      <c r="A299" s="103"/>
      <c r="B299" s="86"/>
      <c r="C299" s="86"/>
      <c r="D299" s="86"/>
      <c r="E299" s="86"/>
      <c r="F299" s="86"/>
      <c r="G299" s="86"/>
      <c r="H299" s="86"/>
      <c r="I299" s="86"/>
      <c r="J299" s="86"/>
      <c r="K299" s="86"/>
    </row>
    <row r="300" customFormat="false" ht="19.5" hidden="false" customHeight="true" outlineLevel="0" collapsed="false">
      <c r="A300" s="103"/>
      <c r="B300" s="86"/>
      <c r="C300" s="86"/>
      <c r="D300" s="86"/>
      <c r="E300" s="86"/>
      <c r="F300" s="86"/>
      <c r="G300" s="86"/>
      <c r="H300" s="86"/>
      <c r="I300" s="86"/>
      <c r="J300" s="86"/>
      <c r="K300" s="86"/>
    </row>
    <row r="301" customFormat="false" ht="19.5" hidden="false" customHeight="true" outlineLevel="0" collapsed="false">
      <c r="A301" s="103"/>
      <c r="B301" s="86"/>
      <c r="C301" s="86"/>
      <c r="D301" s="86"/>
      <c r="E301" s="86"/>
      <c r="F301" s="86"/>
      <c r="G301" s="86"/>
      <c r="H301" s="86"/>
      <c r="I301" s="86"/>
      <c r="J301" s="86"/>
      <c r="K301" s="86"/>
    </row>
    <row r="302" customFormat="false" ht="19.5" hidden="false" customHeight="true" outlineLevel="0" collapsed="false">
      <c r="A302" s="103"/>
      <c r="B302" s="86"/>
      <c r="C302" s="86"/>
      <c r="D302" s="86"/>
      <c r="E302" s="86"/>
      <c r="F302" s="86"/>
      <c r="G302" s="86"/>
      <c r="H302" s="86"/>
      <c r="I302" s="86"/>
      <c r="J302" s="86"/>
      <c r="K302" s="86"/>
    </row>
    <row r="303" customFormat="false" ht="19.5" hidden="false" customHeight="true" outlineLevel="0" collapsed="false">
      <c r="A303" s="103"/>
      <c r="B303" s="86"/>
      <c r="C303" s="86"/>
      <c r="D303" s="86"/>
      <c r="E303" s="86"/>
      <c r="F303" s="86"/>
      <c r="G303" s="86"/>
      <c r="H303" s="86"/>
      <c r="I303" s="86"/>
      <c r="J303" s="86"/>
      <c r="K303" s="86"/>
    </row>
    <row r="304" customFormat="false" ht="19.5" hidden="false" customHeight="true" outlineLevel="0" collapsed="false">
      <c r="A304" s="103"/>
      <c r="B304" s="86"/>
      <c r="C304" s="86"/>
      <c r="D304" s="86"/>
      <c r="E304" s="86"/>
      <c r="F304" s="86"/>
      <c r="G304" s="86"/>
      <c r="H304" s="86"/>
      <c r="I304" s="86"/>
      <c r="J304" s="86"/>
      <c r="K304" s="86"/>
    </row>
  </sheetData>
  <mergeCells count="3">
    <mergeCell ref="A1:K1"/>
    <mergeCell ref="A2:K2"/>
    <mergeCell ref="A3:K3"/>
  </mergeCells>
  <conditionalFormatting sqref="A5:K304">
    <cfRule type="expression" priority="2" aboveAverage="0" equalAverage="0" bottom="0" percent="0" rank="0" text="" dxfId="19">
      <formula>AND(MOD(ROW(),2)=0,$A5&lt;&gt;"")</formula>
    </cfRule>
  </conditionalFormatting>
  <conditionalFormatting sqref="K5:K304">
    <cfRule type="expression" priority="3" aboveAverage="0" equalAverage="0" bottom="0" percent="0" rank="0" text="" dxfId="20">
      <formula>LEFT($K5,7)="Emailed"</formula>
    </cfRule>
    <cfRule type="expression" priority="4" aboveAverage="0" equalAverage="0" bottom="0" percent="0" rank="0" text="" dxfId="21">
      <formula>LEFT($K5,5)="Saved"</formula>
    </cfRule>
    <cfRule type="expression" priority="5" aboveAverage="0" equalAverage="0" bottom="0" percent="0" rank="0" text="" dxfId="22">
      <formula>LEFT($K5,6)="Failed"</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2026-10-03T21:49:40Z</dcterms:created>
  <dc:creator>openpyxl</dc:creator>
  <dc:description/>
  <dc:language>en-US</dc:language>
  <cp:lastModifiedBy/>
  <dcterms:modified xsi:type="dcterms:W3CDTF">2026-10-04T12:26:22Z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